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GENERAL" sheetId="1" r:id="rId4"/>
    <sheet state="visible" name="PISO 1" sheetId="2" r:id="rId5"/>
    <sheet state="visible" name="PISO 2" sheetId="3" r:id="rId6"/>
    <sheet state="visible" name="PISO 3" sheetId="4" r:id="rId7"/>
    <sheet state="visible" name="DTC RACK 12" sheetId="5" r:id="rId8"/>
    <sheet state="visible" name="FÁBRICA" sheetId="6" r:id="rId9"/>
    <sheet state="visible" name="SUCURSAL" sheetId="7" r:id="rId10"/>
    <sheet state="visible" name="BACK BONE" sheetId="8" r:id="rId11"/>
    <sheet state="visible" name="SERVICIO INTERNET" sheetId="9" r:id="rId12"/>
    <sheet state="visible" name="CONEXIONES SWITCHES" sheetId="10" r:id="rId13"/>
    <sheet state="visible" name="SUBNETEO" sheetId="11" r:id="rId14"/>
  </sheets>
  <definedNames/>
  <calcPr/>
  <extLst>
    <ext uri="GoogleSheetsCustomDataVersion2">
      <go:sheetsCustomData xmlns:go="http://customooxmlschemas.google.com/" r:id="rId15" roundtripDataChecksum="YABw7gYG7UwEqMBqFiwusn4iAkbu7nL+rDag3TDHums="/>
    </ext>
  </extLst>
</workbook>
</file>

<file path=xl/sharedStrings.xml><?xml version="1.0" encoding="utf-8"?>
<sst xmlns="http://schemas.openxmlformats.org/spreadsheetml/2006/main" count="4922" uniqueCount="2200">
  <si>
    <t>SS</t>
  </si>
  <si>
    <t>PATCH CORD</t>
  </si>
  <si>
    <t>Es el centro de control donde reside la infraestructura crítica (DTC)</t>
  </si>
  <si>
    <t>Este nivel funciona como el núcleo operativo de Electrolux, integrando funciones de monitoreo de seguridad, gestión comercial de alta densidad y atención a casos sensibles.</t>
  </si>
  <si>
    <t>AREAS DE TRABAJO</t>
  </si>
  <si>
    <t>TRABAJADORES</t>
  </si>
  <si>
    <t>UTP Cat6</t>
  </si>
  <si>
    <r>
      <rPr>
        <rFont val="Arial, sans-serif"/>
        <b/>
        <color rgb="FF000000"/>
      </rPr>
      <t xml:space="preserve">DTC (Data Center): </t>
    </r>
    <r>
      <rPr>
        <rFont val="Arial, sans-serif"/>
        <b val="0"/>
        <color rgb="FF000000"/>
      </rPr>
      <t>El centro de la red, que alberga los racks de servidores de la VLAN 10, incluyendo el DNS y el servidor IoT central</t>
    </r>
  </si>
  <si>
    <r>
      <rPr>
        <rFont val="Arial"/>
        <b/>
        <color theme="1"/>
        <sz val="12.0"/>
      </rPr>
      <t xml:space="preserve">Recepción y Control de Acceso
</t>
    </r>
    <r>
      <rPr>
        <rFont val="Arial"/>
        <b val="0"/>
        <color theme="1"/>
        <sz val="12.0"/>
      </rPr>
      <t>Primer punto de contacto para visitantes y proveedores. Cuenta con nodos de red para gestión de visitas y validación de identidad, con cableado protegido mecánicamente bajo mobiliario..</t>
    </r>
  </si>
  <si>
    <t>1ft + 1ft switch a patch panel</t>
  </si>
  <si>
    <t>3ft</t>
  </si>
  <si>
    <t>5ft</t>
  </si>
  <si>
    <t>10ft</t>
  </si>
  <si>
    <t>FACE PLATE 1</t>
  </si>
  <si>
    <r>
      <rPr>
        <rFont val="Arial"/>
        <b/>
        <color theme="1"/>
        <sz val="12.0"/>
      </rPr>
      <t xml:space="preserve">Área de Quejas Sensibles
</t>
    </r>
    <r>
      <rPr>
        <rFont val="Arial"/>
        <b val="0"/>
        <color theme="1"/>
        <sz val="12.0"/>
      </rPr>
      <t>Espacio dedicado a la resolución de conflictos y asesoría legal. Debido a la naturaleza confidencial de la información, estos nodos están aislados en una VLAN segura para garantizar la privacidad de datos</t>
    </r>
  </si>
  <si>
    <t>FACEPLATE 2</t>
  </si>
  <si>
    <t>Bóveda de Seguridad: Un búnker físico totalmente desconectado de la red. Aquí se custodian los discos duros con backups de bases de datos y archivos originales críticos, protegidos contra cualquier ciberataque.</t>
  </si>
  <si>
    <t>FACEPLATE 4</t>
  </si>
  <si>
    <t>PCS</t>
  </si>
  <si>
    <t>TELEFONOS</t>
  </si>
  <si>
    <t>PISO 4</t>
  </si>
  <si>
    <t>IMPRESORA</t>
  </si>
  <si>
    <t>ACCESS POINT</t>
  </si>
  <si>
    <t>CAMARA</t>
  </si>
  <si>
    <t>SENSORES VARIOS</t>
  </si>
  <si>
    <t>MATRIZ</t>
  </si>
  <si>
    <r>
      <rPr>
        <rFont val="Arial"/>
        <b/>
        <color theme="1"/>
        <sz val="12.0"/>
      </rPr>
      <t xml:space="preserve">Cuarto de Telecomunicaciones (IDF)
</t>
    </r>
    <r>
      <rPr>
        <rFont val="Arial"/>
        <b val="0"/>
        <color theme="1"/>
        <sz val="12.0"/>
      </rPr>
      <t>Corazón tecnológico del piso. Aloja el Rack de 18U con los Switches de Acceso, Patch Panels y UPS, centralizando todo el cableado estructurado horizontal. Total de unidades ocupadas 11U</t>
    </r>
  </si>
  <si>
    <t>PISO 1</t>
  </si>
  <si>
    <r>
      <rPr>
        <rFont val="Arial"/>
        <b/>
        <color theme="1"/>
        <sz val="12.0"/>
      </rPr>
      <t xml:space="preserve">Centro de Monitoreo (CCTV)
</t>
    </r>
    <r>
      <rPr>
        <rFont val="Arial"/>
        <b val="0"/>
        <color theme="1"/>
        <sz val="12.0"/>
      </rPr>
      <t>Área de seguridad crítica equipada con Videowalls. Requiere un alto ancho de banda para la transmisión de video en tiempo real de las cámaras IP, soportado por cableado CAT 6A.</t>
    </r>
  </si>
  <si>
    <t>Bodega de TI: Taller y almacén central de suministros para el mantenimiento de los 4 pisos. Contiene repuestos, herramientas de red y componentes de hardware listos para despliegue.</t>
  </si>
  <si>
    <r>
      <rPr>
        <rFont val="Arial"/>
        <b/>
        <color theme="1"/>
        <sz val="12.0"/>
      </rPr>
      <t>Almacén de Equipos</t>
    </r>
    <r>
      <rPr>
        <rFont val="Arial"/>
        <b val="0"/>
        <color theme="1"/>
        <sz val="12.0"/>
      </rPr>
      <t xml:space="preserve"> Zona de resguardo de activos. Cuenta con monitoreo ambiental (sensores de humo) y cámara de seguridad IP para control de inventario y prevención de pérdidas.</t>
    </r>
  </si>
  <si>
    <r>
      <rPr>
        <rFont val="Arial"/>
        <b/>
        <color theme="1"/>
        <sz val="12.0"/>
      </rPr>
      <t xml:space="preserve">Sala de Juntas </t>
    </r>
    <r>
      <rPr>
        <rFont val="Arial"/>
        <b val="0"/>
        <color theme="1"/>
        <sz val="12.0"/>
      </rPr>
      <t>Ejecutiva Espacio colaborativo de alta gerencia. Equipada con Access Point (AP) de alto rendimiento para videoconferencias fluidas y conectividad para múltiples dispositivos móviles simultáneos.</t>
    </r>
  </si>
  <si>
    <t>PISO 2</t>
  </si>
  <si>
    <r>
      <rPr>
        <rFont val="Arial"/>
        <b/>
        <color theme="1"/>
        <sz val="12.0"/>
      </rPr>
      <t xml:space="preserve">Área de Cotización (Call Center) </t>
    </r>
    <r>
      <rPr>
        <rFont val="Arial"/>
        <color theme="1"/>
        <sz val="12.0"/>
      </rPr>
      <t>Zona de alta densidad con 12 estaciones de trabajo operativas. Diseñada para tráfico constante de voz y datos, con gestión de cableado vertical desde techo mediante rejillas para mantener el orden.</t>
    </r>
  </si>
  <si>
    <t xml:space="preserve">Comedor </t>
  </si>
  <si>
    <t>PISO 3</t>
  </si>
  <si>
    <t>Dirección de TI: Oficina principal donde operan el CIO (Director de Información, responsable de la tecnología global) y el CISO (Director de Seguridad, responsable de la protección de datos y la gestión de la Bóveda).</t>
  </si>
  <si>
    <t>Isla A Contabilidad y Tributación</t>
  </si>
  <si>
    <t xml:space="preserve">Área </t>
  </si>
  <si>
    <t>Largo</t>
  </si>
  <si>
    <t>Ancho</t>
  </si>
  <si>
    <t>Altura</t>
  </si>
  <si>
    <t>Trabajadores</t>
  </si>
  <si>
    <t>Áreas de trabajo</t>
  </si>
  <si>
    <t>PCs</t>
  </si>
  <si>
    <t>Teléfonos</t>
  </si>
  <si>
    <t>Impresoras</t>
  </si>
  <si>
    <t>AccesPoint</t>
  </si>
  <si>
    <t>Cámaras</t>
  </si>
  <si>
    <t>Sensores/Varios</t>
  </si>
  <si>
    <t>Dispositivos por Wireless</t>
  </si>
  <si>
    <t>Centro de Monitoreo: Estación de vigilancia desde donde se supervisa la VLAN 60 (IoT) y la salud de la red mediante la VLAN 99 (Gestión).</t>
  </si>
  <si>
    <t>Área anexa (TOTAL)</t>
  </si>
  <si>
    <t>Registro de libros diarios, conciliaciones bancarias, cálculo de impuestos, declaraciones tributarias y elaboración de estados financieros.</t>
  </si>
  <si>
    <t>Innovación y Desarrollo: Área creativa asignada a la VLAN 40, con capacidad para hasta 128 dispositivos enfocados en nuevos proyectos tecnológicos.</t>
  </si>
  <si>
    <t>Área de Quejas sensibles</t>
  </si>
  <si>
    <t>Análisis de Datos: Espacio dedicado a la interpretación de información corporativa y procesamiento de inteligencia de negocios.</t>
  </si>
  <si>
    <t>TOTAL MATRIZ</t>
  </si>
  <si>
    <t>-</t>
  </si>
  <si>
    <t>Operativa A y B: Zonas de trabajo para el personal técnico de infraestructura y comunicaciones</t>
  </si>
  <si>
    <t>Isla B Tesorería</t>
  </si>
  <si>
    <t>Soporte al Usuario: Punto de atención presencial para resolver incidencias técnicas del personal interno de la matriz.</t>
  </si>
  <si>
    <t>TVs (laptop en pkt)</t>
  </si>
  <si>
    <t>Área de Asesoría Corporativa</t>
  </si>
  <si>
    <t>Gestión del flujo de caja (cash flow), pagos a proveedores, cobros a clientes, control de liquidez y manejo de cuentas bancarias.</t>
  </si>
  <si>
    <t>Sala de Conferencias: Área de reuniones equipada para 12 personas, con acceso a internet mediante la VLAN 70 (Invitados).</t>
  </si>
  <si>
    <t>Área de Networking Informal: Espacio abierto diseñado para el intercambio de ideas y colaboración espontánea bajo cobertura WiFi corporativa.</t>
  </si>
  <si>
    <t>Isla C Compras</t>
  </si>
  <si>
    <t>Área</t>
  </si>
  <si>
    <t>AREA</t>
  </si>
  <si>
    <t>Cuarto de Telecomunicaciones</t>
  </si>
  <si>
    <t>Búsqueda y negociación con proveedores, gestión de órdenes de compra, análisis de costos de adquisición y control de inventarios de suministros.</t>
  </si>
  <si>
    <t>Almacén</t>
  </si>
  <si>
    <t>Isla D Legalidad</t>
  </si>
  <si>
    <t>Revisión y redacción de contratos, asesoría jurídica corporativa, cumplimiento normativo y gestión de riesgos legales.</t>
  </si>
  <si>
    <t>Oficina del Gerente Financiero</t>
  </si>
  <si>
    <t>Cuarto de Monitoreo</t>
  </si>
  <si>
    <t>Sala de Juntas</t>
  </si>
  <si>
    <t>Supervisión general de las áreas financieras, planificación estratégica, toma de decisiones presupuestarias y aprobación de gastos mayores.</t>
  </si>
  <si>
    <t xml:space="preserve">Atención al cliente </t>
  </si>
  <si>
    <t>Área de impresión y archivo</t>
  </si>
  <si>
    <t>Data Center</t>
  </si>
  <si>
    <t>Centro de digitalización de documentos, impresión de reportes voluminosos y resguardo organizado del archivo físico contable/legal.</t>
  </si>
  <si>
    <t>2,7</t>
  </si>
  <si>
    <t>3,5</t>
  </si>
  <si>
    <t>9,45</t>
  </si>
  <si>
    <t>Oficina de Recursos Humanos</t>
  </si>
  <si>
    <t>Reclutamiento y selección de personal, gestión de nómina, administración de beneficios, control de asistencia y bienestar laboral.</t>
  </si>
  <si>
    <t>Sala de Recepción</t>
  </si>
  <si>
    <t>FABRICA</t>
  </si>
  <si>
    <t>Comedor</t>
  </si>
  <si>
    <t xml:space="preserve">VENTAS </t>
  </si>
  <si>
    <t>AccesPoints</t>
  </si>
  <si>
    <t>TOTAL</t>
  </si>
  <si>
    <t>39,19</t>
  </si>
  <si>
    <t>45,72</t>
  </si>
  <si>
    <t>Laptop</t>
  </si>
  <si>
    <t>Bóveda de Seguridad</t>
  </si>
  <si>
    <t>2,6</t>
  </si>
  <si>
    <t>2,33</t>
  </si>
  <si>
    <t>Tablet</t>
  </si>
  <si>
    <t>Bodega de TI</t>
  </si>
  <si>
    <t>2,85</t>
  </si>
  <si>
    <t>2,2</t>
  </si>
  <si>
    <t>6,27</t>
  </si>
  <si>
    <t>c</t>
  </si>
  <si>
    <t>Cables (u)</t>
  </si>
  <si>
    <t>Patchcords (1 ft)</t>
  </si>
  <si>
    <t>Patchcord (1 ft) - Patchpanel a Switch</t>
  </si>
  <si>
    <t>Patchcotds (3 ft)</t>
  </si>
  <si>
    <t>Patchcords (5 ft)</t>
  </si>
  <si>
    <t>Patchcords (10 ft)</t>
  </si>
  <si>
    <t>Faceplates 1 puerto</t>
  </si>
  <si>
    <t>Faceplates 2 puerto</t>
  </si>
  <si>
    <t>Faceplates 4 puerto</t>
  </si>
  <si>
    <t>Jacks RJ-45</t>
  </si>
  <si>
    <t>Cajetines 55mm</t>
  </si>
  <si>
    <t>Canaleta 25 x 15 mm (2M)</t>
  </si>
  <si>
    <t>Recorrido en m</t>
  </si>
  <si>
    <t>Canaleta 40 x 25 mm(2M)</t>
  </si>
  <si>
    <t>Recorrido2 en m</t>
  </si>
  <si>
    <t>Codo 25 x 15mm</t>
  </si>
  <si>
    <t>Codo 40 x 25 mm</t>
  </si>
  <si>
    <t>T 25 x 15 mm</t>
  </si>
  <si>
    <t>T 40 x 20 mm</t>
  </si>
  <si>
    <t>PISO 1 TOTAL</t>
  </si>
  <si>
    <t>Dirección de TI</t>
  </si>
  <si>
    <t>3,77</t>
  </si>
  <si>
    <t>18,85</t>
  </si>
  <si>
    <t>TOTAL PATCHCORD</t>
  </si>
  <si>
    <t>4,92</t>
  </si>
  <si>
    <t>3,92</t>
  </si>
  <si>
    <t>19,29</t>
  </si>
  <si>
    <t>Link de compra</t>
  </si>
  <si>
    <t>Innovación y Desarrollo</t>
  </si>
  <si>
    <t>6,83</t>
  </si>
  <si>
    <t>33,60</t>
  </si>
  <si>
    <t>UTP Cat 6 (305m)</t>
  </si>
  <si>
    <t>12 rollos</t>
  </si>
  <si>
    <t>https://tecnit.com.ec/producto/rollo-de-cable-utp-owire-cat6-negro-cca-23awg-outdoor-doble-chaqueta-305mts/?srsltid=AfmBOoqHhcqW1HvdLImKP7uVIrqHKzuJlZgdUPA_IGm1fZIzJNsXN86c</t>
  </si>
  <si>
    <t>Tubería (Conduit) + Capacidad</t>
  </si>
  <si>
    <t>4,65</t>
  </si>
  <si>
    <t>7,82</t>
  </si>
  <si>
    <t>Tubería Comercial (Nombre)</t>
  </si>
  <si>
    <t>Diámetro (mm)</t>
  </si>
  <si>
    <t>Radio para SketchUp (m)</t>
  </si>
  <si>
    <t>Capacidad Máx. (Cables 40%)</t>
  </si>
  <si>
    <t>Análisis de Datos</t>
  </si>
  <si>
    <t>3/4"</t>
  </si>
  <si>
    <t>19 mm</t>
  </si>
  <si>
    <t>11,4</t>
  </si>
  <si>
    <t>1"</t>
  </si>
  <si>
    <t>25 mm</t>
  </si>
  <si>
    <t>1 1/4"</t>
  </si>
  <si>
    <t>32 mm</t>
  </si>
  <si>
    <t>Operativa A</t>
  </si>
  <si>
    <t>5,32</t>
  </si>
  <si>
    <t>4,5</t>
  </si>
  <si>
    <t>23,94</t>
  </si>
  <si>
    <t>1 1/2"</t>
  </si>
  <si>
    <t>38 mm</t>
  </si>
  <si>
    <t>2"</t>
  </si>
  <si>
    <t>50 mm</t>
  </si>
  <si>
    <t>3"</t>
  </si>
  <si>
    <t>75 mm</t>
  </si>
  <si>
    <t>35 - 38</t>
  </si>
  <si>
    <t>Operativa B</t>
  </si>
  <si>
    <t>4"</t>
  </si>
  <si>
    <t>100 mm</t>
  </si>
  <si>
    <t>65 - 70</t>
  </si>
  <si>
    <t>Canaletas (Ductos) vs. Capacidad Real. Basado en Cable de 8mm y Norma TIA-569.</t>
  </si>
  <si>
    <t>Dimensión Comercial (Ancho x Alto)</t>
  </si>
  <si>
    <t>Área Total Aprox (mm2)</t>
  </si>
  <si>
    <t>Espacio Permitido 40% (mm2)</t>
  </si>
  <si>
    <t>Cables Máx. (8mm)</t>
  </si>
  <si>
    <t>25 x 15 mm</t>
  </si>
  <si>
    <t>Soporte al Usuario</t>
  </si>
  <si>
    <t>1,9</t>
  </si>
  <si>
    <t>5,7</t>
  </si>
  <si>
    <t>40 x 25 mm</t>
  </si>
  <si>
    <t>5,62</t>
  </si>
  <si>
    <t>60 x 40 mm</t>
  </si>
  <si>
    <t>100 x 45 mm</t>
  </si>
  <si>
    <t>Sala de Conferencias</t>
  </si>
  <si>
    <t>7,2</t>
  </si>
  <si>
    <t>5,85</t>
  </si>
  <si>
    <t>42,12</t>
  </si>
  <si>
    <t>100 x 60 mm</t>
  </si>
  <si>
    <t>100 x 100 mm</t>
  </si>
  <si>
    <t>Área de Networking Informal</t>
  </si>
  <si>
    <t>6.86</t>
  </si>
  <si>
    <t>1.88</t>
  </si>
  <si>
    <t>Pasillos</t>
  </si>
  <si>
    <t>Canaleta 25 x 15 mm</t>
  </si>
  <si>
    <t>w</t>
  </si>
  <si>
    <t>6,62</t>
  </si>
  <si>
    <t>4,56</t>
  </si>
  <si>
    <t>3,38</t>
  </si>
  <si>
    <t xml:space="preserve">Switch de Acceso </t>
  </si>
  <si>
    <t>Columna 1</t>
  </si>
  <si>
    <t>Columna 2</t>
  </si>
  <si>
    <t>Columna 3</t>
  </si>
  <si>
    <t>Columna 4</t>
  </si>
  <si>
    <t>Columna 5</t>
  </si>
  <si>
    <t>Columna 6</t>
  </si>
  <si>
    <t>Columna 7</t>
  </si>
  <si>
    <t>Columna 8</t>
  </si>
  <si>
    <t>Columna 9</t>
  </si>
  <si>
    <t>Ítem / Concepto</t>
  </si>
  <si>
    <t>4,71</t>
  </si>
  <si>
    <t>Cantidad</t>
  </si>
  <si>
    <t>11,58</t>
  </si>
  <si>
    <t>Unidad</t>
  </si>
  <si>
    <t>Modelo</t>
  </si>
  <si>
    <t>Especificación Clave</t>
  </si>
  <si>
    <t>Justificación Técnica</t>
  </si>
  <si>
    <t>Link</t>
  </si>
  <si>
    <t>Datashit</t>
  </si>
  <si>
    <t>Precio Unitario</t>
  </si>
  <si>
    <t>Precio Total</t>
  </si>
  <si>
    <t>Switch de Acceso L2</t>
  </si>
  <si>
    <t>Piezas</t>
  </si>
  <si>
    <t>Cisco Catalyst 2960X-24TS-L</t>
  </si>
  <si>
    <t>24x 10/100/1000 + 4x SFP, 216 Gbps switching</t>
  </si>
  <si>
    <t>Cuarto telecomuncicaciones</t>
  </si>
  <si>
    <t>65 dispositivos requieren 3 switches (72 puertos). Permite crecimiento y segmentación VLAN por área. Coherente con 2960 usado en PT.</t>
  </si>
  <si>
    <t>Switch</t>
  </si>
  <si>
    <t>DTC</t>
  </si>
  <si>
    <t>RACK 1 RED</t>
  </si>
  <si>
    <t>https://www.amazon.com/-/es/Eaton-Tripp-Lite-profundidad-Co-Location/dp/B002J9HEV8/ref=sr_1_1?adgrpid=172349964906&amp;dib=eyJ2IjoiMSJ9.OcL7_u_LEiLV6WuMCXOkLpGDVfsq9vRqlQGFhXE-x8aMwTfdPv0FESB-BTUJxvMx6pGPdTy8GO32z2ogVM5v1rIHhQWkNIS_XyhexkLbkp99L8zC9A53h-FKoEujtd-fKqy--AKm3I1gpApkaeN6kUaxrZXNl9DkY3G1wwEHRQ-1oyoDyM_7boGY2GpqkXCwTYgwumeTYWQ_hVZAQCzUJFJkzRNTC9AkDCIusPAurDc.wTThJbqS0RwdH2dpifokeQYvXitEO1t9t7XY-H-LCMg&amp;dib_tag=se&amp;hvadid=727238111955&amp;hvdev=c&amp;hvlocphy=9069516&amp;hvnetw=g&amp;hvqmt=b&amp;hvrand=15525425930531610957&amp;hvtargid=kwd-3966075603&amp;hydadcr=20779_13331630&amp;keywords=42u+server+rack+cabinet&amp;mcid=c43aff6b40cd358187de1f62d3935dd0&amp;qid=1770752325&amp;sr=8-1</t>
  </si>
  <si>
    <t>Ficha Tecnica</t>
  </si>
  <si>
    <t>Infraestructura Pasiva</t>
  </si>
  <si>
    <t>Unidad (U)</t>
  </si>
  <si>
    <t>Equipo / Componente</t>
  </si>
  <si>
    <t>Función Estratégica</t>
  </si>
  <si>
    <t>Capacidad base</t>
  </si>
  <si>
    <t>Modelo sugerido</t>
  </si>
  <si>
    <t>Ancho de banda (BW esperado)</t>
  </si>
  <si>
    <t>Velocidad de transferencia (Link)</t>
  </si>
  <si>
    <t>Justificación del modelo</t>
  </si>
  <si>
    <t>Precio</t>
  </si>
  <si>
    <t>link de compra</t>
  </si>
  <si>
    <t>Organizador Horizontal</t>
  </si>
  <si>
    <t>Gestión patch cords superiores</t>
  </si>
  <si>
    <t>—</t>
  </si>
  <si>
    <t>Panduit WMPFSE (1U) o similar</t>
  </si>
  <si>
    <t>Orden físico, evita tirones.</t>
  </si>
  <si>
    <t>https://www.mercadolibre.com.ec/organizador-vertical-para-rack-abierto-42ur-beaucoup-i-1159/p/MEC2060140598#polycard_client=search-desktop&amp;search_layout=grid&amp;position=1&amp;type=product&amp;tracking_id=202a82b7-6526-43a1-b4e2-5c64b053e9bb&amp;wid=MEC516152963&amp;sid=search</t>
  </si>
  <si>
    <t>Especificación</t>
  </si>
  <si>
    <t>Justificación</t>
  </si>
  <si>
    <t>Patch Panel Backbone (48p)</t>
  </si>
  <si>
    <t>Troncales hacia otros pisos y racks</t>
  </si>
  <si>
    <t>Cat6A</t>
  </si>
  <si>
    <t>Patch panel Cat6A 48p keystone</t>
  </si>
  <si>
    <t>Hasta 10 Gbps por enlace (según uplink usado)</t>
  </si>
  <si>
    <t>1G hoy / 10G posible</t>
  </si>
  <si>
    <t>Cat6A en backbone para crecer a 10G sin cambiar panelado.</t>
  </si>
  <si>
    <t>https://www.mercadolibre.com.ec/patch-panel-modular-nexxt-cat6-48-puerto-hd-certificado-rack/p/MEC2055800519#polycard_client=search-desktop&amp;search_layout=grid&amp;position=1&amp;type=product&amp;tracking_id=efb31816-171c-43c1-950c-4ac973487c63&amp;wid=MEC521209598&amp;sid=search</t>
  </si>
  <si>
    <t>Gabinete Telecomunicaciones</t>
  </si>
  <si>
    <t>Pieza</t>
  </si>
  <si>
    <t>Rack 18U Piso</t>
  </si>
  <si>
    <t>Soporta 3 switches + patch panels + UPS + organizadores</t>
  </si>
  <si>
    <t>Orden entre backbone y core</t>
  </si>
  <si>
    <t>Organizador 1U D-ring</t>
  </si>
  <si>
    <t>Gestión de latiguillos.</t>
  </si>
  <si>
    <t>Panel Ciego / Reserva</t>
  </si>
  <si>
    <t>Reserva/flujo de aire</t>
  </si>
  <si>
    <t>Blank panel 1U</t>
  </si>
  <si>
    <t>Aire + estética + expansión.</t>
  </si>
  <si>
    <t>Descripción Técnica</t>
  </si>
  <si>
    <t>https://www.sincables.com.ec/product/connection-bpa-0001-panel-ciego-para-rack-1u-19/?srsltid=AfmBOoowXewxcEyxiyFHPDZYXBJV84S6eBH3qBgmYHYOLUHEFyPhzoDf</t>
  </si>
  <si>
    <t>Firewall NGFW</t>
  </si>
  <si>
    <t>Seguridad perimetral, inspección, VPN</t>
  </si>
  <si>
    <t>1G LAN/WAN</t>
  </si>
  <si>
    <t>FortiGate 60F (o Sophos XGS 87)</t>
  </si>
  <si>
    <t>≈300–800 Mbps “realistas” (según reglas/UTM)</t>
  </si>
  <si>
    <t>1 Gbps</t>
  </si>
  <si>
    <t>Gama mediana suficiente para VLANs, NAT, VPN, control sin sobredimensionar.</t>
  </si>
  <si>
    <t>Gabinete de Telecomunicaciones</t>
  </si>
  <si>
    <t>https://www.amazon.com/gp/aw/d/B081268J3Q/?_encoding=UTF8&amp;pd_rd_plhdr=t&amp;aaxitk=de83348d185ac3557550a5ea366686ac&amp;hsa_cr_id=0&amp;qid=1770748058&amp;sr=1-1-9e67e56a-6f64-441f-a281-df67fc737124&amp;ref_=sbx_s_sparkle_sbtcd_asin_0_img&amp;pd_rd_w=xUlfi&amp;content-id=amzn1.sym.9f2b2b9e-47e9-4764-a4dc-2be2f6fca36d%3Aamzn1.sym.9f2b2b9e-47e9-4764-a4dc-2be2f6fca36d&amp;pf_rd_p=9f2b2b9e-47e9-4764-a4dc-2be2f6fca36d&amp;pf_rd_r=5Y7K4XJ48G9F953PC67Z&amp;pd_rd_wg=ButQV&amp;pd_rd_r=dc991604-e2fc-4b87-8b28-a941f164e0a2&amp;th=1</t>
  </si>
  <si>
    <t>Rack de Piso de 18U</t>
  </si>
  <si>
    <t>35–37</t>
  </si>
  <si>
    <t>Espacio Reserva</t>
  </si>
  <si>
    <t>Ventilación zona seguridad</t>
  </si>
  <si>
    <t>Separación térmica y crecimiento.</t>
  </si>
  <si>
    <t>Patch Panel CAT 6A (24 Puertos)</t>
  </si>
  <si>
    <t>Router de Borde</t>
  </si>
  <si>
    <t>1 por cada Switch. (Total 96 puertos). Se usan 3 para usuarios y 1 para interconexiones/distribución.</t>
  </si>
  <si>
    <t>Procesa el tráfico WAN de 382.5 Mbps. Soporta servicios de voz (VoIP) y seguridad para los 123 dispositivos del piso. Modelo estándar para simulación en Packet Tracer.</t>
  </si>
  <si>
    <t>Cisco 2911/K9</t>
  </si>
  <si>
    <t>75 Mbps</t>
  </si>
  <si>
    <t>https://www.router-switch.com/cisco2911-k9-p-156.html</t>
  </si>
  <si>
    <t>Patch Panel CAT6 (24 puertos)</t>
  </si>
  <si>
    <t>1 por switch (72 puertos totales)</t>
  </si>
  <si>
    <t>SWITCH CORE DC</t>
  </si>
  <si>
    <t>Organización estructurada y cumplimiento TIA-568</t>
  </si>
  <si>
    <t>Agregación central (L2) + troncales</t>
  </si>
  <si>
    <t>24x1G + uplinks</t>
  </si>
  <si>
    <t>Cisco Catalyst 3650 24 Puerto</t>
  </si>
  <si>
    <t>6,8</t>
  </si>
  <si>
    <t>≈1 Gbps por uplink activo (hoy) / ≈10 Gbps si migras uplinks</t>
  </si>
  <si>
    <t>1 Gbps acceso / 10 Gbps uplink (si se usa)</t>
  </si>
  <si>
    <t>Core L2 “justo”: 24 puertos cobre + uplinks para backbone/servidores.</t>
  </si>
  <si>
    <t>https://www.amazon.es/Cisco-CATALYST-3650-24-PORT/dp/B01N0ZGJ66</t>
  </si>
  <si>
    <t>1U. Uno para cada Patch Panel.</t>
  </si>
  <si>
    <t>Orden hacia distribución</t>
  </si>
  <si>
    <t>Organizador 1U</t>
  </si>
  <si>
    <t>Panel Ciego</t>
  </si>
  <si>
    <t>Organizador Horizontal 1U</t>
  </si>
  <si>
    <t>Flujo aire frontal</t>
  </si>
  <si>
    <t>PDU (Regleta)</t>
  </si>
  <si>
    <t>1 por cada Patch Panel</t>
  </si>
  <si>
    <t>Montaje horizontal (1U), 8 tomas con supresor.</t>
  </si>
  <si>
    <t>Gestión ordenada de patch cords</t>
  </si>
  <si>
    <t>U30</t>
  </si>
  <si>
    <t>Patch Panel Piso2 #1</t>
  </si>
  <si>
    <t>Patch a SW Acceso #1</t>
  </si>
  <si>
    <t>Cat6 24p</t>
  </si>
  <si>
    <t>Patch panel Cat6 24p</t>
  </si>
  <si>
    <t>≈1 Gbps por enlace</t>
  </si>
  <si>
    <t>Acceso a 1G suficiente para puestos/AP/VoIP.</t>
  </si>
  <si>
    <t>https://www.mercadolibre.com.ec/patch-panel-24-puertos-nexxt-cat6-con-jacks-certificado-rack/up/MECU2434096693#polycard_client=search-desktop&amp;search_layout=grid&amp;position=1&amp;type=product&amp;tracking_id=f9258e4b-2927-4abb-b7a9-c57a6ee54aef&amp;wid=MEC521040590&amp;sid=search</t>
  </si>
  <si>
    <t>U29</t>
  </si>
  <si>
    <t>SW Acceso Piso2 #1 (PoE+)</t>
  </si>
  <si>
    <t>Usuarios/VLANs Piso2</t>
  </si>
  <si>
    <t>24x1G PoE+</t>
  </si>
  <si>
    <t>UPS (Respaldo)</t>
  </si>
  <si>
    <t>SWITCH CISCO CATALYST C1000-24P-4G-L</t>
  </si>
  <si>
    <t>Uplink efectivo: ~600–900 Mbps (uso real)</t>
  </si>
  <si>
    <t>PoE+ para AP/VoIP/CCTV sin inyectores.</t>
  </si>
  <si>
    <t>https://ecuacomp.com/producto/switch-cisco-catalyst-c1000-24p-4g-l-administrable-l2-de-24-puertos-10-100-1000-poe-195w-4-puertos-gigabit-sfp/</t>
  </si>
  <si>
    <t>Montaje en Rack (4U). Respaldo para los 4 switches.</t>
  </si>
  <si>
    <t>PDU (Regleta Rack)</t>
  </si>
  <si>
    <t>8 tomas mínimo</t>
  </si>
  <si>
    <t>Alimentación centralizada</t>
  </si>
  <si>
    <t>U28</t>
  </si>
  <si>
    <t>Patch Panel Piso2 #2</t>
  </si>
  <si>
    <t>Patch a SW #2</t>
  </si>
  <si>
    <t>Tornillería M6</t>
  </si>
  <si>
    <t>U27</t>
  </si>
  <si>
    <t>SW Acceso Piso2 #2 (PoE+)</t>
  </si>
  <si>
    <t>Kit</t>
  </si>
  <si>
    <t>Jaulas y tuercas para anclar los 4 switches y 4 paneles.</t>
  </si>
  <si>
    <t>~600–900 Mbps uplink</t>
  </si>
  <si>
    <t>UPS Rack</t>
  </si>
  <si>
    <t>Homogeneidad de modelo.</t>
  </si>
  <si>
    <t>1500VA mínimo</t>
  </si>
  <si>
    <t>U26</t>
  </si>
  <si>
    <t>Patch Panel Piso2 #3</t>
  </si>
  <si>
    <t>Respaldo eléctrico para switches</t>
  </si>
  <si>
    <t>Patch a SW #3</t>
  </si>
  <si>
    <t>Patch Cord CAT 6A (Usuarios)</t>
  </si>
  <si>
    <t>U25</t>
  </si>
  <si>
    <t>SW Acceso Piso2 #3 (PoE+)</t>
  </si>
  <si>
    <t>1 ft. Conectan de los Paneles a los puertos de usuario de los 4 Switches.</t>
  </si>
  <si>
    <t>U24</t>
  </si>
  <si>
    <t>Patch Panel Piso2 #4</t>
  </si>
  <si>
    <t>Patch a SW #4</t>
  </si>
  <si>
    <t>U23</t>
  </si>
  <si>
    <t>SW Acceso Piso2 #4 (PoE+)</t>
  </si>
  <si>
    <t>96 puertos totales (4x24) para ~75 nodos + crecimiento.</t>
  </si>
  <si>
    <t>Cableado</t>
  </si>
  <si>
    <t>Patch Cord CAT 6A (Uplinks Internos)</t>
  </si>
  <si>
    <t>Gestión cables acceso</t>
  </si>
  <si>
    <t>3 ft.  Conectan el puerto Gigabit de CADA UNO de los 4 Switches hacia el Patch Panel del Backbone.</t>
  </si>
  <si>
    <t>PDU Horizontal</t>
  </si>
  <si>
    <t>Distribución eléctrica</t>
  </si>
  <si>
    <t>15A/20A</t>
  </si>
  <si>
    <t>APC AP9565 (o similar)</t>
  </si>
  <si>
    <t>No aplica BW; solo energía confiable.</t>
  </si>
  <si>
    <t>https://www.amazon.com/-/es/APC-AP9565-Protector-contra-sobretensiones/dp/B0001JXAAW?th=1</t>
  </si>
  <si>
    <t>18–20</t>
  </si>
  <si>
    <t>UPS Rackmount</t>
  </si>
  <si>
    <t>Respaldo eléctrico</t>
  </si>
  <si>
    <t>3kVA</t>
  </si>
  <si>
    <t>APC SMT3000RM2U</t>
  </si>
  <si>
    <t>Soporta core+acceso+firewall; margen por PoE variable.</t>
  </si>
  <si>
    <t>https://octopart.com/es/part/apc/SMT3000RM2U?gad_source=1&amp;gad_campaignid=20635219167&amp;gbraid=0AAAAADZKcp9xQALR5w_b0-P2SOOTc43Tz&amp;gclid=Cj0KCQiAy6vMBhDCARIsAK8rOgl8ykYNvhbaAvaGpHIs5hyRD339NcInHsXBfcG57DUEt804NetcOS0aAka2EALw_wcB</t>
  </si>
  <si>
    <t>Patch Cord CAT6 (Usuarios)</t>
  </si>
  <si>
    <t>1 ft</t>
  </si>
  <si>
    <t>Conexión patch panel → switch</t>
  </si>
  <si>
    <t>Patch Cord CAT6 (Uplinks Internos)</t>
  </si>
  <si>
    <t xml:space="preserve">Piso </t>
  </si>
  <si>
    <t>5 ft</t>
  </si>
  <si>
    <t>Cables (utp)</t>
  </si>
  <si>
    <t>Conexión switch → patch panel (rack)</t>
  </si>
  <si>
    <t>Se selecciona 5 ft permitir radio de curvatura adecuado, gestión por organizadores horizontales y evitar tensión en conectores dentro del rack.</t>
  </si>
  <si>
    <t>Faceplates 2 puertos</t>
  </si>
  <si>
    <t>Faceplates 4 puertos</t>
  </si>
  <si>
    <t>Caja de Paso 150 x 150 x90 mm</t>
  </si>
  <si>
    <t>Caja de Paso 200x 200x90 mm</t>
  </si>
  <si>
    <t>Canaletas 25x15mm</t>
  </si>
  <si>
    <t>U</t>
  </si>
  <si>
    <t>BW esperado</t>
  </si>
  <si>
    <t>Velocidad (link)</t>
  </si>
  <si>
    <t>Organizador horizontal</t>
  </si>
  <si>
    <t>PISO 4 TOTAL</t>
  </si>
  <si>
    <t>Organizador 1U (Panduit / TrippLite)</t>
  </si>
  <si>
    <t>Orden y mantenimiento, evita tirones/desconexiones.</t>
  </si>
  <si>
    <r>
      <rPr>
        <rFont val="&quot;Aptos Narrow&quot;, sans-serif"/>
        <color rgb="FF1155CC"/>
        <sz val="11.0"/>
        <u/>
      </rPr>
      <t>https://www.mercadolibre.com.ec/organizador-horizontal-panduit-patchlink-1ur-para-rack-19/up/MECU2434096431#polycard_client=search-desktop&amp;search_layout=grid&amp;position=1&amp;type=product&amp;tracking_id=58fa6740-8b1f-4e39-9442-fbecbdaa3fbb&amp;wid=MEC516172004&amp;sid=search</t>
    </r>
  </si>
  <si>
    <t>Patch panel -&gt; Switch Core</t>
  </si>
  <si>
    <t>Patch Panel Servidores (24p Cat6A)</t>
  </si>
  <si>
    <t>Concentrar conexiones de servidores hacia CORE</t>
  </si>
  <si>
    <t>24 puertos</t>
  </si>
  <si>
    <t>Patch panel Cat6A 24p (Panduit/Leviton)</t>
  </si>
  <si>
    <t>Hasta 10G por enlace</t>
  </si>
  <si>
    <t>Cat6A permite crecer a 10G sin recablear, pero hoy opera perfecto a 1G.</t>
  </si>
  <si>
    <t>https://www.mercadolibre.com.ec/panel-de-parcheo-panduit-nkfp24y-negro/p/MEC29390544#polycard_client=search-desktop&amp;search_layout=grid&amp;position=4&amp;type=product&amp;tracking_id=816d4ea3-ec9f-4656-8931-7423e63825bc&amp;wid=MEC759434504&amp;sid=search</t>
  </si>
  <si>
    <t>76 dispositivos requieren 4 switches (76 puertos). Permite crecimiento y segmentación VLAN por área. Coherente con 2960 usado en PT.</t>
  </si>
  <si>
    <t>Orden entre patching y equipos</t>
  </si>
  <si>
    <t>Limpieza del frontal y facilidad de troubleshooting.</t>
  </si>
  <si>
    <t>Total Precio</t>
  </si>
  <si>
    <t>Panel ciego / reserva</t>
  </si>
  <si>
    <t>Flujo de aire + expansión</t>
  </si>
  <si>
    <t>Mejora térmica y deja espacio para crecimiento.</t>
  </si>
  <si>
    <t>Servidor de Telefonía (IP-PBX)</t>
  </si>
  <si>
    <t>Control de llamadas/extensiones (voz)</t>
  </si>
  <si>
    <t>CABLEADO (utp)</t>
  </si>
  <si>
    <t>1U</t>
  </si>
  <si>
    <t>Dell PowerEdge R250 / HPE DL20 Gen10</t>
  </si>
  <si>
    <t>Bajo (voz)</t>
  </si>
  <si>
    <t>1G</t>
  </si>
  <si>
    <t xml:space="preserve">DISTANCIAS </t>
  </si>
  <si>
    <t>Voz no requiere mucho BW, pero sí estabilidad. Un 1U liviano es suficiente.</t>
  </si>
  <si>
    <r>
      <rPr>
        <rFont val="&quot;Aptos Narrow&quot;, sans-serif"/>
        <color rgb="FF1155CC"/>
        <sz val="11.0"/>
        <u/>
      </rPr>
      <t>https://www.mercadolibre.com.ec/servidor-dell-poweredge-t160-xeon-6315p-4core-16gb-ram-1tb/up/MECU2438800678#polycard_client=search-desktop&amp;search_layout=grid&amp;position=1&amp;type=product&amp;tracking_id=53f710ef-7493-45b9-8cf0-63cabc68afb5&amp;wid=MEC514157061&amp;sid=search</t>
    </r>
  </si>
  <si>
    <t>Tubos</t>
  </si>
  <si>
    <t>Switch -&gt; Patch panel (de switches)</t>
  </si>
  <si>
    <t>Cables</t>
  </si>
  <si>
    <t>Total (m)</t>
  </si>
  <si>
    <t>Consola (Monitor/KVM)</t>
  </si>
  <si>
    <t>Tubo pulgadas</t>
  </si>
  <si>
    <t>Gestión local de servidores</t>
  </si>
  <si>
    <t>KVM consola 17” rackmount (Tripp Lite / StarTech)</t>
  </si>
  <si>
    <t xml:space="preserve">TOTAL </t>
  </si>
  <si>
    <t>Administración rápida sin laptop; defendible en DC real.</t>
  </si>
  <si>
    <r>
      <rPr>
        <rFont val="&quot;Aptos Narrow&quot;, sans-serif"/>
        <color rgb="FF1155CC"/>
        <sz val="11.0"/>
        <u/>
      </rPr>
      <t>https://articulo.mercadolibre.com.ec/MEC-732316570-cable-kvm-45m-tripp-lite-pn-p780-015-_JM#polycard_client=search-desktop&amp;search_layout=grid&amp;position=1&amp;type=item&amp;tracking_id=6b66e102-d83f-4445-8b44-9a66e69a3600&amp;wid=MEC732316570&amp;sid=search</t>
    </r>
  </si>
  <si>
    <t>Bandeja (shelf)</t>
  </si>
  <si>
    <t>Equipo no rackeable (router/ONT, etc.)</t>
  </si>
  <si>
    <t>Bandeja 1U</t>
  </si>
  <si>
    <t>Rack 42U Piso</t>
  </si>
  <si>
    <t>Si el ISP deja ONT/Router pequeño, aquí queda fijo y ordenado.</t>
  </si>
  <si>
    <t>Soporta 4 switches + patch panels + UPS + organizadores</t>
  </si>
  <si>
    <t>DISTANCIA TRAMO 1</t>
  </si>
  <si>
    <t>DISTANCIA TRAMO 2 (solo rejilla)</t>
  </si>
  <si>
    <t xml:space="preserve">Total distancia hasta el rack </t>
  </si>
  <si>
    <t>Cable CAT6</t>
  </si>
  <si>
    <t>Servidor DNS/DHCP</t>
  </si>
  <si>
    <t>Direcciones IP + resolución nombres</t>
  </si>
  <si>
    <t>Dell R250 / HPE DL20</t>
  </si>
  <si>
    <t xml:space="preserve">Tubo 1 </t>
  </si>
  <si>
    <t>Bajo</t>
  </si>
  <si>
    <t>Servicio crítico pero liviano; 1U suficiente.</t>
  </si>
  <si>
    <t>3/4</t>
  </si>
  <si>
    <t>https://www.mercadolibre.com.ec/servidor-dell-poweredge-t160-xeon-6315p-4core-16gb-ram-1tb/up/MECU2438800678#polycard_client=search-desktop&amp;search_layout=grid&amp;position=2&amp;type=product&amp;tracking_id=a19b9b59-9366-42c4-9c06-bd0f374a98ef&amp;wid=MEC514157061&amp;sid=search</t>
  </si>
  <si>
    <t>Servidor IoT / VMS</t>
  </si>
  <si>
    <t>Monitoreo IoT + cámaras (si aplica)</t>
  </si>
  <si>
    <t>2U recomendado</t>
  </si>
  <si>
    <t>Servidor Dell PowerEdge R350 Intel Xeon</t>
  </si>
  <si>
    <t>Alto (CCTV/IoT)</t>
  </si>
  <si>
    <t>1G mínimo (ideal preparado 10G)</t>
  </si>
  <si>
    <t>Es el que más “jala” tráfico y almacenamiento. Si hay muchas cámaras, aquí se justifica crecimiento.</t>
  </si>
  <si>
    <t>https://nanotroniconline.com/producto/servidor-dell-poweredge-r350-intel/</t>
  </si>
  <si>
    <t>Tubo 2</t>
  </si>
  <si>
    <t>Servidor Email</t>
  </si>
  <si>
    <t>1 por switch (76 puertos totales)</t>
  </si>
  <si>
    <t>Correo interno/servicios mail</t>
  </si>
  <si>
    <t>Bajo–medio</t>
  </si>
  <si>
    <t>Tráfico moderado; lo importante es disponibilidad.</t>
  </si>
  <si>
    <t>Tubo 3</t>
  </si>
  <si>
    <t>Servidor FTP</t>
  </si>
  <si>
    <t>Transferencia/backup de archivos</t>
  </si>
  <si>
    <t>Dell R230 / HPE DL20</t>
  </si>
  <si>
    <t>Medio (picos)</t>
  </si>
  <si>
    <t>Picos por subidas; 1G alcanza para campus.</t>
  </si>
  <si>
    <t>https://www.ebay.com/itm/376868474298?chn=ps&amp;norover=1&amp;mkevt=1&amp;mkrid=711-166974-028196-7&amp;mkcid=2&amp;mkscid=101&amp;itemid=376868474298&amp;targetid=2274951440814&amp;device=c&amp;mktype=pla&amp;googleloc=9069516&amp;poi=&amp;campaignid=23498774567&amp;mkgroupid=192764049032&amp;rlsatarget=pla-2274951440814&amp;abcId=10593666&amp;merchantid=6578064&amp;geoid=9069516&amp;gad_source=1&amp;gad_campaignid=23498774567&amp;gbraid=0AAAAAD_QDh-PqTeOqsznj3TeokZ40gEms&amp;gclid=Cj0KCQiAy6vMBhDCARIsAK8rOgmSEIXIngu6Hd0P_6yaXX6Xj7nFPQxKPfxqvmVOlXBPB17kED8cnbUaAvujEALw_wcB</t>
  </si>
  <si>
    <t>Router</t>
  </si>
  <si>
    <t>Tubo 4</t>
  </si>
  <si>
    <t>Tubo 5</t>
  </si>
  <si>
    <t>Servidor Web/Intranet</t>
  </si>
  <si>
    <t>Portal interno / web corporativa</t>
  </si>
  <si>
    <t>Carga típica interna no requiere más.</t>
  </si>
  <si>
    <t>Servidor Base de Datos (SQL “nombrado”)</t>
  </si>
  <si>
    <t>BD corporativa (documentado)</t>
  </si>
  <si>
    <t>1U/2U</t>
  </si>
  <si>
    <t>Medio</t>
  </si>
  <si>
    <t>No sobrado: BD es crítico y suele crecer con el tiempo.</t>
  </si>
  <si>
    <t>Aire/crecimiento</t>
  </si>
  <si>
    <t>27–26</t>
  </si>
  <si>
    <t>Rejilla 1</t>
  </si>
  <si>
    <t>Panel ciego</t>
  </si>
  <si>
    <t>Aire</t>
  </si>
  <si>
    <t>Tubo 6</t>
  </si>
  <si>
    <t>PDU horizontal</t>
  </si>
  <si>
    <t>APC / Tripp Lite 15A/20A</t>
  </si>
  <si>
    <t>Estándar rack.</t>
  </si>
  <si>
    <t>https://www.amazon.com/SMART1500LCD-Respaldo-corriente-Senoidal-Profundidad/dp/B000DZRY9C/ref=sr_1_2_sspa?adgrpid=147231616930&amp;dib=eyJ2IjoiMSJ9.jnVTrrNz-T_wCEo3l_H0vK0NraPlWriG9-u3V9UIdpQN0Y6pAeZRBBC2fqrXfrmJaLq1oBh6Jpj1G1vJKiRcB0NGWI691-eDWFuimWfvdMq3n51WQ59aORwKI4K2jwxgQk8iRZSAJp5tAo7TPwujN8R5GrtS7kYZdMIeyqTPj6Yb8qAb64yvGYipGKGGJ7s7bn-ou1co8cuyA_3nvB6DuYFprxeIK8waXEs30mCyw2s.HzXqnQnf9CP3hg505aiWq6eB8bdkXaUvXbxFCTZVsuY&amp;dib_tag=se&amp;hvadid=668214457912&amp;hvdev=c&amp;hvlocphy=9069516&amp;hvnetw=g&amp;hvqmt=b&amp;hvrand=5044980437917770385&amp;hvtargid=kwd-297715708015&amp;hydadcr=20776_13331643&amp;keywords=apc%2Bsmart-ups%2B1500va&amp;mcid=fe430c3a9d3b3d5ba44326e7b2079bc4&amp;qid=1770750759&amp;sr=8-2-spons&amp;sp_csd=d2lkZ2V0TmFtZT1zcF9hdGY&amp;th=1</t>
  </si>
  <si>
    <t>21–23</t>
  </si>
  <si>
    <t>2–3U</t>
  </si>
  <si>
    <t>APC SMT3000RM2U (o 2200VA si ajustas)</t>
  </si>
  <si>
    <t>Mantiene DC vivo ante cortes y permite apagado seguro.</t>
  </si>
  <si>
    <t>https://www.amazon.com/-/es/APC-SmartConnect-SMT3000RM2UC-alimentaci%C3%B3n-ininterrumpida/dp/B0785NCFMY/ref=sr_1_1?adgrpid=167396626719&amp;dib=eyJ2IjoiMSJ9.jRsdR4B01GnOFUcF-hXUTpSdQDWwnxMRx0T-9J_CWH-v3FIw_8kAUgHNlzH2CqcEjvM5fymM-Cqce_FW-rMd-lSC9OQKUH-bhXdngBYves-Rm_KqMuwsXLGVedVxoZx6u94RMyTPDQO4BQkUgsiEgzfSV4kyD52bNOn7pRxu3Vr9aGw-pU5KGI4W9an9sV-JVgQj6SJhw9yyztqsbHAK5t0KSzQzYqFt4mKMFjAKuRPpv304jdZV98okSZ2lU8dpNUJPUb1uega_AFnt6PrlNu86zv8CWfQw0aUTDR37DeI.l640mRUnAYLmUDWxYv54txhyMlMTUOdWuuSYWNijQBg&amp;dib_tag=se&amp;hvadid=715330665975&amp;hvdev=c&amp;hvlocphy=9069516&amp;hvnetw=g&amp;hvqmt=b&amp;hvrand=15486252816001185669&amp;hvtargid=kwd-361241923117&amp;hydadcr=2747_13713694&amp;keywords=ups%2Bapc%2B3000va&amp;mcid=331216f9688631e3b63885e01722b24c&amp;qid=1770750864&amp;s=electronics&amp;sr=1-1&amp;th=1</t>
  </si>
  <si>
    <t>Tubo 7</t>
  </si>
  <si>
    <t>ancho</t>
  </si>
  <si>
    <t>Tubo 8</t>
  </si>
  <si>
    <t>alto</t>
  </si>
  <si>
    <t>1–20</t>
  </si>
  <si>
    <t>Reserva</t>
  </si>
  <si>
    <t>Tubo 9</t>
  </si>
  <si>
    <t>Expansión</t>
  </si>
  <si>
    <t>Espacio para más servidores/discos/segundo UPS.</t>
  </si>
  <si>
    <t>Tubo 10</t>
  </si>
  <si>
    <t>Rejilla 2</t>
  </si>
  <si>
    <t>Tubo 11</t>
  </si>
  <si>
    <t>TOTAL RACK 1 y 2</t>
  </si>
  <si>
    <t>Tramo 1</t>
  </si>
  <si>
    <t>Tramo 2</t>
  </si>
  <si>
    <t>Tubo 12</t>
  </si>
  <si>
    <t>Tubo 13</t>
  </si>
  <si>
    <t>Tubo 14</t>
  </si>
  <si>
    <t>Conexión Patch panel → Switch Core</t>
  </si>
  <si>
    <t>Tubo 15</t>
  </si>
  <si>
    <t>Tubo 16</t>
  </si>
  <si>
    <t>80 dispositivos requieren 4 switches (96 puertos). Permite crecimiento y segmentación VLAN por área. Coherente con 2960 usado en PT.</t>
  </si>
  <si>
    <t>Tubo 17</t>
  </si>
  <si>
    <t>Tubo 18</t>
  </si>
  <si>
    <t>Tubo 19</t>
  </si>
  <si>
    <t xml:space="preserve"> </t>
  </si>
  <si>
    <t>PKT</t>
  </si>
  <si>
    <t>TV</t>
  </si>
  <si>
    <t>laptop</t>
  </si>
  <si>
    <t>Conexión Switch → Patch panel (de switches)</t>
  </si>
  <si>
    <t>Tubo 20</t>
  </si>
  <si>
    <t>HMI</t>
  </si>
  <si>
    <t>PC</t>
  </si>
  <si>
    <t>Tubo 21</t>
  </si>
  <si>
    <t>Tubo 22</t>
  </si>
  <si>
    <t>Tubo 23</t>
  </si>
  <si>
    <t>Face Plate</t>
  </si>
  <si>
    <t>Rack 24U Piso</t>
  </si>
  <si>
    <t>RACK SERVIDORES</t>
  </si>
  <si>
    <t>ÁREA</t>
  </si>
  <si>
    <t>LARGO</t>
  </si>
  <si>
    <t>ANCHO</t>
  </si>
  <si>
    <t>ALTO</t>
  </si>
  <si>
    <t>IMPRESORAS</t>
  </si>
  <si>
    <t>AP</t>
  </si>
  <si>
    <t>CÁMARAS</t>
  </si>
  <si>
    <t>SENSORES</t>
  </si>
  <si>
    <t>PROYECTORES</t>
  </si>
  <si>
    <t>TV/HMI</t>
  </si>
  <si>
    <t>ROBOTS</t>
  </si>
  <si>
    <t>MAQUINAS IoT</t>
  </si>
  <si>
    <t>PLC</t>
  </si>
  <si>
    <t>PUESTOS DE TRABAJO</t>
  </si>
  <si>
    <t>Elemento</t>
  </si>
  <si>
    <t>Cantidad dispositivos</t>
  </si>
  <si>
    <t>Faceplate totales</t>
  </si>
  <si>
    <t>Área de trabajo</t>
  </si>
  <si>
    <t>1 por switch (96 puertos totales)</t>
  </si>
  <si>
    <t>1 puerto</t>
  </si>
  <si>
    <t>2 puertos</t>
  </si>
  <si>
    <t>3 puertos</t>
  </si>
  <si>
    <t xml:space="preserve">4 puertos </t>
  </si>
  <si>
    <t>Patchcord</t>
  </si>
  <si>
    <t>49 dispositivos requieren 3 switches (72 puertos). Permite crecimiento y segmentación VLAN por área. Coherente con 2960 usado en PT.</t>
  </si>
  <si>
    <t xml:space="preserve">Faceplate </t>
  </si>
  <si>
    <t>Componente</t>
  </si>
  <si>
    <t>Cantidad Total</t>
  </si>
  <si>
    <t>Precio/Unidad ($)</t>
  </si>
  <si>
    <t>Cajetin</t>
  </si>
  <si>
    <t>Precio/Total ($)</t>
  </si>
  <si>
    <t>Dimensiones Canaleta</t>
  </si>
  <si>
    <t>Ficha técnica 1</t>
  </si>
  <si>
    <t>Características adicionales</t>
  </si>
  <si>
    <t>Codo Canaleta</t>
  </si>
  <si>
    <t>T canaleta</t>
  </si>
  <si>
    <t>Codo Tubo</t>
  </si>
  <si>
    <t xml:space="preserve">Total rejilla </t>
  </si>
  <si>
    <t>Rejilla 100x100mm (3m)</t>
  </si>
  <si>
    <t>https://matmax-aiscan.s3.eu-west-1.amazonaws.com/akeneo_files/AISCAN%20BMPZ.pdf</t>
  </si>
  <si>
    <t>LOBBY</t>
  </si>
  <si>
    <t>https://www.gruponovelec.com/p/ais_bmpz1010</t>
  </si>
  <si>
    <t>max 2 cables</t>
  </si>
  <si>
    <t>max 7 cables</t>
  </si>
  <si>
    <t>Servidores</t>
  </si>
  <si>
    <t>max 17 cables</t>
  </si>
  <si>
    <t>5 de una unidad, 2 de dos unidades</t>
  </si>
  <si>
    <t>max 47 cables</t>
  </si>
  <si>
    <t xml:space="preserve">Servidores, mail,ftp, dns, dhcp, telefonia, web 1u. IoT, Servidor base de datos 2u. </t>
  </si>
  <si>
    <t>max 19 cables</t>
  </si>
  <si>
    <t>https://www.panduit.com/content/dam/panduit/en/products/media/0/10/310/4310/109894310.pdf</t>
  </si>
  <si>
    <t>https://www.importadoraespinoza.com/wallplate-faceplate-de-4-puertos-rj45</t>
  </si>
  <si>
    <t>https://jmsecuritysystem.com/shop/lhd-25x15-kopos-lhd-25x15-canaleta-pvc-sin-adhesivo-blanco-2mt-4956?srsltid=AfmBOoqi6cD87f4y1TCtsmMMuuTKEDnD-y7y12uVt3YTye8fZvvLgJBx#attr=</t>
  </si>
  <si>
    <t>3 ft</t>
  </si>
  <si>
    <t>100x100x55mm</t>
  </si>
  <si>
    <t>25x15mm(2m)</t>
  </si>
  <si>
    <r>
      <rPr>
        <rFont val="Arial"/>
        <color rgb="FF1155CC"/>
        <sz val="12.0"/>
        <u/>
      </rPr>
      <t>https://jmsecuritysystem.com/shop/lhd-25x15-kopos-lhd-25x15-canaleta-pvc-sin-adhesivo-blanco-2mt-4956?srsltid=AfmBOoqi6cD87f4y1TCtsmMMuuTKEDnD-y7y12uVt3YTye8fZvvLgJBx#attr=</t>
    </r>
  </si>
  <si>
    <t>40x25mm(2m)</t>
  </si>
  <si>
    <t>25x15mm</t>
  </si>
  <si>
    <t>40x25mm</t>
  </si>
  <si>
    <t xml:space="preserve"> 3/4'' (19mm)</t>
  </si>
  <si>
    <t>2'' (50mm)</t>
  </si>
  <si>
    <r>
      <rPr>
        <rFont val="Arial"/>
        <color rgb="FF1155CC"/>
        <sz val="12.0"/>
        <u/>
      </rPr>
      <t>https://www.kywi.com.ec/canaleta-lisa-40x25-blanca-sin-division-dexson-schneider/p</t>
    </r>
  </si>
  <si>
    <t>100x60mm (3m)</t>
  </si>
  <si>
    <t>60x40mm (3m)</t>
  </si>
  <si>
    <t>Impresora Enfermería</t>
  </si>
  <si>
    <t>https://www.kywi.com.ec/canaleta-de-pvc-de-2-m-x-20mm-x-12mm-de-ancho-diseno-de-1-compartimiento-con-fijacion-mediante-tornillo/p</t>
  </si>
  <si>
    <t>OFICINAS</t>
  </si>
  <si>
    <t>https://tecnit.com.ec/producto/faceplate-de-2-puertos-panduit-nk2fiwy-blanco-tapa-para-caja-sobrepuesta/?srsltid=AfmBOoqQzZgmpmACDJJz05RWj3YBSQZACE4K6EoYcBW8cuFnzC_XBqQu</t>
  </si>
  <si>
    <t>Canaletas 40x25mm</t>
  </si>
  <si>
    <t>Conexión switch → patch panel (rack IDF)</t>
  </si>
  <si>
    <t>https://www.kywi.com.ec/canaleta-lisa-40x25-blanca-sin-division-dexson-schneider/p</t>
  </si>
  <si>
    <t xml:space="preserve">Conexión switch → patch panel </t>
  </si>
  <si>
    <t>Sensor Seguridad</t>
  </si>
  <si>
    <t>https://connection-cs.com/?m=pn_product.php&amp;id=12&amp;sid=34&amp;pn=CPC-6201</t>
  </si>
  <si>
    <t>https://www.sincables.com.ec/product/cpc-6201-connection-patchcord-utp-100-cobre-23-awg-cat6-1ft-azul/?srsltid=AfmBOooe6YrHjlUSgWYo1MrgDyb3w4Jr05F0bq_R8T0gSHSJJ3ImsOOw</t>
  </si>
  <si>
    <t>Patchcords (3 ft)</t>
  </si>
  <si>
    <t>SALA DE JUNTAS</t>
  </si>
  <si>
    <t>Sensor Humo</t>
  </si>
  <si>
    <t>https://suptelcom.com.ec/wp-content/uploads/2026/01/Ficha-Tenica-o-Data-Sheet-de-NK6PC3Y-Patch-Cord-en-Categoria-6-UTP-3ft-o-1-metro-de-color-Int-Gray-en-Panduit-NetKey.pdf</t>
  </si>
  <si>
    <t>https://suptelcom.com.ec/product/patch-cord-cat6-utp-3ft-blanco-panduit-netkey/</t>
  </si>
  <si>
    <t>CAPACITACION</t>
  </si>
  <si>
    <t>Total distancia hasta el rack</t>
  </si>
  <si>
    <t>Tubo 1</t>
  </si>
  <si>
    <t>0,91</t>
  </si>
  <si>
    <t>SALA JUNTAS</t>
  </si>
  <si>
    <t>Canaleta Total Tramos</t>
  </si>
  <si>
    <t>https://www.fs.com/mx/products/63446.html</t>
  </si>
  <si>
    <t>BAÑOS/VESTIDORES</t>
  </si>
  <si>
    <t>5,13</t>
  </si>
  <si>
    <t>CAPACITACÍON</t>
  </si>
  <si>
    <t>3,43</t>
  </si>
  <si>
    <t>Isla C hacia la bandeja principal</t>
  </si>
  <si>
    <t>6,74</t>
  </si>
  <si>
    <t>3,49</t>
  </si>
  <si>
    <t>https://ecuacomp.com/producto/cable-de-red-utp-patch-cord-nexxt-cat6-certificado-10-pies-azul-gris/</t>
  </si>
  <si>
    <t>6,41</t>
  </si>
  <si>
    <t>Isla B hacia la bandeja principal</t>
  </si>
  <si>
    <t>9,94</t>
  </si>
  <si>
    <t>https://www.se.com/co/es/product/download-pdf/DXN5002S?filename=Schneider+Electric_Dexson_DXN5002S.pdf</t>
  </si>
  <si>
    <t>https://www.dyprelec.com/producto/cajetin-rectangular-sobrepuesto-dexson-55mm/?srsltid=AfmBOoqQNy-prX1qQapc8JqJtL0j8ceU1ryxCEp37jtPlWcOVwzW-bnL</t>
  </si>
  <si>
    <t>14,1</t>
  </si>
  <si>
    <t>Jacks RJ-45 CAT6</t>
  </si>
  <si>
    <t>Isla D hacia la bandeja principal</t>
  </si>
  <si>
    <t>ENFERMERIA</t>
  </si>
  <si>
    <t>20,49</t>
  </si>
  <si>
    <t>https://files.siemon.com/en/specsheet/siemon-z-max-6a-shielded-outlets_spec-sheet.pdf</t>
  </si>
  <si>
    <t>16,94</t>
  </si>
  <si>
    <t>https://articulo.mercadolibre.com.ec/MEC-581849574-conector-jack-rj45-commscope-hembra-cat6-tipo-110-_JM#polycard_client=search-nordic&amp;position=8&amp;search_layout=stack&amp;type=item&amp;tracking_id=58405fbd-cadb-4af1-928f-5abc0bb393cd&amp;wid=MEC581849574&amp;sid=search</t>
  </si>
  <si>
    <t>18,49</t>
  </si>
  <si>
    <t>Teléfono IP Yealink SIP-T31P</t>
  </si>
  <si>
    <t>Rejilla Principal</t>
  </si>
  <si>
    <t>https://www.yealink.com/es/product-detail/ip-phone-t31p</t>
  </si>
  <si>
    <t>BAÑOS</t>
  </si>
  <si>
    <t>https://www.amazon.com/-/es/Tel%C3%A9fono-pulgadas-adaptador-corriente-SIP-T31P/dp/B093KTSMZ1</t>
  </si>
  <si>
    <t>8,83</t>
  </si>
  <si>
    <t>Impresora Multifuncional HP LaserJet Pro MFP M428fdw</t>
  </si>
  <si>
    <t>5,48</t>
  </si>
  <si>
    <t>1 1/4</t>
  </si>
  <si>
    <t>1/2"</t>
  </si>
  <si>
    <t>https://www.hp.com/ec-es/products/printers/product-details/2100584485</t>
  </si>
  <si>
    <t>6,96</t>
  </si>
  <si>
    <t>https://tecmanecuador.com/producto/hp-impresora-laserjet-pro-m428fdw/</t>
  </si>
  <si>
    <t>Cámara IP Industrial Hikvision DS-2CD2T46G2-ISU/SL</t>
  </si>
  <si>
    <t>10,97</t>
  </si>
  <si>
    <t>https://www.hikvision.com/es-la/products/IP-Products/Network-Cameras/Pro-Series-EasyIP-/ds-2cd2t46g2-isu-sl/</t>
  </si>
  <si>
    <t>Isla A hacia la bandeja principal</t>
  </si>
  <si>
    <t>12,47</t>
  </si>
  <si>
    <t>https://www.securame.com/ds-2cd2t46g2-isusl28mmc-camara-ip-hikvision-4mp-pro-ir60m-28mm-h265-poe-sd-wdr-acusense-p-4991.html</t>
  </si>
  <si>
    <t>Certificación IP67 (a prueba de polvo y agua) y IK10 (antivandálica y resistente a impactos).</t>
  </si>
  <si>
    <t>2,01</t>
  </si>
  <si>
    <t>COMEDOR</t>
  </si>
  <si>
    <t>PC ASUS NUC 14 Essential Intel Processor N150</t>
  </si>
  <si>
    <t>Oficina de RRHH hacia la bandeja principal</t>
  </si>
  <si>
    <t>8,92</t>
  </si>
  <si>
    <t>https://www.newegg.com/asus-nuc-14-essential-barebone-systems-mini-pc-intel-n150-processor-4-cores-4-threads-3-60-ghz-6w-tdp-6-mb-intel-smart-cache-rnuc14mnk1500000/p/2SW-000N-000A9?Item=9SIBM9SKG05866</t>
  </si>
  <si>
    <t>11,83</t>
  </si>
  <si>
    <t>ASUS Monitor de cuidado ocular de 27</t>
  </si>
  <si>
    <t>12,95</t>
  </si>
  <si>
    <t>https://www.amazon.com/-/es/ASUS-Monitor-cuidado-ocular-VA279QG/dp/B0DM6S4FMH/ref=sr_1_6?__mk_es_US=%C3%85M%C3%85%C5%BD%C3%95%C3%91&amp;crid=252G5W7G9B21R&amp;dib=eyJ2IjoiMSJ9.2V6gusNE5rW28YE2hb3s5-DZ4_bZfymxmV6SLyGxqGVKZpPIN0wT3yNx2Khk_gZ1FqxbB6Gdyl6NrMX60aBTG91oxOxhAhd0eC8vIHwuyidQl34JlrKGK8P5LkhVlN-CnnD6IiIouxln45sHizd6hybZjRMLoccmUAAQpKaMF9ZTmNI5CIpUVru-NSrz_yey11oQDI9R-krSjARAhoOtxGTCINGy7ZDasCbPPERBa4I.CQ4eW-rms4YebCM5KLJncCBYt3WzrVbsbGEE7eq-4I8&amp;dib_tag=se&amp;keywords=asus%2Bmonitor&amp;qid=1754240333&amp;sprefix=asus%2Bmonito%2Caps%2C169&amp;sr=8-6&amp;th=1</t>
  </si>
  <si>
    <t>13,44</t>
  </si>
  <si>
    <t>19,24</t>
  </si>
  <si>
    <t>Access Point Wi-Fi 6 Cisco Catalyst 9115AXI</t>
  </si>
  <si>
    <t>https://www.cdw.com/product/cisco-catalyst-9115axi-wireless-access-point-bluetooth-wi-fi-6/5561861</t>
  </si>
  <si>
    <t>19,31</t>
  </si>
  <si>
    <t>CUARTO DE TELECOMUNICACIONES</t>
  </si>
  <si>
    <t>Tubo 24</t>
  </si>
  <si>
    <t>Tubo Conduit 3/4 pulgada x3m</t>
  </si>
  <si>
    <t>19,13</t>
  </si>
  <si>
    <t>Tubo 25</t>
  </si>
  <si>
    <t>23,22</t>
  </si>
  <si>
    <t>Tubo 26</t>
  </si>
  <si>
    <t>14,18</t>
  </si>
  <si>
    <t>Tubo 27</t>
  </si>
  <si>
    <t>14,59</t>
  </si>
  <si>
    <t>Fuera de la oficina de RRHH</t>
  </si>
  <si>
    <t>https://mariorubio.com.ec/producto/tubo-conduit-pesada-3-4-x-3-mts/</t>
  </si>
  <si>
    <t>Tubo 28</t>
  </si>
  <si>
    <t>https://www.otece.com.ec/producto/tuberia-emt-34/</t>
  </si>
  <si>
    <t>20,18</t>
  </si>
  <si>
    <t>Tubo Conduit 1 pulgada x 3m</t>
  </si>
  <si>
    <t>Tubo 29</t>
  </si>
  <si>
    <t>Cuarto de impresión y archivo + Oficina gerente financiero</t>
  </si>
  <si>
    <t>22,59</t>
  </si>
  <si>
    <t>SALA DE MONITOREO</t>
  </si>
  <si>
    <t>Tubo 30</t>
  </si>
  <si>
    <t>25,92</t>
  </si>
  <si>
    <t>PASILLO</t>
  </si>
  <si>
    <t>Oficina gerente financiero</t>
  </si>
  <si>
    <t>Rejilla 100x60mm (3m)</t>
  </si>
  <si>
    <r>
      <rPr>
        <rFont val="Arial"/>
        <color rgb="FF1155CC"/>
        <sz val="12.0"/>
        <u/>
      </rPr>
      <t>https://www.otece.com.ec/producto/tuberia-emt-1/</t>
    </r>
    <r>
      <rPr>
        <rFont val="Arial"/>
        <sz val="12.0"/>
      </rPr>
      <t>/</t>
    </r>
  </si>
  <si>
    <t>Impresora</t>
  </si>
  <si>
    <t>link</t>
  </si>
  <si>
    <t>https://www.otece.com.ec/producto/tuberia-emt-1/</t>
  </si>
  <si>
    <t>Cuarto de telecomunicaciones</t>
  </si>
  <si>
    <t>Tubo Conduit 1 1/2″ x 3m</t>
  </si>
  <si>
    <t>https://www.otece.com.ec/producto/tuberia-emt-1-12/</t>
  </si>
  <si>
    <t>SALA MONITOREO</t>
  </si>
  <si>
    <t>Tubo Conduit 1 1/4″x 3m</t>
  </si>
  <si>
    <t>$ 2,00</t>
  </si>
  <si>
    <r>
      <rPr>
        <rFont val="&quot;Aptos Narrow&quot;, sans-serif"/>
        <color rgb="FF1155CC"/>
        <sz val="11.0"/>
        <u/>
      </rPr>
      <t>link</t>
    </r>
  </si>
  <si>
    <r>
      <rPr>
        <rFont val="&quot;Aptos Narrow&quot;, sans-serif"/>
        <color rgb="FF1155CC"/>
        <sz val="11.0"/>
        <u/>
      </rPr>
      <t>link</t>
    </r>
  </si>
  <si>
    <t>ALMACEN IN</t>
  </si>
  <si>
    <t>https://www.otece.com.ec/producto/tuberia-emt-1-14/</t>
  </si>
  <si>
    <t>Rejilla 105x100mm (3m)</t>
  </si>
  <si>
    <t>https://electroenchufe.com/wp-content/uploads/2023/07/Catalogo-Obo-Bettermann-2023.pdf</t>
  </si>
  <si>
    <t>Sensor de humo</t>
  </si>
  <si>
    <t>https://www.amazon.com/-/es/System-Sensor-Detector-fotoeléctrico-2W-B/dp/B0015Q7RFE/ref=sr_1_1_mod_primary_new?__mk_es_US=ÅMÅŽÕÑ&amp;crid=3A3VD9KFPC88S&amp;dib=eyJ2IjoiMSJ9.o2KsnvmoGmUjLUaafXVBbOVPKM1TQ2ObFa8f_SHQh-bdTnVVtaX4ImrhgdRInjuJdZw20lz94hgqzLCghr7-7v2Eck40yhuNCNP_fG3G56La_uygwN995dBuWbrWnS3Oq7FOaNeSvdFhbAJCdr7pmZTulIJwqp2Tza_I15uaOqkgOQPP9xvvB2T9pkGdU_Rq7aUG6-HqY0WVEQ0RBqHhcR2WTQFJvBRSQyzetLGwdON5XIctfnIqG0xJXIxXwfaHCnKDjUJuUgY_GC76UFtS0KIHHL8kO0OOgt1sWCgPo-U.NlmUrXjpRnELy4iSn8YlyFrH7E3FVv1v-dnkO_fytY4&amp;dib_tag=se&amp;keywords=sensor%2Bde%2Bhumo%2Bcableado&amp;qid=1770478003&amp;sbo=RZvfv%2F%2FHxDF%2BO5021pAnSA%3D%3D&amp;sprefix=sensor%2Bde%2Bhumo%2Bcableado%2Caps%2C171&amp;sr=8-1&amp;th=1</t>
  </si>
  <si>
    <t>https://electroenchufe.com/p/bandeja-de-rejilla-105x100x3000mm-g/?srsltid=AfmBOooMbFIylggUsMBV_u1oZXvf4-w4VbzPOzo-nXcqrCXVZlUA3V_s</t>
  </si>
  <si>
    <t>Sensor de temperatura</t>
  </si>
  <si>
    <t>https://www.amazon.com/-/es/Taylor-Precision-termómetro-interiores-exteriores/dp/B01924UGZI/ref=sr_1_1?__mk_es_US=ÅMÅŽÕÑ&amp;crid=3RD312EIMB81B&amp;dib=eyJ2IjoiMSJ9.Em2WtPjCa1Zx1qYTKievEaQ67N7WS-7qymOCTsEvgsUdTj0eD_8E45fTA-WACdq4f6GinUL4ROXNI0Z9UC3KIAM-iplcRADeKcOKbZctrVjsM3EFwYH0Klhp0ubre5ltG0nnbVsH8fJ64rL_IhhsjmPPCOpkgY9etNT4e4SfTQVFpq48kDX6lMEHnOzFKcdQZIVc0eThc2hxdCit7qESL93RDJma66KWT1BwPhqmgZF7PNq6WRe4Fxv8MI1tEH2n4qujxDOb3Mi0z2YQxOhVaUxKxe7T0NBFr5rdG1xAKl0.-n2Z8_BpY3JbOVwRAQbPJTl1nm-Xf1wfagRzoVKRK5w&amp;dib_tag=se&amp;keywords=Sensor+digital+de+temperatura+con+pantalla+cableado&amp;qid=1770478172&amp;sprefix=sensor+digital+de+temperatura+con+pantalla+cableado%2Caps%2C136&amp;sr=8-1</t>
  </si>
  <si>
    <t>Control Acceso Biometrico + Clave + Rfid 125Khz Zkteco</t>
  </si>
  <si>
    <t>https://www.fersontec.cl/control-acceso-biometrico-clave-rfid-125khz-zkteco?utm_source=chatgpt.com</t>
  </si>
  <si>
    <t>Access Point</t>
  </si>
  <si>
    <t>Caja de paso 100x100 mm</t>
  </si>
  <si>
    <r>
      <rPr>
        <rFont val="&quot;Aptos Narrow&quot;, sans-serif"/>
        <color rgb="FF1155CC"/>
        <sz val="11.0"/>
        <u/>
      </rPr>
      <t>link</t>
    </r>
  </si>
  <si>
    <r>
      <rPr>
        <rFont val="&quot;Aptos Narrow&quot;, sans-serif"/>
        <color rgb="FF1155CC"/>
        <sz val="11.0"/>
        <u/>
      </rPr>
      <t>link</t>
    </r>
  </si>
  <si>
    <r>
      <rPr>
        <rFont val="&quot;Aptos Narrow&quot;, sans-serif"/>
        <color rgb="FF1155CC"/>
        <sz val="11.0"/>
        <u/>
      </rPr>
      <t>link</t>
    </r>
  </si>
  <si>
    <t>ALMACEN OUT</t>
  </si>
  <si>
    <t>$ 13,20</t>
  </si>
  <si>
    <r>
      <rPr>
        <rFont val="&quot;Aptos Narrow&quot;, sans-serif"/>
        <color rgb="FF1155CC"/>
        <sz val="11.0"/>
        <u/>
      </rPr>
      <t>link</t>
    </r>
  </si>
  <si>
    <r>
      <rPr>
        <rFont val="&quot;Aptos Narrow&quot;"/>
        <color rgb="FF1155CC"/>
        <sz val="11.0"/>
        <u/>
      </rPr>
      <t>https://www.sincables.com.ec/product/connection-cfp-6118-face-plate-para-1-jacks-rj45-color-blanco/?srsltid=AfmBOoqL24EQ9g8sDeavXpNoO77aR2nrLdE27qDdZWK_R99dwP4uwWoT</t>
    </r>
  </si>
  <si>
    <r>
      <rPr>
        <rFont val="&quot;Aptos Narrow&quot;"/>
        <color rgb="FF1155CC"/>
        <sz val="11.0"/>
        <u/>
      </rPr>
      <t>https://www.kywi.com.ec/canaleta-de-pvc-de-2-m-x-20mm-x-12mm-de-ancho-diseno-de-1-compartimiento-con-fijacion-mediante-tornillo/p</t>
    </r>
  </si>
  <si>
    <t>$ 10,56</t>
  </si>
  <si>
    <r>
      <rPr>
        <rFont val="&quot;Aptos Narrow&quot;, sans-serif"/>
        <color rgb="FF1155CC"/>
        <sz val="11.0"/>
        <u/>
      </rPr>
      <t>link</t>
    </r>
  </si>
  <si>
    <r>
      <rPr>
        <rFont val="&quot;Aptos Narrow&quot;, sans-serif"/>
        <color rgb="FF1155CC"/>
        <sz val="11.0"/>
        <u/>
      </rPr>
      <t>link</t>
    </r>
  </si>
  <si>
    <t>https://www.promart.ec/caja-paso-100x100x55-ip55-500dg-dexson/p?srsltid=AfmBOopuPcDdlnk965r90GSNqBGTqBTfU2s4MrrEmlkDbxfSVxwr-YnW</t>
  </si>
  <si>
    <t>https://inselec.com.ec/wp-content/uploads/cajadepasocopia.pdf</t>
  </si>
  <si>
    <t>https://www.promart.ec/caja-paso-15x15x10cm-c24-trossa/p</t>
  </si>
  <si>
    <t>Gavalnizado(Proteccion Tierra)</t>
  </si>
  <si>
    <t>$ 6,35</t>
  </si>
  <si>
    <t>https://www.kywi.com.ec/caja-d-paso-20cm-x20cm-tol-galvanizado/p</t>
  </si>
  <si>
    <r>
      <rPr>
        <rFont val="&quot;Aptos Narrow&quot;, sans-serif"/>
        <color rgb="FF1155CC"/>
        <sz val="11.0"/>
        <u/>
      </rPr>
      <t>link</t>
    </r>
  </si>
  <si>
    <t>Epson Impresora Multifuncional EcoTank L3250</t>
  </si>
  <si>
    <t>https://h20195.www2.hp.com/v2/getpdf.aspx/c06500066.pdf</t>
  </si>
  <si>
    <t>$ 3,20</t>
  </si>
  <si>
    <r>
      <rPr>
        <rFont val="&quot;Aptos Narrow&quot;, sans-serif"/>
        <color rgb="FF1155CC"/>
        <sz val="11.0"/>
        <u/>
      </rPr>
      <t>link</t>
    </r>
  </si>
  <si>
    <r>
      <rPr>
        <rFont val="&quot;Aptos Narrow&quot;, sans-serif"/>
        <color rgb="FF1155CC"/>
        <sz val="11.0"/>
        <u/>
      </rPr>
      <t>link</t>
    </r>
  </si>
  <si>
    <r>
      <rPr>
        <rFont val="&quot;Aptos Narrow&quot;"/>
        <color rgb="FF1155CC"/>
        <sz val="11.0"/>
        <u/>
      </rPr>
      <t>https://www.sincables.com.ec/product/wall2-ampxl-face-plate-para-2-jack-rj-45-color-blanco/</t>
    </r>
  </si>
  <si>
    <t>https://tecmanecuador.com/producto/epson-impresora-multifuncional-ecotank-l3250/</t>
  </si>
  <si>
    <r>
      <rPr>
        <rFont val="Arial"/>
        <color rgb="FF1155CC"/>
        <sz val="11.0"/>
        <u/>
      </rPr>
      <t>https://tecnit.com.ec/producto/faceplate-de-2-puertos-panduit-nk2fiwy-blanco-tapa-para-caja-sobrepuesta/?srsltid=AfmBOoqQzZgmpmACDJJz05RWj3YBSQZACE4K6EoYcBW8cuFnzC_XBqQu</t>
    </r>
  </si>
  <si>
    <t>$ 4,57</t>
  </si>
  <si>
    <t>Total</t>
  </si>
  <si>
    <r>
      <rPr>
        <rFont val="&quot;Aptos Narrow&quot;, sans-serif"/>
        <color rgb="FF1155CC"/>
        <sz val="11.0"/>
        <u/>
      </rPr>
      <t>link</t>
    </r>
  </si>
  <si>
    <r>
      <rPr>
        <rFont val="&quot;Aptos Narrow&quot;, sans-serif"/>
        <color rgb="FF1155CC"/>
        <sz val="11.0"/>
        <u/>
      </rPr>
      <t>link</t>
    </r>
  </si>
  <si>
    <t>Cisco IP Phone 8841</t>
  </si>
  <si>
    <t>$ 280,00</t>
  </si>
  <si>
    <t>$ 5.880.00</t>
  </si>
  <si>
    <t>Valor Total  + Insumos rack piso</t>
  </si>
  <si>
    <r>
      <rPr>
        <rFont val="Arial, sans-serif"/>
        <color rgb="FF1155CC"/>
        <u/>
      </rPr>
      <t>link</t>
    </r>
  </si>
  <si>
    <r>
      <rPr>
        <rFont val="&quot;Aptos Narrow&quot;"/>
        <color rgb="FF1155CC"/>
        <sz val="11.0"/>
        <u/>
      </rPr>
      <t>https://www.mercadolibre.com.ec/faceplate-placa-rj45-tipo-keystone-para-4-tomas-jack-redes/up/MECU2434255957#polycard_client=search-desktop&amp;search_layout=grid&amp;position=2&amp;type=product&amp;tracking_id=49956257-b359-4957-9d70-8acb032d43cd&amp;wid=MEC517551538&amp;sid=se</t>
    </r>
  </si>
  <si>
    <r>
      <rPr>
        <rFont val="&quot;Aptos Narrow&quot;"/>
        <color rgb="FF1155CC"/>
        <sz val="11.0"/>
        <u/>
      </rPr>
      <t>https://www.mercadolibre.com.ec/faceplate-placa-rj45-tipo-keystone-para-4-tomas-jack-redes/up/MECU2434255957#polycard_client=search-desktop&amp;search_layout=grid&amp;position=2&amp;type=product&amp;tracking_id=49956257-b359-4957-9d70-8acb032d43cd&amp;wid=MEC517551538&amp;sid=se</t>
    </r>
  </si>
  <si>
    <t>Dell OptiPlex Small Form Factor (Plus 7010)</t>
  </si>
  <si>
    <t>$ 1.261,00</t>
  </si>
  <si>
    <t>$ 32.786.00</t>
  </si>
  <si>
    <r>
      <rPr>
        <rFont val="Arial, sans-serif"/>
        <color rgb="FF1155CC"/>
        <u/>
      </rPr>
      <t>link</t>
    </r>
  </si>
  <si>
    <r>
      <rPr>
        <rFont val="Arial, sans-serif"/>
        <color rgb="FF1155CC"/>
        <u/>
      </rPr>
      <t>link</t>
    </r>
  </si>
  <si>
    <t>Operativa A &amp; B / Dirección TI</t>
  </si>
  <si>
    <t>Cálculo de Ancho de Banda Piso 1</t>
  </si>
  <si>
    <t>Dell Precision 3660 Tower</t>
  </si>
  <si>
    <t>$ 3.628.00</t>
  </si>
  <si>
    <r>
      <rPr>
        <rFont val="Arial, sans-serif"/>
        <color rgb="FF1155CC"/>
        <u/>
      </rPr>
      <t>link</t>
    </r>
  </si>
  <si>
    <t>Área / Departamento</t>
  </si>
  <si>
    <t>Analistas de Datos / DBA (Desktop)</t>
  </si>
  <si>
    <t>Dispositivo Totales</t>
  </si>
  <si>
    <t>Tipo de uso principal</t>
  </si>
  <si>
    <t>Mbps promedio por usuario</t>
  </si>
  <si>
    <t>% Usuarios Simultáneos</t>
  </si>
  <si>
    <t>Usuarios Concurrentes</t>
  </si>
  <si>
    <t>Ancho de Banda Requerido (Mbps)</t>
  </si>
  <si>
    <t>A futuro</t>
  </si>
  <si>
    <t>DBA &amp; Dev Team (Laptops)</t>
  </si>
  <si>
    <t>$ 1.449,00</t>
  </si>
  <si>
    <t>$ 13.041.00</t>
  </si>
  <si>
    <r>
      <rPr>
        <rFont val="Arial, sans-serif"/>
        <color rgb="FF1155CC"/>
        <u/>
      </rPr>
      <t>link</t>
    </r>
  </si>
  <si>
    <t>Recepción</t>
  </si>
  <si>
    <t>Wi-Fi invitados (clientes), móviles del personal, TV streaming</t>
  </si>
  <si>
    <t>2 Mbps (Invitado / móvil)
5 Mbps (TV streaming)</t>
  </si>
  <si>
    <t>70% invitados / 100% personal / 100% TV</t>
  </si>
  <si>
    <t xml:space="preserve">2 PCs + 13 Tel + periféricos	</t>
  </si>
  <si>
    <t>Dell UltraSharp 34 Curved (U3423WE)</t>
  </si>
  <si>
    <t>$ 810,00</t>
  </si>
  <si>
    <t>$ 6.480.00</t>
  </si>
  <si>
    <r>
      <rPr>
        <rFont val="Arial, sans-serif"/>
        <color rgb="FF1155CC"/>
        <u/>
      </rPr>
      <t>link</t>
    </r>
  </si>
  <si>
    <t>Área de quejas sensibles</t>
  </si>
  <si>
    <t>Atención al cliente sensible, VoIP, PCs, Wi-Fi para sala de espera, sensores, impresión de red</t>
  </si>
  <si>
    <t>5 Mbps (PC) / 0.1 Mbps (Tel) / 2 Mbps (Wi-Fi invitado) / 0.1 Mbps (Sensor)</t>
  </si>
  <si>
    <t>70% PCs / 100% Tel / 70% Wi-Fi / 100% sensores</t>
  </si>
  <si>
    <t>2 PCs + 2 Tel + 7 invitados Wi-Fi + 2 sensores</t>
  </si>
  <si>
    <t>Área de asesoria corporativa</t>
  </si>
  <si>
    <t>Asesoría individual, PC y VoIP, presentaciones con TV, Wi-Fi ocasional, sensor</t>
  </si>
  <si>
    <t>5 Mbps (PC) / 0.1 Mbps (Tel) / 7 Mbps (Wi-Fi + TV) / 0.1 Mbps (Sensor)</t>
  </si>
  <si>
    <t>70% PCs / 100% Tel / 50% Wi-Fi / 100% sensores</t>
  </si>
  <si>
    <t>1 PC + 1 Tel + 1 usuario Wi-Fi + TV ocasional + 1 sensor</t>
  </si>
  <si>
    <t>Área de cotizaciones</t>
  </si>
  <si>
    <t>PCs y VoIP cableados, impresión de red, videovigilancia, Wi-Fi para móviles del personal, sensores</t>
  </si>
  <si>
    <t>5 Mbps (PC) / 0.1 Mbps (Tel) / 2 Mbps (Imp) / 4 Mbps (Cam) / 2 Mbps (Wi-Fi móvil) / 0.1 Mbps (Sensor)</t>
  </si>
  <si>
    <t>70% PCs / 100% Tel / 30% Imp / 100% Cam / 70% Wi-Fi / 100% Sens</t>
  </si>
  <si>
    <t>12 PCs + 12 Tel + impresión esporádica + 3 Cam + 8 Wi-Fi (móviles) + 2 Sens</t>
  </si>
  <si>
    <t>Matrox C900</t>
  </si>
  <si>
    <t>$ 2.089,00</t>
  </si>
  <si>
    <t>$ 2.089.00</t>
  </si>
  <si>
    <r>
      <rPr>
        <rFont val="Arial, sans-serif"/>
        <color rgb="FF1155CC"/>
        <u/>
      </rPr>
      <t>link</t>
    </r>
  </si>
  <si>
    <t>HP LaserJet Enterprise M611dn</t>
  </si>
  <si>
    <t>$ 670,00</t>
  </si>
  <si>
    <t>$ 1.340.00</t>
  </si>
  <si>
    <r>
      <rPr>
        <rFont val="Arial, sans-serif"/>
        <color rgb="FF1155CC"/>
        <u/>
      </rPr>
      <t>link</t>
    </r>
  </si>
  <si>
    <r>
      <rPr>
        <rFont val="Arial, sans-serif"/>
        <color rgb="FF1155CC"/>
        <u/>
      </rPr>
      <t>link</t>
    </r>
  </si>
  <si>
    <t>HP LaserJet MFP M234sdw</t>
  </si>
  <si>
    <t>$ 230,00</t>
  </si>
  <si>
    <r>
      <rPr>
        <rFont val="Arial, sans-serif"/>
        <color rgb="FF1155CC"/>
        <u/>
      </rPr>
      <t>link</t>
    </r>
  </si>
  <si>
    <r>
      <rPr>
        <rFont val="Arial, sans-serif"/>
        <color rgb="FF1155CC"/>
        <u/>
      </rPr>
      <t>link</t>
    </r>
  </si>
  <si>
    <r>
      <rPr>
        <rFont val="Arial, sans-serif"/>
        <color rgb="FF1155CC"/>
        <sz val="11.0"/>
        <u/>
      </rPr>
      <t>https://jmsecuritysystem.com/shop/lhd-25x15-kopos-lhd-25x15-canaleta-pvc-sin-adhesivo-blanco-2mt-4956?srsltid=AfmBOoqi6cD87f4y1TCtsmMMuuTKEDnD-y7y12uVt3YTye8fZvvLgJBx#attr=</t>
    </r>
  </si>
  <si>
    <t>TV streaming continuo, Wi-Fi para usuarios (descanso), sensor</t>
  </si>
  <si>
    <t>5 Mbps (TV) / 2 Mbps (Wi-Fi móvil) / 0.1 Mbps (Sensor)</t>
  </si>
  <si>
    <t>100% TV / 70% Wi-Fi / 100% Sens</t>
  </si>
  <si>
    <t>1 TV + 10 usuarios Wi-Fi + 1 sensor</t>
  </si>
  <si>
    <t>55" Crystal UHD 4K DU7000 Smart TV</t>
  </si>
  <si>
    <t>$ 559,00</t>
  </si>
  <si>
    <r>
      <rPr>
        <rFont val="Arial, sans-serif"/>
        <color rgb="FF1155CC"/>
        <u/>
      </rPr>
      <t>link</t>
    </r>
  </si>
  <si>
    <t>IP Smoke Detector Sensor</t>
  </si>
  <si>
    <t>$ 202,00</t>
  </si>
  <si>
    <t>$ 1.616.00</t>
  </si>
  <si>
    <r>
      <rPr>
        <rFont val="Arial, sans-serif"/>
        <color rgb="FF1155CC"/>
        <u/>
      </rPr>
      <t>link</t>
    </r>
  </si>
  <si>
    <r>
      <rPr>
        <rFont val="Arial, sans-serif"/>
        <color rgb="FF1155CC"/>
        <u/>
      </rPr>
      <t>link</t>
    </r>
  </si>
  <si>
    <t>Pcs Monitoreo</t>
  </si>
  <si>
    <t>7 Mbps (PC)</t>
  </si>
  <si>
    <t>100% Personal</t>
  </si>
  <si>
    <t>4 usuarios personal</t>
  </si>
  <si>
    <t>2MP DeepinView ANPR Box With Housing Camera</t>
  </si>
  <si>
    <t>Sala de juntas</t>
  </si>
  <si>
    <t>Reuniones corporativas, presentaciones, uso intensivo de Wi-Fi (portátiles/móviles), TV para presentaciones, sensor</t>
  </si>
  <si>
    <t>$ 248,00</t>
  </si>
  <si>
    <t>2 Mbps (Wi-Fi usuario) / 5 Mbps (TV presentaciones) / 0.1 Mbps (Sensor)</t>
  </si>
  <si>
    <t>$ 1.736.00</t>
  </si>
  <si>
    <r>
      <rPr>
        <rFont val="Arial, sans-serif"/>
        <color rgb="FF1155CC"/>
        <u/>
      </rPr>
      <t>link</t>
    </r>
  </si>
  <si>
    <t>70% usuarios Wi-Fi / 100% TV / 100% sensor</t>
  </si>
  <si>
    <t>13 usuarios Wi-Fi + 1 TV + 1 sensor</t>
  </si>
  <si>
    <r>
      <rPr>
        <rFont val="Arial, sans-serif"/>
        <color rgb="FF1155CC"/>
        <u/>
      </rPr>
      <t>link</t>
    </r>
  </si>
  <si>
    <r>
      <rPr>
        <rFont val="Roboto"/>
        <color rgb="FF1155CC"/>
        <sz val="11.0"/>
        <u/>
      </rPr>
      <t>https://www.se.com/co/es/product/download-pdf/DXN5002S?filename=Schneider+Electric_Dexson_DXN5002S.pdf</t>
    </r>
  </si>
  <si>
    <t>Lector de Reconocimiento Facial y Huella Digital MB10V</t>
  </si>
  <si>
    <t>$ 251,00</t>
  </si>
  <si>
    <r>
      <rPr>
        <rFont val="Roboto"/>
        <color rgb="FF1155CC"/>
        <sz val="11.0"/>
        <u/>
      </rPr>
      <t>https://www.dyprelec.com/producto/cajetin-rectangular-sobrepuesto-dexson-55mm/?srsltid=AfmBOoqQNy-prX1qQapc8JqJtL0j8ceU1ryxCEp37jtPlWcOVwzW-bnL</t>
    </r>
  </si>
  <si>
    <r>
      <rPr>
        <rFont val="Arial, sans-serif"/>
        <color rgb="FF1155CC"/>
        <u/>
      </rPr>
      <t>link</t>
    </r>
  </si>
  <si>
    <t>30% DE RESERVA (PICOS)</t>
  </si>
  <si>
    <t>PINTURA</t>
  </si>
  <si>
    <t>$ 640,00</t>
  </si>
  <si>
    <t>$ 1.920.00</t>
  </si>
  <si>
    <r>
      <rPr>
        <rFont val="Calibri, sans-serif"/>
        <color rgb="FF1155CC"/>
        <sz val="11.0"/>
        <u/>
      </rPr>
      <t>link</t>
    </r>
  </si>
  <si>
    <r>
      <rPr>
        <rFont val="Calibri, sans-serif"/>
        <color rgb="FF1155CC"/>
        <sz val="11.0"/>
        <u/>
      </rPr>
      <t>link</t>
    </r>
  </si>
  <si>
    <t>CAPACITACIÓN</t>
  </si>
  <si>
    <t>Jacks RJ-45 CAT6 Blindado</t>
  </si>
  <si>
    <t>Proyector</t>
  </si>
  <si>
    <t>N° Tubo</t>
  </si>
  <si>
    <t>Tramo Tubo</t>
  </si>
  <si>
    <t>Tubo Pulgadas</t>
  </si>
  <si>
    <t>Tramo Rejilla</t>
  </si>
  <si>
    <t>Tramo canaleta</t>
  </si>
  <si>
    <t>Tramo Completo(canaleta, tubo, rejilla)</t>
  </si>
  <si>
    <t>Recorrido Total (CAT 6)</t>
  </si>
  <si>
    <t>SUB-ENSAMBLAJE</t>
  </si>
  <si>
    <t>https://www.sincables.com.ec/product/crj-8201-connection-jack-modular-apantallado-cat6a/</t>
  </si>
  <si>
    <r>
      <rPr>
        <rFont val="Arial"/>
        <color rgb="FF1155CC"/>
        <sz val="11.0"/>
        <u/>
      </rPr>
      <t>https://www.yealink.com/es/product-detail/ip-phone-t31p</t>
    </r>
  </si>
  <si>
    <t>TOTAL + 30%</t>
  </si>
  <si>
    <r>
      <rPr>
        <rFont val="Arial"/>
        <color rgb="FF1155CC"/>
        <sz val="11.0"/>
        <u/>
      </rPr>
      <t>https://www.amazon.com/-/es/Tel%C3%A9fono-pulgadas-adaptador-corriente-SIP-T31P/dp/B093KTSMZ1</t>
    </r>
  </si>
  <si>
    <t>Total estimado</t>
  </si>
  <si>
    <t>300Mbps</t>
  </si>
  <si>
    <t>300mbps</t>
  </si>
  <si>
    <t>Aplicación (rol típico TI)</t>
  </si>
  <si>
    <t>Mbps cuando está activa (Mbps)</t>
  </si>
  <si>
    <r>
      <rPr>
        <rFont val="Arial"/>
        <color rgb="FF1155CC"/>
        <sz val="11.0"/>
        <u/>
      </rPr>
      <t>https://www.newegg.com/asus-nuc-14-essential-barebone-systems-mini-pc-intel-n150-processor-4-cores-4-threads-3-60-ghz-6w-tdp-6-mb-intel-smart-cache-rnuc14mnk1500000/p/2SW-000N-000A9?Item=9SIBM9SKG05866</t>
    </r>
  </si>
  <si>
    <t>% uso simultáneo típico</t>
  </si>
  <si>
    <t>Aporte promedio (Mbps)</t>
  </si>
  <si>
    <t>Área / Depto</t>
  </si>
  <si>
    <t>Usuarios (PC)</t>
  </si>
  <si>
    <t>% simultáneo (PC)</t>
  </si>
  <si>
    <t>Mbps promedio por PC (según apps)</t>
  </si>
  <si>
    <t>BW WAN PCs (Mbps)</t>
  </si>
  <si>
    <t>Móviles (cel)</t>
  </si>
  <si>
    <t>BW WAN móviles (Mbps)</t>
  </si>
  <si>
    <r>
      <rPr>
        <rFont val="Arial"/>
        <color rgb="FF1155CC"/>
        <sz val="11.0"/>
        <u/>
      </rPr>
      <t>https://www.newegg.com/asus-nuc-14-essential-barebone-systems-mini-pc-intel-n150-processor-4-cores-4-threads-3-60-ghz-6w-tdp-6-mb-intel-smart-cache-rnuc14mnk1500000/p/2SW-000N-000A9?Item=9SIBM9SKG05866</t>
    </r>
  </si>
  <si>
    <t>Otros</t>
  </si>
  <si>
    <t>BW WAN total (Mbps)</t>
  </si>
  <si>
    <t>Usuarios Wi-Fi</t>
  </si>
  <si>
    <t>Web/Correo/Docs</t>
  </si>
  <si>
    <t>Sensores</t>
  </si>
  <si>
    <t>Mbps_PC</t>
  </si>
  <si>
    <t>Mbps_Tel</t>
  </si>
  <si>
    <t>Mbps_Imp</t>
  </si>
  <si>
    <t>0.5×0.80 = 0.40</t>
  </si>
  <si>
    <t>Mbps_Usuarios Wi-Fi</t>
  </si>
  <si>
    <t>Soporte al usuario</t>
  </si>
  <si>
    <t>Mbps_Cam</t>
  </si>
  <si>
    <t>Mbps_Sen</t>
  </si>
  <si>
    <t>%Sim_PCs</t>
  </si>
  <si>
    <t>Web 0.40 + Remoto 0.90 + Descargas 0.50 + Video(2×0.20=0.40) = 2.20</t>
  </si>
  <si>
    <t>%Sim_Tel</t>
  </si>
  <si>
    <t>2×0.90×2.20 = 3.96</t>
  </si>
  <si>
    <t>%Sim_Imp</t>
  </si>
  <si>
    <t>2×(0.14+0.03)=0.34</t>
  </si>
  <si>
    <t>%Sim_UsuariosWi-Fi</t>
  </si>
  <si>
    <t>%Sim_Cam</t>
  </si>
  <si>
    <t>%Sim_Sen</t>
  </si>
  <si>
    <t>Ancho de Banda (Mbps)</t>
  </si>
  <si>
    <t>Chat/MFA móvil (cel)</t>
  </si>
  <si>
    <t>0.2×0.70 = 0.14</t>
  </si>
  <si>
    <t>Analítica avanzada</t>
  </si>
  <si>
    <t>Web 0.40 + BI 1.20 + Colab(1×0.50=0.50) + Video(2×0.20=0.40) = 2.50</t>
  </si>
  <si>
    <t>5×0.80×2.50 = 10</t>
  </si>
  <si>
    <t>4×0.17=0.85</t>
  </si>
  <si>
    <t>Videollamada HD (Teams/Meet)</t>
  </si>
  <si>
    <t>depende del área</t>
  </si>
  <si>
    <t>2.0×p</t>
  </si>
  <si>
    <t>Web 0.40 + Git 0.60 + DevTools(1×0.50=0.50) + Video(0.40) + Descargas(0.50) = 2.40</t>
  </si>
  <si>
    <t>8×0.85×2.40 = 16.32</t>
  </si>
  <si>
    <t>8×0.14=1.12</t>
  </si>
  <si>
    <t>Screen sharing (solo “presentador”)</t>
  </si>
  <si>
    <t>0.10 (1 de ~10)</t>
  </si>
  <si>
    <t>3.0×0.10 = 0.30</t>
  </si>
  <si>
    <t>NOC (Monitoreo)</t>
  </si>
  <si>
    <t>Web 0.40 + Portales(1×0.30=0.30) + Updates(0.50) + Video(2×0.10=0.20)= 1.40</t>
  </si>
  <si>
    <t>4×0.90×1.40 = 5.04</t>
  </si>
  <si>
    <t>Soporte remoto (RDP/AnyDesk)</t>
  </si>
  <si>
    <t>0.60 (Soporte)</t>
  </si>
  <si>
    <t>1.5×0.60 = 0.90</t>
  </si>
  <si>
    <t>Dirección TI</t>
  </si>
  <si>
    <r>
      <rPr>
        <rFont val="Arial"/>
        <color rgb="FF1155CC"/>
        <sz val="11.0"/>
        <u/>
      </rPr>
      <t>https://www.amazon.com/-/es/ASUS-Monitor-cuidado-ocular-VA279QG/dp/B0DM6S4FMH/ref=sr_1_6?__mk_es_US=%C3%85M%C3%85%C5%BD%C3%95%C3%91&amp;crid=252G5W7G9B21R&amp;dib=eyJ2IjoiMSJ9.2V6gusNE5rW28YE2hb3s5-DZ4_bZfymxmV6SLyGxqGVKZpPIN0wT3yNx2Khk_gZ1FqxbB6Gdyl6NrMX60aBTG91oxOxhAhd0eC8vIHwuyidQl34JlrKGK8P5LkhVlN-CnnD6IiIouxln45sHizd6hybZjRMLoccmUAAQpKaMF9ZTmNI5CIpUVru-NSrz_yey11oQDI9R-krSjARAhoOtxGTCINGy7ZDasCbPPERBa4I.CQ4eW-rms4YebCM5KLJncCBYt3WzrVbsbGEE7eq-4I8&amp;dib_tag=se&amp;keywords=asus%2Bmonitor&amp;qid=1754240333&amp;sprefix=asus%2Bmonito%2Caps%2C169&amp;sr=8-6&amp;th=1</t>
    </r>
  </si>
  <si>
    <t>Web 0.40 + Video(2×0.40=0.80) + Docs(1×0.50=0.50)= 1.70</t>
  </si>
  <si>
    <t>2×0.80×1.70 = 2.72</t>
  </si>
  <si>
    <t>Git/Repo/CI pulls (cloud)</t>
  </si>
  <si>
    <t>3/4''</t>
  </si>
  <si>
    <r>
      <rPr>
        <rFont val="Arial"/>
        <color rgb="FF1155CC"/>
        <sz val="11.0"/>
        <u/>
      </rPr>
      <t>https://www.amazon.com/-/es/ASUS-Monitor-cuidado-ocular-VA279QG/dp/B0DM6S4FMH/ref=sr_1_6?__mk_es_US=%C3%85M%C3%85%C5%BD%C3%95%C3%91&amp;crid=252G5W7G9B21R&amp;dib=eyJ2IjoiMSJ9.2V6gusNE5rW28YE2hb3s5-DZ4_bZfymxmV6SLyGxqGVKZpPIN0wT3yNx2Khk_gZ1FqxbB6Gdyl6NrMX60aBTG91oxOxhAhd0eC8vIHwuyidQl34JlrKGK8P5LkhVlN-CnnD6IiIouxln45sHizd6hybZjRMLoccmUAAQpKaMF9ZTmNI5CIpUVru-NSrz_yey11oQDI9R-krSjARAhoOtxGTCINGy7ZDasCbPPERBa4I.CQ4eW-rms4YebCM5KLJncCBYt3WzrVbsbGEE7eq-4I8&amp;dib_tag=se&amp;keywords=asus%2Bmonitor&amp;qid=1754240333&amp;sprefix=asus%2Bmonito%2Caps%2C169&amp;sr=8-6&amp;th=1</t>
    </r>
  </si>
  <si>
    <t>0.30 (Dev)</t>
  </si>
  <si>
    <t>2.0×0.30 = 0.60</t>
  </si>
  <si>
    <t>Operativa A (Infra)</t>
  </si>
  <si>
    <t>Web 0.40 + Docs/Vendor(1×0.50=0.50) + Descargas(0.50) + Video(0.40)= 1.80</t>
  </si>
  <si>
    <t>6×0.85×1.80 = 9.18</t>
  </si>
  <si>
    <t>6×0.17=1.02</t>
  </si>
  <si>
    <t>Descargas grandes (SDK/ISO)</t>
  </si>
  <si>
    <t>5.0×0.10 = 0.50</t>
  </si>
  <si>
    <t>Operativa B (Comms)</t>
  </si>
  <si>
    <t>Web 0.40 + UC/Cloud admin(0.50) + Video(2×0.30=0.60) + Descargas(0.20)= 1.70</t>
  </si>
  <si>
    <t>6×0.85×1.70 = 8.67</t>
  </si>
  <si>
    <t>BI/Dashboards cloud</t>
  </si>
  <si>
    <r>
      <rPr>
        <rFont val="Arial"/>
        <color rgb="FF1155CC"/>
        <sz val="11.0"/>
        <u/>
      </rPr>
      <t>https://www.hp.com/ec-es/products/printers/product-details/2100584485</t>
    </r>
  </si>
  <si>
    <t>0.40 (Analítica)</t>
  </si>
  <si>
    <t>3.0×0.40 = 1.20</t>
  </si>
  <si>
    <t>Sala de conferencias (12 laptops + 12 cel + TV)</t>
  </si>
  <si>
    <t>Video (2.0×1.00=2.0) + Web(0.40) = 2.40</t>
  </si>
  <si>
    <r>
      <rPr>
        <rFont val="Arial"/>
        <color rgb="FF1155CC"/>
        <sz val="11.0"/>
        <u/>
      </rPr>
      <t>https://tecmanecuador.com/producto/hp-impresora-laserjet-pro-m428fdw/</t>
    </r>
  </si>
  <si>
    <t>12×0.70×2.40= 20.16</t>
  </si>
  <si>
    <t>12×0.14=1.68</t>
  </si>
  <si>
    <t>TV streaming externo (5 Mbps)×0.30=1.50</t>
  </si>
  <si>
    <t>VoIP (llamada)</t>
  </si>
  <si>
    <t>0.1×0.30 = 0.03</t>
  </si>
  <si>
    <t xml:space="preserve">Total </t>
  </si>
  <si>
    <r>
      <rPr>
        <rFont val="Arial"/>
        <color rgb="FF1155CC"/>
        <sz val="11.0"/>
        <u/>
      </rPr>
      <t>https://www.hikvision.com/es-la/products/IP-Products/Network-Cameras/Pro-Series-EasyIP-/ds-2cd2t46g2-isu-sl/</t>
    </r>
  </si>
  <si>
    <t>MONTAJE</t>
  </si>
  <si>
    <r>
      <rPr>
        <rFont val="Arial"/>
        <color rgb="FF1155CC"/>
        <sz val="11.0"/>
        <u/>
      </rPr>
      <t>https://www.securame.com/ds-2cd2t46g2-isusl28mmc-camara-ip-hikvision-4mp-pro-ir60m-28mm-h265-poe-sd-wdr-acusense-p-4991.html</t>
    </r>
  </si>
  <si>
    <r>
      <rPr>
        <rFont val="Arial"/>
        <color rgb="FF1155CC"/>
        <sz val="11.0"/>
        <u/>
      </rPr>
      <t>https://www.cdw.com/product/cisco-catalyst-9115axi-wireless-access-point-bluetooth-wi-fi-6/5561861</t>
    </r>
  </si>
  <si>
    <r>
      <rPr>
        <rFont val="Arial"/>
        <color rgb="FF1155CC"/>
        <sz val="11.0"/>
        <u/>
      </rPr>
      <t>https://www.cdw.com/product/cisco-catalyst-9115axi-wireless-access-point-bluetooth-wi-fi-6/5561861</t>
    </r>
  </si>
  <si>
    <t>0.1</t>
  </si>
  <si>
    <r>
      <rPr>
        <rFont val="&quot;Aptos Narrow&quot;"/>
        <color rgb="FF1155CC"/>
        <sz val="11.0"/>
        <u/>
      </rPr>
      <t>https://sylvania.com.ec/wp-content/uploads/2020/05/P23283-Sensor-de-Humo-DC9V.pdf</t>
    </r>
  </si>
  <si>
    <t>CUARTO DE COMPRESORES</t>
  </si>
  <si>
    <t>PCs Videowall</t>
  </si>
  <si>
    <t>Tubo Conduit 1/2 pulgada x3m</t>
  </si>
  <si>
    <r>
      <rPr>
        <rFont val="Arial"/>
        <color rgb="FF1155CC"/>
        <sz val="11.0"/>
        <u/>
      </rPr>
      <t>https://www.otece.com.ec/producto/tuberia-emt-12-095cm/</t>
    </r>
  </si>
  <si>
    <r>
      <rPr>
        <rFont val="Arial"/>
        <color rgb="FF1155CC"/>
        <sz val="11.0"/>
        <u/>
      </rPr>
      <t>https://www.promart.ec/tubo-emt-1-1-2x3m-1-65mm-galvanizado-luxar/p?srsltid=AfmBOopihlhZf2wc4nPCFsw_NiJCIYFIeQRUC71DKqHwDgySYXAv_pL-&amp;utm_source=chatgpt.com</t>
    </r>
  </si>
  <si>
    <r>
      <rPr>
        <rFont val="Arial"/>
        <color rgb="FF1155CC"/>
        <sz val="11.0"/>
        <u/>
      </rPr>
      <t>https://www.otece.com.ec/producto/tuberia-emt-34/</t>
    </r>
  </si>
  <si>
    <r>
      <rPr>
        <rFont val="Arial"/>
        <color rgb="FF1155CC"/>
        <sz val="11.0"/>
        <u/>
      </rPr>
      <t>https://electrocenter.ec/producto/tubo-1-emt-galvanizado-pesado-1-45-mm-b1/?utm_source=chatgpt.com</t>
    </r>
  </si>
  <si>
    <r>
      <rPr>
        <rFont val="Arial"/>
        <color rgb="FF1155CC"/>
        <sz val="11.0"/>
        <u/>
      </rPr>
      <t>https://www.otece.com.ec/producto/tuberia-emt-1/</t>
    </r>
    <r>
      <rPr>
        <rFont val="Arial"/>
        <color rgb="FF1155CC"/>
        <sz val="11.0"/>
        <u/>
      </rPr>
      <t>/</t>
    </r>
  </si>
  <si>
    <r>
      <rPr>
        <rFont val="Arial"/>
        <color rgb="FF1155CC"/>
        <sz val="11.0"/>
        <u/>
      </rPr>
      <t>https://www.otece.com.ec/producto/tuberia-emt-12-095cm/</t>
    </r>
  </si>
  <si>
    <t>Tubo Conduit 1 ¼ pulgadas (1.25")</t>
  </si>
  <si>
    <t>https://tienda.demaco.ec/tubo-pvc-conduit-1-1-4-40mm-3m-pesado-plastidor</t>
  </si>
  <si>
    <t>TALLER</t>
  </si>
  <si>
    <t>SUCURSAL - CENTRO DE VENTAS</t>
  </si>
  <si>
    <t>Tubo Conduit 2 pulgadas</t>
  </si>
  <si>
    <t>https://www.portaldisensa.com/imagens_cr/disensa/91030185_REVIEW.pdf</t>
  </si>
  <si>
    <t>https://disensa.com.ec/producto/tubo-pvc-ec-2-x-6m-280psi-ced40-plastigama/</t>
  </si>
  <si>
    <t>Unidades de Rack (U)</t>
  </si>
  <si>
    <t>Descripción Técnica / Función</t>
  </si>
  <si>
    <t>Router Cisco 4321</t>
  </si>
  <si>
    <t>Cerebro de la red. Gestiona las VLANs y el Firewall.</t>
  </si>
  <si>
    <t>WLC Cisco 2504</t>
  </si>
  <si>
    <t>Controlador que centraliza la gestión de los 4 APs.</t>
  </si>
  <si>
    <r>
      <rPr>
        <rFont val="Arial"/>
        <color rgb="FF1155CC"/>
        <sz val="11.0"/>
        <u/>
      </rPr>
      <t>https://inselec.com.ec/wp-content/uploads/cajadepasocopia.pdf</t>
    </r>
  </si>
  <si>
    <t>¿A qué se dedica? (Función)</t>
  </si>
  <si>
    <t>Dispositivos Clave</t>
  </si>
  <si>
    <r>
      <rPr>
        <rFont val="Arial"/>
        <color rgb="FF1155CC"/>
        <sz val="11.0"/>
        <u/>
      </rPr>
      <t>https://www.promart.ec/caja-paso-15x15x10cm-c24-trossa/p</t>
    </r>
  </si>
  <si>
    <t>Switch Cisco 2960 (24P)</t>
  </si>
  <si>
    <t>Switch Primario: Conecta PCs, Teléfonos y APs.</t>
  </si>
  <si>
    <t>Zona Multimedia</t>
  </si>
  <si>
    <t>Zona de inmersión para clientes. Se demuestra la calidad 8K y sonido envolvente.</t>
  </si>
  <si>
    <t>24 Smart TVs, Sensores de movimiento, AP #3.</t>
  </si>
  <si>
    <t>Switch Secundario: Conecta Cámaras, Sensores e Infraestructura.</t>
  </si>
  <si>
    <t>Electrodomésticos</t>
  </si>
  <si>
    <t>Exhibición física de la línea blanca de lujo (Refrigeración y Cocina).</t>
  </si>
  <si>
    <t>Sensores de humo, Cámaras IP.</t>
  </si>
  <si>
    <t>Back Bone Vertical</t>
  </si>
  <si>
    <r>
      <rPr>
        <rFont val="Arial"/>
        <color rgb="FF1155CC"/>
        <sz val="11.0"/>
        <u/>
      </rPr>
      <t>https://inselec.com.ec/wp-content/uploads/cajadepasocopia.pdf</t>
    </r>
  </si>
  <si>
    <r>
      <rPr>
        <rFont val="Arial"/>
        <color rgb="FF1155CC"/>
        <sz val="11.0"/>
        <u/>
      </rPr>
      <t>https://www.kywi.com.ec/caja-d-paso-20cm-x20cm-tol-galvanizado/p</t>
    </r>
  </si>
  <si>
    <t>Servidores -- Rack de Redes</t>
  </si>
  <si>
    <t>Patch Panel CAT6 (24p)</t>
  </si>
  <si>
    <t>Matriz</t>
  </si>
  <si>
    <t>Terminación de los cables de red de la Zona Multimedia y Experiencia.</t>
  </si>
  <si>
    <t>Switches</t>
  </si>
  <si>
    <t>Zona de Celulares</t>
  </si>
  <si>
    <t xml:space="preserve">Cables </t>
  </si>
  <si>
    <t>Isla central de interacción. Pruebas de cámaras, potencia y ecosistema móvil.</t>
  </si>
  <si>
    <t>Medida</t>
  </si>
  <si>
    <t>Medio de Transmisión</t>
  </si>
  <si>
    <t>16 Smartphones, Botón de pánico, AP #2.</t>
  </si>
  <si>
    <t>Velocidad Máxima</t>
  </si>
  <si>
    <t>Distancia Máxima</t>
  </si>
  <si>
    <t>Frecuencia</t>
  </si>
  <si>
    <t xml:space="preserve">patchcord (1ft)  </t>
  </si>
  <si>
    <t>UTP  (5m)</t>
  </si>
  <si>
    <t>Piso 4</t>
  </si>
  <si>
    <t>13 m</t>
  </si>
  <si>
    <t>Terminación de los cables de Operaciones, Seguridad y Sensores.</t>
  </si>
  <si>
    <t>Cobre UTP Cat 6A</t>
  </si>
  <si>
    <t>Zona de Laptop</t>
  </si>
  <si>
    <t>10 Gbps</t>
  </si>
  <si>
    <t>100 metros</t>
  </si>
  <si>
    <t>Espacio de productividad. Los clientes prueban rendimiento para diseño y oficina.</t>
  </si>
  <si>
    <t>500 MHz</t>
  </si>
  <si>
    <t>10 Laptops, Cámaras IP, AP #2.</t>
  </si>
  <si>
    <t>Piso 3</t>
  </si>
  <si>
    <t>10 m</t>
  </si>
  <si>
    <t>Organizador de Cables Horiz.</t>
  </si>
  <si>
    <t>2U</t>
  </si>
  <si>
    <t>Piso 2 (Data Center)</t>
  </si>
  <si>
    <t>Para mantener el orden del cableado entre Patch Panels y Switches.</t>
  </si>
  <si>
    <t>Bodega</t>
  </si>
  <si>
    <t>Piso 1</t>
  </si>
  <si>
    <t>Gestión de inventario, recepción de mercadería y control de salidas.</t>
  </si>
  <si>
    <t>PC, Teléfono IP, Lector RFID, Impresora Wi-Fi.</t>
  </si>
  <si>
    <t>Servidor IoT (Generic)</t>
  </si>
  <si>
    <t>33 m</t>
  </si>
  <si>
    <t>Gestión de logs de los 14 sensores y 7 cámaras.</t>
  </si>
  <si>
    <t>Mantenimiento</t>
  </si>
  <si>
    <t>Diagnóstico técnico, reparación de hardware y recepción de garantías.</t>
  </si>
  <si>
    <t>PRECIO (3m)</t>
  </si>
  <si>
    <t>2 PCs, 2 Teléfonos IP, Sensores de humo, AP #1.</t>
  </si>
  <si>
    <t>LINK</t>
  </si>
  <si>
    <t>2''</t>
  </si>
  <si>
    <t>FICHA TECNICA</t>
  </si>
  <si>
    <t>CANTIDAD</t>
  </si>
  <si>
    <t>Bandeja Ventilada</t>
  </si>
  <si>
    <t>Soporte para el módem del proveedor de Internet (ISP).</t>
  </si>
  <si>
    <t>Cuarto Monitoreo</t>
  </si>
  <si>
    <t>Centro de vigilancia 24/7. Supervisión de cámaras y respuesta a alertas.</t>
  </si>
  <si>
    <t>BACKBONE</t>
  </si>
  <si>
    <t>2 PCs (Consolas), 2 Teléfonos IP, Botón de pánico.</t>
  </si>
  <si>
    <t>UPS (Respaldo energía)</t>
  </si>
  <si>
    <t>Garantiza que la red no se caiga ante un corte eléctrico.</t>
  </si>
  <si>
    <t>F.T</t>
  </si>
  <si>
    <t>El cerebro de la tienda. Gestión de red, internet y seguridad de datos.</t>
  </si>
  <si>
    <t>Rack: Router, 2 Switches, WLC, Server IoT.</t>
  </si>
  <si>
    <t>PDU (Regleta de energía)</t>
  </si>
  <si>
    <t>Distribución de corriente para todos los equipos del rack.</t>
  </si>
  <si>
    <t>Servicios Sanitarios</t>
  </si>
  <si>
    <t>Área de confort para clientes y personal (Hombres / Mujeres).</t>
  </si>
  <si>
    <t>(Área sin dispositivos electrónicos por privacidad).</t>
  </si>
  <si>
    <t>Espacio de Reserva</t>
  </si>
  <si>
    <t>--</t>
  </si>
  <si>
    <t>Espacio libre para ventilación o expansión futura (Crecimiento).</t>
  </si>
  <si>
    <t>LABORATORIO CALIDAD</t>
  </si>
  <si>
    <t>TOTAL OCUPADO</t>
  </si>
  <si>
    <t>---</t>
  </si>
  <si>
    <t>15U</t>
  </si>
  <si>
    <t>Gabinete Tripp Lite 15U (SRW15US)</t>
  </si>
  <si>
    <t>AP ID</t>
  </si>
  <si>
    <t>Nombre / Zona</t>
  </si>
  <si>
    <t>Dispositivos Reales</t>
  </si>
  <si>
    <t>Justificación Técnica (Basada en PDF Cisco)</t>
  </si>
  <si>
    <t>UTP Cat6 → Suficiente para redes de 1Gbps hasta 55 m y para la mayoría de oficinas.</t>
  </si>
  <si>
    <t>AP #1</t>
  </si>
  <si>
    <t>Operations</t>
  </si>
  <si>
    <t>13 Celulares Corp + 2 Impresoras Wi-Fi</t>
  </si>
  <si>
    <t>Prioridad Crítica: Se aplica QoS (Quality of Service) para asegurar latencia baja en transacciones de pago y facturación.</t>
  </si>
  <si>
    <t>AP #2</t>
  </si>
  <si>
    <t>Mobile Experience</t>
  </si>
  <si>
    <t>16 Smartphones Demo</t>
  </si>
  <si>
    <t>Alta Densidad de Clientes: Según el PDF, más de 30 clientes saturan un AP. Al dedicar este AP solo a móviles, evitamos colisiones de datos.</t>
  </si>
  <si>
    <t>AP #3</t>
  </si>
  <si>
    <t>Multimedia Hub</t>
  </si>
  <si>
    <t>24 Smart TVs (Tablets en PKT)</t>
  </si>
  <si>
    <t>Aislamiento de Tráfico Multicast: El streaming de video es el tráfico más pesado. Aislarlo evita que el "ruido" inalámbrico afecte a las cajas (AP#1).</t>
  </si>
  <si>
    <t>CAT6A</t>
  </si>
  <si>
    <t>AP #4</t>
  </si>
  <si>
    <t>Laptops &amp; Guest</t>
  </si>
  <si>
    <t>10 Laptops Demo + Invitados</t>
  </si>
  <si>
    <t>Uso Híbrido: Las laptops usan canales de 5GHz más limpios. Se crea un segundo SSID (Invitados) con "Traffic Shaping" para limitar su velocidad.</t>
  </si>
  <si>
    <t>Cálculo de Ancho de Banda Piso 4</t>
  </si>
  <si>
    <t>Puestos Totales</t>
  </si>
  <si>
    <t>Contabilidad y Tesorería</t>
  </si>
  <si>
    <t>Financiero Crítico (ERP/SAP)</t>
  </si>
  <si>
    <t>5 Mbps (PC) / 2.5 Mbps (WiFi) / 0.1 Mbps (VoIP)</t>
  </si>
  <si>
    <t>70% PCs / 100% VoIP / 80% WiFi</t>
  </si>
  <si>
    <t>12 PCs + 12 Tel + 2 Cam + 12 WiFi</t>
  </si>
  <si>
    <t>75,4</t>
  </si>
  <si>
    <t>Compras y Gerencia</t>
  </si>
  <si>
    <t>Administrativo y Gestión</t>
  </si>
  <si>
    <t>5 Mbps (PC) / 2.5 Mbps (WiFi) / 2 Mbps (Imp)</t>
  </si>
  <si>
    <t>70% PCs / 100% VoIP / 20% Imp</t>
  </si>
  <si>
    <t>7 PCs + 7 Tel + 1 Cam + 8 WiFi + 2 Imp</t>
  </si>
  <si>
    <t>7,3</t>
  </si>
  <si>
    <t>Legal y RRHH</t>
  </si>
  <si>
    <t>Documentación Legal y Videollamadas</t>
  </si>
  <si>
    <t>5 Mbps (PC) / 2.5 Mbps (WiFi) / 4 Mbps (Cam)</t>
  </si>
  <si>
    <t>10 PCs + 10 Tel + 3 Cam + 10 WiFi</t>
  </si>
  <si>
    <t>11,95</t>
  </si>
  <si>
    <t>HI-POT</t>
  </si>
  <si>
    <t>175,4</t>
  </si>
  <si>
    <t>,</t>
  </si>
  <si>
    <t>3,75</t>
  </si>
  <si>
    <t>Baños/Vestidores</t>
  </si>
  <si>
    <t>52,62</t>
  </si>
  <si>
    <t>15,45</t>
  </si>
  <si>
    <t>228,02</t>
  </si>
  <si>
    <t>2,95</t>
  </si>
  <si>
    <t>250Mbps</t>
  </si>
  <si>
    <t>2,8</t>
  </si>
  <si>
    <t>APs</t>
  </si>
  <si>
    <t>Mbps_AP</t>
  </si>
  <si>
    <t>%Sim_AP</t>
  </si>
  <si>
    <t>Switch de Acceso</t>
  </si>
  <si>
    <t>Contabilidad</t>
  </si>
  <si>
    <t>0,1</t>
  </si>
  <si>
    <t>FÁBRICA</t>
  </si>
  <si>
    <t>SUCURSAL</t>
  </si>
  <si>
    <t>DISPOSITIVO (WAN)</t>
  </si>
  <si>
    <t>Mbps</t>
  </si>
  <si>
    <t># equipos</t>
  </si>
  <si>
    <t>CONSUMO TOTAL (Mbps)</t>
  </si>
  <si>
    <t>Compras</t>
  </si>
  <si>
    <t>#equipos</t>
  </si>
  <si>
    <t>Computadora</t>
  </si>
  <si>
    <t>30.90 x 25.00 x 39.80. 120V 50/60 Hz</t>
  </si>
  <si>
    <t>Se requieren 2 switches de 48 puertos para cubrir los 38 nodos cableados, dejando margen para crecimiento (15%). Soporta VLANs y Gigabit.</t>
  </si>
  <si>
    <r>
      <rPr>
        <rFont val="Arial"/>
        <color rgb="FF1155CC"/>
        <sz val="12.0"/>
        <u/>
      </rPr>
      <t>Switch</t>
    </r>
  </si>
  <si>
    <t>Legal</t>
  </si>
  <si>
    <r>
      <rPr>
        <rFont val="Arial"/>
        <color rgb="FF1155CC"/>
        <sz val="12.0"/>
        <u/>
      </rPr>
      <t>Ficha Tecnica</t>
    </r>
  </si>
  <si>
    <t>Computadoras</t>
  </si>
  <si>
    <t>$1.000,00</t>
  </si>
  <si>
    <t>$2.000,00</t>
  </si>
  <si>
    <t>Teléfono (VoIP voz)</t>
  </si>
  <si>
    <t xml:space="preserve">Impresora </t>
  </si>
  <si>
    <t>Usuarios Wi-Fi invitados</t>
  </si>
  <si>
    <t>Gabinete Telecom</t>
  </si>
  <si>
    <t>Rack 12U Pared/Piso</t>
  </si>
  <si>
    <t>Suficiente para 2 switches, 2 patch panels y UPS.</t>
  </si>
  <si>
    <r>
      <rPr>
        <rFont val="Roboto"/>
        <color rgb="FF1155CC"/>
        <sz val="11.0"/>
        <u/>
      </rPr>
      <t>Link</t>
    </r>
  </si>
  <si>
    <t>Celulares Empleados</t>
  </si>
  <si>
    <r>
      <rPr>
        <rFont val="Arial"/>
        <color rgb="FF1155CC"/>
        <sz val="12.0"/>
        <u/>
      </rPr>
      <t>Link</t>
    </r>
  </si>
  <si>
    <t>$220,00</t>
  </si>
  <si>
    <t>Patch Panel CAT6</t>
  </si>
  <si>
    <t>24 puertos c/u</t>
  </si>
  <si>
    <t>Provee 48 puertos totales para los 38 nodos UTP actuales.</t>
  </si>
  <si>
    <r>
      <rPr>
        <rFont val="Arial"/>
        <color rgb="FF1155CC"/>
        <sz val="12.0"/>
        <u/>
      </rPr>
      <t>Link</t>
    </r>
  </si>
  <si>
    <r>
      <rPr>
        <rFont val="Arial"/>
        <color rgb="FF1155CC"/>
        <sz val="12.0"/>
        <u/>
      </rPr>
      <t>Link</t>
    </r>
  </si>
  <si>
    <t>$80,00</t>
  </si>
  <si>
    <t>$160,00</t>
  </si>
  <si>
    <t>3x RJ-45 GigE, 2x Slots EHWIC, 190 Gbps throughput</t>
  </si>
  <si>
    <r>
      <rPr>
        <rFont val="Arial"/>
        <color rgb="FF1155CC"/>
        <sz val="12.0"/>
        <u/>
      </rPr>
      <t>Link</t>
    </r>
  </si>
  <si>
    <r>
      <rPr>
        <rFont val="Arial"/>
        <color rgb="FF1155CC"/>
        <sz val="12.0"/>
        <u/>
      </rPr>
      <t>Link</t>
    </r>
  </si>
  <si>
    <t>$1.567,00</t>
  </si>
  <si>
    <t>Celulares exhibición</t>
  </si>
  <si>
    <t>TOTAL WAN</t>
  </si>
  <si>
    <t>Gestión de cables para los 2 patch panels.</t>
  </si>
  <si>
    <r>
      <rPr>
        <rFont val="Arial"/>
        <color rgb="FF1155CC"/>
        <sz val="12.0"/>
        <u/>
      </rPr>
      <t>Link</t>
    </r>
  </si>
  <si>
    <r>
      <rPr>
        <rFont val="Arial"/>
        <color rgb="FF1155CC"/>
        <sz val="12.0"/>
        <u/>
      </rPr>
      <t>Link</t>
    </r>
  </si>
  <si>
    <t>$40,00</t>
  </si>
  <si>
    <t>CAPACITACI'ON</t>
  </si>
  <si>
    <t>Celulares empleados</t>
  </si>
  <si>
    <t>8 tomas NEMA</t>
  </si>
  <si>
    <t>Alimentación para switches y APs.</t>
  </si>
  <si>
    <t>Reserva 30%</t>
  </si>
  <si>
    <r>
      <rPr>
        <rFont val="Arial"/>
        <color rgb="FF1155CC"/>
        <sz val="12.0"/>
        <u/>
      </rPr>
      <t>Link</t>
    </r>
  </si>
  <si>
    <t>$120,00</t>
  </si>
  <si>
    <t>1500VA</t>
  </si>
  <si>
    <t>Respaldo para mantener la red operativa ante cortes.</t>
  </si>
  <si>
    <r>
      <rPr>
        <rFont val="Arial"/>
        <color rgb="FF1155CC"/>
        <sz val="12.0"/>
        <u/>
      </rPr>
      <t>Link</t>
    </r>
  </si>
  <si>
    <r>
      <rPr>
        <rFont val="Arial"/>
        <color rgb="FF1155CC"/>
        <sz val="12.0"/>
        <u/>
      </rPr>
      <t>Link</t>
    </r>
  </si>
  <si>
    <t>$5.000,00</t>
  </si>
  <si>
    <t xml:space="preserve">Usuarios Wi-Fi invitados </t>
  </si>
  <si>
    <t>TOTAL WAN + 30%</t>
  </si>
  <si>
    <t xml:space="preserve">TOTAL WAN </t>
  </si>
  <si>
    <t>Conexión física desde el Patch Panel hacia el Switch de Acceso. Cubre los 38 nodos cableados totales (PC, Teléfonos, Cámaras, Sensores y los 5 AP definidos).</t>
  </si>
  <si>
    <r>
      <rPr>
        <rFont val="Arial"/>
        <color rgb="FF1155CC"/>
        <sz val="12.0"/>
        <u/>
      </rPr>
      <t>Link</t>
    </r>
  </si>
  <si>
    <r>
      <rPr>
        <rFont val="Arial"/>
        <color rgb="FF1155CC"/>
        <sz val="12.0"/>
        <u/>
      </rPr>
      <t>Link</t>
    </r>
  </si>
  <si>
    <t>$1,95</t>
  </si>
  <si>
    <t>$74,10</t>
  </si>
  <si>
    <t>Conexión switch → patch panel</t>
  </si>
  <si>
    <t>Conexión de alta velocidad (Gigabit) entre el Switch de Acceso y el Router de la Sucursal para soportar el tráfico de 382.5 Mbps. Se duplica para redundancia física.</t>
  </si>
  <si>
    <r>
      <rPr>
        <rFont val="Arial"/>
        <color rgb="FF1155CC"/>
        <sz val="12.0"/>
        <u/>
      </rPr>
      <t>Link</t>
    </r>
  </si>
  <si>
    <r>
      <rPr>
        <rFont val="Arial"/>
        <color rgb="FF1155CC"/>
        <sz val="12.0"/>
        <u/>
      </rPr>
      <t>Link</t>
    </r>
  </si>
  <si>
    <t>$7,49</t>
  </si>
  <si>
    <t>$22,47</t>
  </si>
  <si>
    <t>$9.323,57</t>
  </si>
  <si>
    <t>DISPOSITIVO (LAN↔DTC)</t>
  </si>
  <si>
    <t>Para canaletas</t>
  </si>
  <si>
    <t>Cajas de paso</t>
  </si>
  <si>
    <t>Cámara IP (a DTC)</t>
  </si>
  <si>
    <t>Sensor IoT IP (a DTC)</t>
  </si>
  <si>
    <t>100 x 100mm</t>
  </si>
  <si>
    <t>150 x 150 x 90mm</t>
  </si>
  <si>
    <t>200 x 200 x 90</t>
  </si>
  <si>
    <t>Centro de Ventas</t>
  </si>
  <si>
    <t>117 patchcord del patch panel al switch</t>
  </si>
  <si>
    <t>17,42</t>
  </si>
  <si>
    <t>15,04</t>
  </si>
  <si>
    <t>TOTAL LAN↔DTC</t>
  </si>
  <si>
    <t>1,45</t>
  </si>
  <si>
    <t>7,43</t>
  </si>
  <si>
    <t>7,32</t>
  </si>
  <si>
    <t>https://www.gruponovelec.com/p/ais_bmpi610</t>
  </si>
  <si>
    <t>2,17</t>
  </si>
  <si>
    <t>3,66</t>
  </si>
  <si>
    <t>1,39</t>
  </si>
  <si>
    <t>3,95</t>
  </si>
  <si>
    <t>5,09</t>
  </si>
  <si>
    <t>Rejilla 60x40mm (3m)</t>
  </si>
  <si>
    <t>https://www.mercadolibre.com.ec/bandeja-metalica-porta-cable--y-accesorios-varios--tamanos/up/MECU2433891609</t>
  </si>
  <si>
    <t>Sensor Temperatura</t>
  </si>
  <si>
    <t>DISTANCIAS</t>
  </si>
  <si>
    <t>211,44</t>
  </si>
  <si>
    <r>
      <rPr>
        <rFont val="Arial, sans-serif"/>
        <color rgb="FF1155CC"/>
        <sz val="11.0"/>
        <u/>
      </rPr>
      <t>https://www.newegg.com/asus-nuc-14-essential-barebone-systems-mini-pc-intel-n150-processor-4-cores-4-threads-3-60-ghz-6w-tdp-6-mb-intel-smart-cache-rnuc14mnk1500000/p/2SW-000N-000A9?Item=9SIBM9SKG05866</t>
    </r>
  </si>
  <si>
    <t>DISTANCIA TRAMO 2</t>
  </si>
  <si>
    <t>DISTANCIA TRAMO 3</t>
  </si>
  <si>
    <t>DISTANCIA TRAMO 4 (solo rejilla)</t>
  </si>
  <si>
    <r>
      <rPr>
        <rFont val="Arial, sans-serif"/>
        <color rgb="FF1155CC"/>
        <sz val="11.0"/>
        <u/>
      </rPr>
      <t>https://www.newegg.com/asus-nuc-14-essential-barebone-systems-mini-pc-intel-n150-processor-4-cores-4-threads-3-60-ghz-6w-tdp-6-mb-intel-smart-cache-rnuc14mnk1500000/p/2SW-000N-000A9?Item=9SIBM9SKG05866</t>
    </r>
  </si>
  <si>
    <t>22,85</t>
  </si>
  <si>
    <t>AP#3 + SHumo</t>
  </si>
  <si>
    <t>4,32</t>
  </si>
  <si>
    <t>1,73</t>
  </si>
  <si>
    <t>15,07</t>
  </si>
  <si>
    <t>243,9</t>
  </si>
  <si>
    <r>
      <rPr>
        <rFont val="Arial, sans-serif"/>
        <color rgb="FF1155CC"/>
        <sz val="11.0"/>
        <u/>
      </rPr>
      <t>https://www.amazon.com/-/es/ASUS-Monitor-cuidado-ocular-VA279QG/dp/B0DM6S4FMH/ref=sr_1_6?__mk_es_US=%C3%85M%C3%85%C5%BD%C3%95%C3%91&amp;crid=252G5W7G9B21R&amp;dib=eyJ2IjoiMSJ9.2V6gusNE5rW28YE2hb3s5-DZ4_bZfymxmV6SLyGxqGVKZpPIN0wT3yNx2Khk_gZ1FqxbB6Gdyl6NrMX60aBTG91oxOxhAhd0eC8vIHwuyidQl34JlrKGK8P5LkhVlN-CnnD6IiIouxln45sHizd6hybZjRMLoccmUAAQpKaMF9ZTmNI5CIpUVru-NSrz_yey11oQDI9R-krSjARAhoOtxGTCINGy7ZDasCbPPERBa4I.CQ4eW-rms4YebCM5KLJncCBYt3WzrVbsbGEE7eq-4I8&amp;dib_tag=se&amp;keywords=asus%2Bmonitor&amp;qid=1754240333&amp;sprefix=asus%2Bmonito%2Caps%2C169&amp;sr=8-6&amp;th=1</t>
    </r>
  </si>
  <si>
    <t>16,78</t>
  </si>
  <si>
    <t>Cámara IP de Zona Multimedia</t>
  </si>
  <si>
    <t>4,67</t>
  </si>
  <si>
    <t>12,11</t>
  </si>
  <si>
    <t>Cámara IP ( a DTC)</t>
  </si>
  <si>
    <t>24,59</t>
  </si>
  <si>
    <r>
      <rPr>
        <rFont val="Arial, sans-serif"/>
        <color rgb="FF1155CC"/>
        <sz val="11.0"/>
        <u/>
      </rPr>
      <t>https://www.amazon.com/-/es/ASUS-Monitor-cuidado-ocular-VA279QG/dp/B0DM6S4FMH/ref=sr_1_6?__mk_es_US=%C3%85M%C3%85%C5%BD%C3%95%C3%91&amp;crid=252G5W7G9B21R&amp;dib=eyJ2IjoiMSJ9.2V6gusNE5rW28YE2hb3s5-DZ4_bZfymxmV6SLyGxqGVKZpPIN0wT3yNx2Khk_gZ1FqxbB6Gdyl6NrMX60aBTG91oxOxhAhd0eC8vIHwuyidQl34JlrKGK8P5LkhVlN-CnnD6IiIouxln45sHizd6hybZjRMLoccmUAAQpKaMF9ZTmNI5CIpUVru-NSrz_yey11oQDI9R-krSjARAhoOtxGTCINGy7ZDasCbPPERBa4I.CQ4eW-rms4YebCM5KLJncCBYt3WzrVbsbGEE7eq-4I8&amp;dib_tag=se&amp;keywords=asus%2Bmonitor&amp;qid=1754240333&amp;sprefix=asus%2Bmonito%2Caps%2C169&amp;sr=8-6&amp;th=1</t>
    </r>
  </si>
  <si>
    <t>Sensores Movimiento ZMultimedia y Electrodomésticos</t>
  </si>
  <si>
    <t>1,02</t>
  </si>
  <si>
    <t>5,84</t>
  </si>
  <si>
    <t>11,89</t>
  </si>
  <si>
    <t>TOTAL LAN↔DTC + 30%</t>
  </si>
  <si>
    <t>12,46</t>
  </si>
  <si>
    <t>AP#4 -&gt; clientes</t>
  </si>
  <si>
    <t>3,91</t>
  </si>
  <si>
    <t>8,55</t>
  </si>
  <si>
    <t>17,39</t>
  </si>
  <si>
    <t>Sensores Movimiento ZLaptop y Mantenimiento</t>
  </si>
  <si>
    <t>4,69</t>
  </si>
  <si>
    <t>7,27</t>
  </si>
  <si>
    <t>AP#2 + Sensor Temperatura -&gt; ZLaptop y CMonitoreo</t>
  </si>
  <si>
    <t>1,42</t>
  </si>
  <si>
    <t>1,31</t>
  </si>
  <si>
    <t>3,23</t>
  </si>
  <si>
    <t>18,06</t>
  </si>
  <si>
    <t>11,81</t>
  </si>
  <si>
    <t>2CT (Manteni.)+ Cárara IP (Manteni. y ZLaptop)</t>
  </si>
  <si>
    <t>4,01</t>
  </si>
  <si>
    <t>3,85</t>
  </si>
  <si>
    <t>2,53</t>
  </si>
  <si>
    <t>0,01</t>
  </si>
  <si>
    <t>1,91</t>
  </si>
  <si>
    <t>Sensor Humedad CComunicaciones</t>
  </si>
  <si>
    <t>0,89</t>
  </si>
  <si>
    <t>0,06</t>
  </si>
  <si>
    <r>
      <rPr>
        <rFont val="Arial, sans-serif"/>
        <color rgb="FF1155CC"/>
        <sz val="11.0"/>
        <u/>
      </rPr>
      <t>https://www.yealink.com/es/product-detail/ip-phone-t31p</t>
    </r>
  </si>
  <si>
    <t>20,66</t>
  </si>
  <si>
    <t>1CT(Bodega)</t>
  </si>
  <si>
    <t>2,62</t>
  </si>
  <si>
    <r>
      <rPr>
        <rFont val="Arial, sans-serif"/>
        <color rgb="FF1155CC"/>
        <sz val="11.0"/>
        <u/>
      </rPr>
      <t>https://www.amazon.com/-/es/Tel%C3%A9fono-pulgadas-adaptador-corriente-SIP-T31P/dp/B093KTSMZ1</t>
    </r>
  </si>
  <si>
    <t>18,04</t>
  </si>
  <si>
    <t>19,89</t>
  </si>
  <si>
    <t>SWITCH 1 DE ACCESO</t>
  </si>
  <si>
    <t>Sensor Biométrico -&gt; Electrodomésticos</t>
  </si>
  <si>
    <t>2,65</t>
  </si>
  <si>
    <t>15,23</t>
  </si>
  <si>
    <t>14,42</t>
  </si>
  <si>
    <t>Cámara IP de Zona Celular</t>
  </si>
  <si>
    <t>2,54</t>
  </si>
  <si>
    <t>11,88</t>
  </si>
  <si>
    <t>Sucursal</t>
  </si>
  <si>
    <t>18,89</t>
  </si>
  <si>
    <r>
      <rPr>
        <rFont val="Arial, sans-serif"/>
        <color rgb="FF1155CC"/>
        <sz val="11.0"/>
        <u/>
      </rPr>
      <t>https://www.hikvision.com/es-la/products/IP-Products/Network-Cameras/Pro-Series-EasyIP-/ds-2cd2t46g2-isu-sl/</t>
    </r>
  </si>
  <si>
    <t>AP#1 + Sensor Humo</t>
  </si>
  <si>
    <t>Puerto</t>
  </si>
  <si>
    <t>Estado</t>
  </si>
  <si>
    <t>2,91</t>
  </si>
  <si>
    <t>Tipo</t>
  </si>
  <si>
    <t>4,87</t>
  </si>
  <si>
    <t xml:space="preserve">Reserva 30% </t>
  </si>
  <si>
    <t>VLAN</t>
  </si>
  <si>
    <t>11,11</t>
  </si>
  <si>
    <r>
      <rPr>
        <rFont val="Arial, sans-serif"/>
        <color rgb="FF1155CC"/>
        <sz val="11.0"/>
        <u/>
      </rPr>
      <t>https://www.securame.com/ds-2cd2t46g2-isusl28mmc-camara-ip-hikvision-4mp-pro-ir60m-28mm-h265-poe-sd-wdr-acusense-p-4991.html</t>
    </r>
  </si>
  <si>
    <t>Dispositivo (según nombre del puerto)</t>
  </si>
  <si>
    <t>Dispositivos</t>
  </si>
  <si>
    <t>9,27</t>
  </si>
  <si>
    <t>2CT (Zona Celular)</t>
  </si>
  <si>
    <t>2,66</t>
  </si>
  <si>
    <t>Robot Carga/Descarga</t>
  </si>
  <si>
    <t>6,61</t>
  </si>
  <si>
    <t>1''</t>
  </si>
  <si>
    <t>3,17</t>
  </si>
  <si>
    <t>Sensor Humo (CMonitoreo)</t>
  </si>
  <si>
    <t>0,16</t>
  </si>
  <si>
    <t>3,01</t>
  </si>
  <si>
    <t>MT-P1-SW-VTA</t>
  </si>
  <si>
    <t>Fa0/1 – Fa0/12</t>
  </si>
  <si>
    <t>connected</t>
  </si>
  <si>
    <t>Access</t>
  </si>
  <si>
    <t>3,04</t>
  </si>
  <si>
    <t>2CT(CMonitoreo)</t>
  </si>
  <si>
    <t>50 / 100</t>
  </si>
  <si>
    <t>1,51</t>
  </si>
  <si>
    <t>TELEFONO_Y_PC</t>
  </si>
  <si>
    <t>1,53</t>
  </si>
  <si>
    <t>Servidor (en DTC)</t>
  </si>
  <si>
    <t>MT-P2-SW-OPS</t>
  </si>
  <si>
    <t>Fa0/1 – Fa0/24</t>
  </si>
  <si>
    <t>Escenario Bajo (Mbps)</t>
  </si>
  <si>
    <t>Escenario Típico (Mbps)</t>
  </si>
  <si>
    <t>2,73</t>
  </si>
  <si>
    <t>Sensor Temperatura + Cámara IP -&gt; CComunicaciones</t>
  </si>
  <si>
    <t>40 / 100</t>
  </si>
  <si>
    <t>0,24</t>
  </si>
  <si>
    <t>1,34</t>
  </si>
  <si>
    <t>Escenario Alto/Pico (Mbps)</t>
  </si>
  <si>
    <t>1,15</t>
  </si>
  <si>
    <t>PUESTOS_NOC (datos VLAN 40 + voz VLAN 100 por tu show vlan brief)</t>
  </si>
  <si>
    <t>DHCP/DNS</t>
  </si>
  <si>
    <t>0,57</t>
  </si>
  <si>
    <t>MT-P4-SW-FIN</t>
  </si>
  <si>
    <t>Sensor Humo (CComunicaciones)</t>
  </si>
  <si>
    <t>0,41</t>
  </si>
  <si>
    <t>TELEFONO_Y_PC (TESORERIA)</t>
  </si>
  <si>
    <t>IoT (broker/collector)</t>
  </si>
  <si>
    <t>3,74</t>
  </si>
  <si>
    <t>Sensor Biométrico -&gt; CComunicaciones</t>
  </si>
  <si>
    <t>Fa0/13 – Fa0/24</t>
  </si>
  <si>
    <t>2,02</t>
  </si>
  <si>
    <t>1,71</t>
  </si>
  <si>
    <t>E-mail</t>
  </si>
  <si>
    <t>SOLO_PC_COTIZACION</t>
  </si>
  <si>
    <t>UPLINK</t>
  </si>
  <si>
    <t>Web (intranet/portal)</t>
  </si>
  <si>
    <t>MT-P3-SW-VE</t>
  </si>
  <si>
    <t>Fa0/1 – Fa0/14</t>
  </si>
  <si>
    <t>PC_VENTAS</t>
  </si>
  <si>
    <t>FTP</t>
  </si>
  <si>
    <t>VEN-P1-IFR-SW-01</t>
  </si>
  <si>
    <t>Fa0/1 – Fa0/7</t>
  </si>
  <si>
    <t>PCS_VENTAS_STAFF</t>
  </si>
  <si>
    <t>Telefonía (call manager/IPPBX)</t>
  </si>
  <si>
    <t>https://sylvania.com.ec/wp-content/uploads/2020/05/P23283-Sensor-de-Humo-DC9V.pdf</t>
  </si>
  <si>
    <t>TOTAL Servidores</t>
  </si>
  <si>
    <t>Velocidad</t>
  </si>
  <si>
    <t>Native VLAN</t>
  </si>
  <si>
    <t>VLANs que pasan por el trunk</t>
  </si>
  <si>
    <t>Fa0/15– Fa0/24</t>
  </si>
  <si>
    <t>TEL_VENTAS_GRUPO1</t>
  </si>
  <si>
    <t>$97,97</t>
  </si>
  <si>
    <t>$685,79</t>
  </si>
  <si>
    <r>
      <rPr>
        <rFont val="Arial"/>
        <color rgb="FF1155CC"/>
        <sz val="12.0"/>
        <u/>
      </rPr>
      <t>https://matmax-aiscan.s3.eu-west-1.amazonaws.com/akeneo_files/AISCAN%20BMPZ.pdf</t>
    </r>
  </si>
  <si>
    <t xml:space="preserve">Fa0/8 – Fa0/14
</t>
  </si>
  <si>
    <r>
      <rPr>
        <rFont val="Arial"/>
        <color rgb="FF1155CC"/>
        <sz val="11.0"/>
        <u/>
      </rPr>
      <t>https://www.gruponovelec.com/p/ais_bmpi610</t>
    </r>
  </si>
  <si>
    <t>TELEFONOS_IP_STAFF</t>
  </si>
  <si>
    <t>$2,40</t>
  </si>
  <si>
    <t>$57,60</t>
  </si>
  <si>
    <t>Gi0/1</t>
  </si>
  <si>
    <r>
      <rPr>
        <rFont val="Arial"/>
        <color rgb="FF1155CC"/>
        <sz val="11.0"/>
        <u/>
      </rPr>
      <t>https://www.panduit.com/content/dam/panduit/en/products/media/0/10/310/4310/109894310.pdf</t>
    </r>
  </si>
  <si>
    <t>TRUNK</t>
  </si>
  <si>
    <t xml:space="preserve">1, 40, 99, 100 </t>
  </si>
  <si>
    <t>49</t>
  </si>
  <si>
    <r>
      <rPr>
        <rFont val="&quot;Arial\, sans-serif&quot;"/>
        <color rgb="FF1155CC"/>
        <sz val="11.0"/>
        <u/>
      </rPr>
      <t>https://www.kywi.com.ec/canaleta-de-pvc-de-2-m-x-20mm-x-12mm-de-ancho-diseno-de-1-compartimiento-con-fijacion-mediante-tornillo/p</t>
    </r>
  </si>
  <si>
    <t>140</t>
  </si>
  <si>
    <t>455</t>
  </si>
  <si>
    <t>20,99,200</t>
  </si>
  <si>
    <t>Empresa para el Internet</t>
  </si>
  <si>
    <t>Movistar</t>
  </si>
  <si>
    <t xml:space="preserve">Fa0/15 – Fa0/21
</t>
  </si>
  <si>
    <t>https://ww2.movistar.cl/empresas/servicios-fijos/internet-fibra/fibra-empresas/</t>
  </si>
  <si>
    <t>$2,50</t>
  </si>
  <si>
    <t>$12,50</t>
  </si>
  <si>
    <r>
      <rPr>
        <rFont val="Arial"/>
        <color rgb="FF1155CC"/>
        <sz val="11.0"/>
        <u/>
      </rPr>
      <t>https://www.panduit.com/content/dam/panduit/en/products/media/0/10/310/4310/109894310.pdf</t>
    </r>
  </si>
  <si>
    <r>
      <rPr>
        <rFont val="&quot;Arial\, sans-serif&quot;"/>
        <color rgb="FF1155CC"/>
        <sz val="11.0"/>
        <u/>
      </rPr>
      <t>https://tecnit.com.ec/producto/faceplate-de-2-puertos-panduit-nk2fiwy-blanco-tapa-para-caja-sobrepuesta/?srsltid=AfmBOoqQzZgmpmACDJJz05RWj3YBSQZACE4K6EoYcBW8cuFnzC_XBqQu</t>
    </r>
  </si>
  <si>
    <t>RESERVADO_EXPANSION</t>
  </si>
  <si>
    <t xml:space="preserve">FABRICA </t>
  </si>
  <si>
    <t>Característica</t>
  </si>
  <si>
    <t>50, 99, 100</t>
  </si>
  <si>
    <t>Detalle</t>
  </si>
  <si>
    <t>SWITCH 2 DE ACCESO</t>
  </si>
  <si>
    <t>Fuente (de tu Excel)</t>
  </si>
  <si>
    <t>Valor (Mbps)</t>
  </si>
  <si>
    <t>¿Cuenta para Internet?</t>
  </si>
  <si>
    <t>$1,50</t>
  </si>
  <si>
    <r>
      <rPr>
        <rFont val="Arial"/>
        <color rgb="FF1155CC"/>
        <u/>
      </rPr>
      <t>https://www.panduit.com/content/dam/panduit/en/products/media/0/10/310/4310/109894310.pdf</t>
    </r>
  </si>
  <si>
    <t>Factor aplicado</t>
  </si>
  <si>
    <r>
      <rPr>
        <rFont val="&quot;Arial\, sans-serif&quot;"/>
        <color rgb="FF1155CC"/>
        <sz val="11.0"/>
        <u/>
      </rPr>
      <t>https://www.importadoraespinoza.com/wallplate-faceplate-de-4-puertos-rj45</t>
    </r>
  </si>
  <si>
    <t>Aporte a Internet (Mbps)</t>
  </si>
  <si>
    <t>Nota</t>
  </si>
  <si>
    <t>Tipo de enlace</t>
  </si>
  <si>
    <t>Internet Dedicado Empresarial</t>
  </si>
  <si>
    <t>WAN Matriz + 30%</t>
  </si>
  <si>
    <t>SERVICIO INTERNET → TOTAL WAN + 30% (MATRIZ)</t>
  </si>
  <si>
    <t>Parcial</t>
  </si>
  <si>
    <t>$1,65</t>
  </si>
  <si>
    <t>$13,20</t>
  </si>
  <si>
    <t>Solo parte del uso de usuarios realmente consume Internet.</t>
  </si>
  <si>
    <r>
      <rPr>
        <rFont val="Arial"/>
        <color rgb="FF1155CC"/>
        <sz val="11.0"/>
        <u/>
      </rPr>
      <t>https://jmsecuritysystem.com/shop/lhd-25x15-kopos-lhd-25x15-canaleta-pvc-sin-adhesivo-blanco-2mt-4956?srsltid=AfmBOoqi6cD87f4y1TCtsmMMuuTKEDnD-y7y12uVt3YTye8fZvvLgJBx#attr=</t>
    </r>
  </si>
  <si>
    <t>1 Gbps simétrico</t>
  </si>
  <si>
    <t>Fa0/0 – Fa0/22</t>
  </si>
  <si>
    <t>WAN Fábrica + 30%</t>
  </si>
  <si>
    <t>Trunk</t>
  </si>
  <si>
    <t>SERVICIO INTERNET → TOTAL WAN + 30% (FÁBRICA)</t>
  </si>
  <si>
    <t>AP_OPERACIONES</t>
  </si>
  <si>
    <t>$9,00</t>
  </si>
  <si>
    <t>$99,00</t>
  </si>
  <si>
    <r>
      <rPr>
        <rFont val="&quot;Arial\, sans-serif&quot;"/>
        <color rgb="FF1155CC"/>
        <sz val="11.0"/>
        <u/>
      </rPr>
      <t>https://www.kywi.com.ec/canaleta-lisa-40x25-blanca-sin-division-dexson-schneider/p</t>
    </r>
  </si>
  <si>
    <t>Parte del tráfico es interno/intersedes.</t>
  </si>
  <si>
    <t>Tecnología</t>
  </si>
  <si>
    <t>Giga Ethernet / fibra óptica</t>
  </si>
  <si>
    <t>WAN Sucursal + 30%</t>
  </si>
  <si>
    <t>SERVICIO INTERNET → TOTAL WAN + 30% (SUCURSAL)</t>
  </si>
  <si>
    <t>Codo canaleta 25 x 15mm</t>
  </si>
  <si>
    <t>$0,16</t>
  </si>
  <si>
    <t>Igual: no todo lo agregado sale al ISP.</t>
  </si>
  <si>
    <t>$1,28</t>
  </si>
  <si>
    <t>Puerta física</t>
  </si>
  <si>
    <r>
      <rPr>
        <rFont val="Arial"/>
        <color rgb="FF1155CC"/>
        <sz val="11.0"/>
        <u/>
      </rPr>
      <t>https://assets.tramontina.com.br/upload/tramon/imagens/ELT/57300014FIE001.pdf</t>
    </r>
  </si>
  <si>
    <t>1 Gbps completa</t>
  </si>
  <si>
    <t>Total WAN agregado +30%</t>
  </si>
  <si>
    <t>Suma</t>
  </si>
  <si>
    <r>
      <rPr>
        <rFont val="Arial"/>
        <color rgb="FF1155CC"/>
        <sz val="11.0"/>
        <u/>
      </rPr>
      <t>https://tienda.demaco.ec/codo-externo-canaleta-20mmx10mm-imp</t>
    </r>
  </si>
  <si>
    <t>Total teórico agregado.</t>
  </si>
  <si>
    <t>SLA</t>
  </si>
  <si>
    <t>Garantizado (nivel empresarial)</t>
  </si>
  <si>
    <t>Internet requerido</t>
  </si>
  <si>
    <t>40,50,60,99,200</t>
  </si>
  <si>
    <t>Total × 0.60</t>
  </si>
  <si>
    <t>Codo canaleta 40 x 25 mm</t>
  </si>
  <si>
    <t>Si</t>
  </si>
  <si>
    <t>$1,34</t>
  </si>
  <si>
    <t>$9,38</t>
  </si>
  <si>
    <r>
      <rPr>
        <rFont val="Arial"/>
        <color rgb="FF1155CC"/>
        <sz val="11.0"/>
        <u/>
      </rPr>
      <t>https://assets.tramontina.com.br/upload/tramon/imagens/ELT/57300014FIE001.pdf</t>
    </r>
  </si>
  <si>
    <r>
      <rPr>
        <rFont val="Arial"/>
        <color rgb="FF1155CC"/>
        <sz val="11.0"/>
        <u/>
      </rPr>
      <t>https://tienda.demaco.ec/angulo-plano-para-canaleta-40x25-blanco-dexson</t>
    </r>
  </si>
  <si>
    <t>Soporte técnico</t>
  </si>
  <si>
    <t>Prioritario / empresarial</t>
  </si>
  <si>
    <t>Plan contratado</t>
  </si>
  <si>
    <t>Movistar Dedicado</t>
  </si>
  <si>
    <t>Fa0/0 – Fa0/23</t>
  </si>
  <si>
    <t>$ 500,00</t>
  </si>
  <si>
    <t>1 Gbps simétrico.</t>
  </si>
  <si>
    <t>IP pública</t>
  </si>
  <si>
    <t>Sí (normalmente IP estática)</t>
  </si>
  <si>
    <t>SMARTPHONES_ZONA_CELULARES</t>
  </si>
  <si>
    <t>Margen</t>
  </si>
  <si>
    <r>
      <rPr>
        <rFont val="Arial"/>
        <color rgb="FF1155CC"/>
        <sz val="11.0"/>
        <u/>
      </rPr>
      <t>https://www.hp.com/ec-es/products/printers/product-details/2100584485</t>
    </r>
  </si>
  <si>
    <t>Plan − Internet requerido</t>
  </si>
  <si>
    <t>Codo T canaleta 25 x 15 mm</t>
  </si>
  <si>
    <r>
      <rPr>
        <rFont val="Arial"/>
        <color rgb="FF1155CC"/>
        <sz val="11.0"/>
        <u/>
      </rPr>
      <t>https://assets.tramontina.com.br/upload/tramon/imagens/ELT/57300014FIE001.pdf</t>
    </r>
  </si>
  <si>
    <r>
      <rPr>
        <rFont val="Arial"/>
        <color rgb="FF1155CC"/>
        <sz val="11.0"/>
        <u/>
      </rPr>
      <t>https://global.tramontina.com/es/p/t-40-x-20-mm-tramontina-blanco-57300084</t>
    </r>
  </si>
  <si>
    <t>Margen para picos/crecimiento.</t>
  </si>
  <si>
    <r>
      <rPr>
        <rFont val="Arial"/>
        <color rgb="FF1155CC"/>
        <sz val="11.0"/>
        <u/>
      </rPr>
      <t>https://tecmanecuador.com/producto/hp-impresora-laserjet-pro-m428fdw/</t>
    </r>
  </si>
  <si>
    <t>Uso ideal</t>
  </si>
  <si>
    <t>Empresas con alta demanda de tráfico</t>
  </si>
  <si>
    <t>MT-P2-SW-DEV</t>
  </si>
  <si>
    <t>Ubicación</t>
  </si>
  <si>
    <t>Quito (si Movistar presta servicio allí)</t>
  </si>
  <si>
    <t>Fa0/1 – Fa0/16</t>
  </si>
  <si>
    <t>PCS_TI_Y_NOC</t>
  </si>
  <si>
    <t>$120,90</t>
  </si>
  <si>
    <r>
      <rPr>
        <rFont val="Arial"/>
        <color rgb="FF1155CC"/>
        <sz val="12.0"/>
        <u/>
      </rPr>
      <t>https://connection-cs.com/?m=pn_product.php&amp;id=12&amp;sid=34&amp;pn=CPC-6201</t>
    </r>
  </si>
  <si>
    <t>MT-P4-SW-ADM</t>
  </si>
  <si>
    <r>
      <rPr>
        <rFont val="Arial"/>
        <color rgb="FF1155CC"/>
        <sz val="12.0"/>
        <u/>
      </rPr>
      <t>https://www.sincables.com.ec/product/cpc-6201-connection-patchcord-utp-100-cobre-23-awg-cat6-1ft-azul/?srsltid=AfmBOooe6YrHjlUSgWYo1MrgDyb3w4Jr05F0bq_R8T0gSHSJJ3ImsOOw</t>
    </r>
  </si>
  <si>
    <t>TELEFONO_Y_PC (ADMINISTRACION)</t>
  </si>
  <si>
    <t>Fa0/24</t>
  </si>
  <si>
    <t>SMART_TVS_MULTIMEDIA</t>
  </si>
  <si>
    <t>MT-P1-SW-SEG</t>
  </si>
  <si>
    <t>Fa0/1 – Fa0/4</t>
  </si>
  <si>
    <t>$4,13</t>
  </si>
  <si>
    <t>$16,52</t>
  </si>
  <si>
    <r>
      <rPr>
        <rFont val="Arial"/>
        <color rgb="FF1155CC"/>
        <sz val="12.0"/>
        <u/>
      </rPr>
      <t>https://suptelcom.com.ec/wp-content/uploads/2026/01/Ficha-Tenica-o-Data-Sheet-de-NK6PC3Y-Patch-Cord-en-Categoria-6-UTP-3ft-o-1-metro-de-color-Int-Gray-en-Panduit-NetKey.pdf</t>
    </r>
  </si>
  <si>
    <t>PC_MONITOREO</t>
  </si>
  <si>
    <t>Fa0/17 – Fa0/21</t>
  </si>
  <si>
    <r>
      <rPr>
        <rFont val="Arial"/>
        <color rgb="FF1155CC"/>
        <sz val="12.0"/>
        <u/>
      </rPr>
      <t>https://suptelcom.com.ec/product/patch-cord-cat6-utp-3ft-blanco-panduit-netkey/</t>
    </r>
  </si>
  <si>
    <t>TELS_NOC_Y_ANALITI (puerto con datos + voz según show vlan brief: VLAN 40 y VLAN 100)</t>
  </si>
  <si>
    <r>
      <rPr>
        <rFont val="Arial, sans-serif"/>
        <color rgb="FF1155CC"/>
        <sz val="11.0"/>
        <u/>
      </rPr>
      <t>https://www.cdw.com/product/cisco-catalyst-9115axi-wireless-access-point-bluetooth-wi-fi-6/5561861</t>
    </r>
  </si>
  <si>
    <t>$4,47</t>
  </si>
  <si>
    <t>$26,82</t>
  </si>
  <si>
    <r>
      <rPr>
        <rFont val="Arial"/>
        <color rgb="FF1155CC"/>
        <sz val="12.0"/>
        <u/>
      </rPr>
      <t>https://www.fs.com/mx/products/63446.html</t>
    </r>
  </si>
  <si>
    <r>
      <rPr>
        <rFont val="Arial"/>
        <color rgb="FF1155CC"/>
        <sz val="12.0"/>
        <u/>
      </rPr>
      <t>https://www.fs.com/mx/products/63446.html</t>
    </r>
  </si>
  <si>
    <r>
      <rPr>
        <rFont val="Arial, sans-serif"/>
        <color rgb="FF1155CC"/>
        <sz val="11.0"/>
        <u/>
      </rPr>
      <t>https://www.cdw.com/product/cisco-catalyst-9115axi-wireless-access-point-bluetooth-wi-fi-6/5561861</t>
    </r>
  </si>
  <si>
    <t>$5,21</t>
  </si>
  <si>
    <t>$20,84</t>
  </si>
  <si>
    <r>
      <rPr>
        <rFont val="Arial"/>
        <color rgb="FF1155CC"/>
        <sz val="12.0"/>
        <u/>
      </rPr>
      <t>https://ecuacomp.com/producto/cable-de-red-utp-patch-cord-nexxt-cat6-certificado-10-pies-azul-gris/</t>
    </r>
  </si>
  <si>
    <t>Fa0/5 – Fa0/24</t>
  </si>
  <si>
    <t>CAMARAS_IOT</t>
  </si>
  <si>
    <t>Fa0/22</t>
  </si>
  <si>
    <r>
      <rPr>
        <rFont val="Arial"/>
        <color rgb="FF1155CC"/>
        <sz val="12.0"/>
        <u/>
      </rPr>
      <t>https://ecuacomp.com/producto/cable-de-red-utp-patch-cord-nexxt-cat6-certificado-10-pies-azul-gris/</t>
    </r>
  </si>
  <si>
    <t>AP_INNOVACION</t>
  </si>
  <si>
    <t>MT-P3-SW-MKT</t>
  </si>
  <si>
    <t>$3,00</t>
  </si>
  <si>
    <t>TEL_VENTAS_REMANEN</t>
  </si>
  <si>
    <t>$84,00</t>
  </si>
  <si>
    <r>
      <rPr>
        <rFont val="Roboto"/>
        <color rgb="FF1155CC"/>
        <sz val="11.0"/>
        <u/>
      </rPr>
      <t>https://www.se.com/co/es/product/download-pdf/DXN5002S?filename=Schneider+Electric_Dexson_DXN5002S.pdf</t>
    </r>
  </si>
  <si>
    <r>
      <rPr>
        <rFont val="Roboto"/>
        <color rgb="FF1155CC"/>
        <sz val="11.0"/>
        <u/>
      </rPr>
      <t>https://www.dyprelec.com/producto/cajetin-rectangular-sobrepuesto-dexson-55mm/?srsltid=AfmBOoqQNy-prX1qQapc8JqJtL0j8ceU1ryxCEp37jtPlWcOVwzW-bnL</t>
    </r>
  </si>
  <si>
    <t>$2,00</t>
  </si>
  <si>
    <t>$144,00</t>
  </si>
  <si>
    <r>
      <rPr>
        <rFont val="&quot;Arial\, sans-serif&quot;"/>
        <color rgb="FF1155CC"/>
        <sz val="11.0"/>
        <u/>
      </rPr>
      <t>https://files.siemon.com/en/specsheet/siemon-z-max-6a-shielded-outlets_spec-sheet.pdf</t>
    </r>
  </si>
  <si>
    <t>Fa0/23 – Fa0/24</t>
  </si>
  <si>
    <t>disabled</t>
  </si>
  <si>
    <r>
      <rPr>
        <rFont val="&quot;Arial\, sans-serif&quot;"/>
        <color rgb="FF1155CC"/>
        <sz val="11.0"/>
        <u/>
      </rPr>
      <t>https://articulo.mercadolibre.com.ec/MEC-581849574-conector-jack-rj45-commscope-hembra-cat6-tipo-110-_JM#polycard_client=search-nordic&amp;position=8&amp;search_layout=stack&amp;type=item&amp;tracking_id=58405fbd-cadb-4af1-928f-5abc0bb393cd&amp;wid=MEC581849574&amp;sid=search</t>
    </r>
  </si>
  <si>
    <t>(reservado)</t>
  </si>
  <si>
    <t>RESERVA</t>
  </si>
  <si>
    <t>MT-P1-SW-MKT</t>
  </si>
  <si>
    <t>Fa0/5 – Fa0/8</t>
  </si>
  <si>
    <t>DEV_WEB_PCS</t>
  </si>
  <si>
    <t>$2,33</t>
  </si>
  <si>
    <t>$34,95</t>
  </si>
  <si>
    <r>
      <rPr>
        <rFont val="&quot;Arial\, sans-serif&quot;"/>
        <color rgb="FF1155CC"/>
        <sz val="11.0"/>
        <u/>
      </rPr>
      <t>https://mariorubio.com.ec/producto/tubo-conduit-pesada-3-4-x-3-mts/</t>
    </r>
  </si>
  <si>
    <r>
      <rPr>
        <rFont val="&quot;Arial\, sans-serif&quot;"/>
        <color rgb="FF1155CC"/>
        <sz val="11.0"/>
        <u/>
      </rPr>
      <t>https://www.otece.com.ec/producto/tuberia-emt-34/</t>
    </r>
  </si>
  <si>
    <r>
      <rPr>
        <rFont val="Arial, sans-serif"/>
        <color rgb="FF1155CC"/>
        <sz val="11.0"/>
        <u/>
      </rPr>
      <t>https://connection-cs.com/?m=pn_product.php&amp;id=12&amp;sid=34&amp;pn=CPC-6201</t>
    </r>
  </si>
  <si>
    <t>30,99,200</t>
  </si>
  <si>
    <t>$6,35</t>
  </si>
  <si>
    <t>10,  20, 30, 99, 300</t>
  </si>
  <si>
    <t>$12,70</t>
  </si>
  <si>
    <r>
      <rPr>
        <rFont val="Arial, sans-serif"/>
        <color rgb="FF1155CC"/>
        <sz val="11.0"/>
        <u/>
      </rPr>
      <t>https://www.sincables.com.ec/product/cpc-6201-connection-patchcord-utp-100-cobre-23-awg-cat6-1ft-azul/?srsltid=AfmBOooe6YrHjlUSgWYo1MrgDyb3w4Jr05F0bq_R8T0gSHSJJ3ImsOOw</t>
    </r>
  </si>
  <si>
    <t>Fa0/9 – Fa0/12</t>
  </si>
  <si>
    <t>MKT_PRINTERS_WIFI</t>
  </si>
  <si>
    <t>SWITCH 3 DE ACCESO</t>
  </si>
  <si>
    <t>$3,20</t>
  </si>
  <si>
    <t>$6,40</t>
  </si>
  <si>
    <r>
      <rPr>
        <rFont val="Arial"/>
        <color rgb="FF1155CC"/>
        <sz val="11.0"/>
        <u/>
      </rPr>
      <t>https://inselec.com.ec/wp-content/uploads/cajadepasocopia.pdf</t>
    </r>
  </si>
  <si>
    <t>SERVIDORES</t>
  </si>
  <si>
    <r>
      <rPr>
        <rFont val="Arial"/>
        <color rgb="FF1155CC"/>
        <sz val="11.0"/>
        <u/>
      </rPr>
      <t>https://www.promart.ec/caja-paso-15x15x10cm-c24-trossa/p</t>
    </r>
  </si>
  <si>
    <t>VENTAS</t>
  </si>
  <si>
    <t>60, 99 (permitidas: 50,60,99; activas: 60,99)</t>
  </si>
  <si>
    <t>$4,57</t>
  </si>
  <si>
    <t>$9,14</t>
  </si>
  <si>
    <r>
      <rPr>
        <rFont val="Arial"/>
        <color rgb="FF1155CC"/>
        <sz val="11.0"/>
        <u/>
      </rPr>
      <t>https://inselec.com.ec/wp-content/uploads/cajadepasocopia.pdf</t>
    </r>
  </si>
  <si>
    <r>
      <rPr>
        <rFont val="Arial"/>
        <color rgb="FF1155CC"/>
        <sz val="11.0"/>
        <u/>
      </rPr>
      <t>https://www.kywi.com.ec/caja-d-paso-20cm-x20cm-tol-galvanizado/p</t>
    </r>
  </si>
  <si>
    <t>Fa0/13</t>
  </si>
  <si>
    <t>DNS</t>
  </si>
  <si>
    <t>Server IoT</t>
  </si>
  <si>
    <t>AP_SALA_REUNIONES</t>
  </si>
  <si>
    <t>Servidor</t>
  </si>
  <si>
    <t>$7,25</t>
  </si>
  <si>
    <t>$14,50</t>
  </si>
  <si>
    <t>Dirección IP</t>
  </si>
  <si>
    <r>
      <rPr>
        <rFont val="&quot;Arial\, sans-serif&quot;"/>
        <color rgb="FF1155CC"/>
        <sz val="11.0"/>
        <u/>
      </rPr>
      <t>https://www.otece.com.ec/producto/tuberia-emt-1/</t>
    </r>
    <r>
      <rPr>
        <rFont val="&quot;Arial\, sans-serif&quot;"/>
        <color rgb="FF1155CC"/>
        <sz val="11.0"/>
        <u/>
      </rPr>
      <t>/</t>
    </r>
  </si>
  <si>
    <t>Máscara de Subred</t>
  </si>
  <si>
    <t>Default Gateway</t>
  </si>
  <si>
    <t>DNS Server</t>
  </si>
  <si>
    <t>TIPO</t>
  </si>
  <si>
    <t>Notas</t>
  </si>
  <si>
    <r>
      <rPr>
        <rFont val="&quot;Arial\, sans-serif&quot;"/>
        <color rgb="FF1155CC"/>
        <sz val="11.0"/>
        <u/>
      </rPr>
      <t>https://www.otece.com.ec/producto/tuberia-emt-1/</t>
    </r>
  </si>
  <si>
    <t>Nombre</t>
  </si>
  <si>
    <t>Hosts Reales</t>
  </si>
  <si>
    <t>Tamaño Necesario</t>
  </si>
  <si>
    <t>Máscara</t>
  </si>
  <si>
    <t>Gateway (Router)</t>
  </si>
  <si>
    <t>$10,56</t>
  </si>
  <si>
    <t>Rango de IPs</t>
  </si>
  <si>
    <r>
      <rPr>
        <rFont val="&quot;Arial\, sans-serif&quot;"/>
        <color rgb="FF1155CC"/>
        <sz val="11.0"/>
        <u/>
      </rPr>
      <t>https://www.otece.com.ec/producto/tuberia-emt-1-14/</t>
    </r>
  </si>
  <si>
    <r>
      <rPr>
        <rFont val="&quot;Arial\, sans-serif&quot;"/>
        <color rgb="FF1155CC"/>
        <sz val="11.0"/>
        <u/>
      </rPr>
      <t>https://www.otece.com.ec/producto/tuberia-emt-1-14/</t>
    </r>
  </si>
  <si>
    <t>$44,45</t>
  </si>
  <si>
    <r>
      <rPr>
        <rFont val="Arial"/>
        <color rgb="FF1155CC"/>
        <sz val="11.0"/>
        <u/>
      </rPr>
      <t>https://www.promart.ec/caja-paso-100x100x55-ip55-500dg-dexson/p?srsltid=AfmBOopuPcDdlnk965r90GSNqBGTqBTfU2s4MrrEmlkDbxfSVxwr-YnW</t>
    </r>
  </si>
  <si>
    <t>192.168.8.50</t>
  </si>
  <si>
    <t>192.168.8.51</t>
  </si>
  <si>
    <t>40, 99, 100 (permitidas: 40,60,99-100; activas: 40,99,100)</t>
  </si>
  <si>
    <t>DNS / DHCP</t>
  </si>
  <si>
    <t>Fa0/15 – Fa0/24</t>
  </si>
  <si>
    <t>not connected</t>
  </si>
  <si>
    <t>255.255.255.248</t>
  </si>
  <si>
    <t>$58,13</t>
  </si>
  <si>
    <t>$232,52</t>
  </si>
  <si>
    <t>192.168.8.49</t>
  </si>
  <si>
    <t>PUESTOS_MARKETING</t>
  </si>
  <si>
    <r>
      <rPr>
        <rFont val="Arial"/>
        <color rgb="FF1155CC"/>
        <sz val="11.0"/>
        <u/>
      </rPr>
      <t>https://sylvania.com.ec/wp-content/uploads/2020/05/P23283-Sensor-de-Humo-DC9V.pdf</t>
    </r>
  </si>
  <si>
    <t>127.0.0.1</t>
  </si>
  <si>
    <t>MT-P4-SW-IOT</t>
  </si>
  <si>
    <t>Servidor DNS principal.</t>
  </si>
  <si>
    <t>CAMARAS VIGILANCIA</t>
  </si>
  <si>
    <t>Wi-Fi</t>
  </si>
  <si>
    <t>128 IPs</t>
  </si>
  <si>
    <t>$14,60</t>
  </si>
  <si>
    <t>255.255.255.128</t>
  </si>
  <si>
    <t>$29,20</t>
  </si>
  <si>
    <t>192.168.9.1</t>
  </si>
  <si>
    <t>192.168.9.0 - .127</t>
  </si>
  <si>
    <t>ADMIN_FABRICA</t>
  </si>
  <si>
    <t>32 IPs</t>
  </si>
  <si>
    <t>255.255.255.224 (/27)</t>
  </si>
  <si>
    <t>Sensor de movimiento</t>
  </si>
  <si>
    <t>$31,55</t>
  </si>
  <si>
    <t>192.168.10.1</t>
  </si>
  <si>
    <t>$126,18</t>
  </si>
  <si>
    <t>https://ecolite.com.co/wp-content/uploads/fichas-tecnicas/Ficha%20técnica%20SENSOR%20DE%20MOVIMIENTO%20SE04-SE06-SE07_2023.pdf</t>
  </si>
  <si>
    <t>192.168.10.0 – 31</t>
  </si>
  <si>
    <r>
      <rPr>
        <rFont val="Arial"/>
        <color rgb="FF1155CC"/>
        <sz val="11.0"/>
        <u/>
      </rPr>
      <t>https://ecolite.com.co/sensor-movimiento-tipo-hongo-ecolite-se06-p241/?srsltid=AfmBOooOk0rf-kskHA7F5A9yMKxwAw7mpBNI1wzXtBwjW71tATx6NYJp</t>
    </r>
  </si>
  <si>
    <t>Fa0/8 – Fa0/14</t>
  </si>
  <si>
    <t>SENSORES DE HUMO</t>
  </si>
  <si>
    <t>VEN-P1-IFR-SW-02</t>
  </si>
  <si>
    <t>IOT Server</t>
  </si>
  <si>
    <t>$57,00</t>
  </si>
  <si>
    <t>$171,00</t>
  </si>
  <si>
    <r>
      <rPr>
        <rFont val="Arial"/>
        <color rgb="FF1155CC"/>
        <sz val="11.0"/>
        <u/>
      </rPr>
      <t>https://www.fersontec.cl/control-acceso-biometrico-clave-rfid-125khz-zkteco?utm_source=chatgpt.com</t>
    </r>
  </si>
  <si>
    <t>SENSORES_HUMO_IOT</t>
  </si>
  <si>
    <t>Cámaras.</t>
  </si>
  <si>
    <t>MT-P1-SW-PUB</t>
  </si>
  <si>
    <t>Fa0/1 – Fa0/2 y Fa0/10 – Fa0/12</t>
  </si>
  <si>
    <r>
      <rPr>
        <rFont val="Arial"/>
        <color rgb="FF1155CC"/>
        <sz val="11.0"/>
        <u/>
      </rPr>
      <t>https://www.fersontec.cl/control-acceso-biometrico-clave-rfid-125khz-zkteco?utm_source=chatgpt.com</t>
    </r>
  </si>
  <si>
    <t>IoT</t>
  </si>
  <si>
    <t>64 IPs</t>
  </si>
  <si>
    <t>255.255.255.192</t>
  </si>
  <si>
    <t>192.168.9.129</t>
  </si>
  <si>
    <t>SOLO_PC_DATOS</t>
  </si>
  <si>
    <t>192.168.9.128 - .191</t>
  </si>
  <si>
    <t>$75,00</t>
  </si>
  <si>
    <t>$525,00</t>
  </si>
  <si>
    <r>
      <rPr>
        <rFont val="&quot;Arial\, sans-serif&quot;"/>
        <color rgb="FF1155CC"/>
        <sz val="11.0"/>
        <u/>
      </rPr>
      <t>https://www.yealink.com/es/product-detail/ip-phone-t31p</t>
    </r>
  </si>
  <si>
    <t>VOZ_FABRICA</t>
  </si>
  <si>
    <t>16 IPs</t>
  </si>
  <si>
    <t>255.255.255.240 (/28)</t>
  </si>
  <si>
    <r>
      <rPr>
        <rFont val="&quot;Arial\, sans-serif&quot;"/>
        <color rgb="FF1155CC"/>
        <sz val="11.0"/>
        <u/>
      </rPr>
      <t>https://www.amazon.com/-/es/Tel%C3%A9fono-pulgadas-adaptador-corriente-SIP-T31P/dp/B093KTSMZ1</t>
    </r>
  </si>
  <si>
    <t>192.168.10.33</t>
  </si>
  <si>
    <t>192.168.10.32 – 47</t>
  </si>
  <si>
    <t>Innovación</t>
  </si>
  <si>
    <t>Fa0/15 – Fa0/17</t>
  </si>
  <si>
    <t>$290,00</t>
  </si>
  <si>
    <t>$1.740,00</t>
  </si>
  <si>
    <r>
      <rPr>
        <rFont val="&quot;Arial\, sans-serif&quot;"/>
        <color rgb="FF1155CC"/>
        <sz val="11.0"/>
        <u/>
      </rPr>
      <t>https://www.hikvision.com/es-la/products/IP-Products/Network-Cameras/Pro-Series-EasyIP-/ds-2cd2t46g2-isu-sl/</t>
    </r>
  </si>
  <si>
    <t>192.168.6.1</t>
  </si>
  <si>
    <t>SENSORES DATA CENTER</t>
  </si>
  <si>
    <t>192.168.6.0 - .127</t>
  </si>
  <si>
    <t>EMAIL</t>
  </si>
  <si>
    <t xml:space="preserve">Fa0/5 – Fa0/11
</t>
  </si>
  <si>
    <r>
      <rPr>
        <rFont val="&quot;Arial\, sans-serif&quot;"/>
        <color rgb="FF1155CC"/>
        <sz val="11.0"/>
        <u/>
      </rPr>
      <t>https://www.securame.com/ds-2cd2t46g2-isusl28mmc-camara-ip-hikvision-4mp-pro-ir60m-28mm-h265-poe-sd-wdr-acusense-p-4991.html</t>
    </r>
  </si>
  <si>
    <t>192.168.8.52</t>
  </si>
  <si>
    <t>CAMARAS_SEGURIDAD</t>
  </si>
  <si>
    <t>SMTP/POP3.</t>
  </si>
  <si>
    <t>Fa0/3 – Fa0/4</t>
  </si>
  <si>
    <t>Datos</t>
  </si>
  <si>
    <t xml:space="preserve">50 / 100 </t>
  </si>
  <si>
    <t xml:space="preserve">SOLO_TELEFONOS </t>
  </si>
  <si>
    <t>MT-P2-SW-ADM</t>
  </si>
  <si>
    <t>255.255.255.240</t>
  </si>
  <si>
    <r>
      <rPr>
        <rFont val="Arial, sans-serif"/>
        <color rgb="FF1155CC"/>
        <sz val="11.0"/>
        <u/>
      </rPr>
      <t>https://www.panduit.com/content/dam/panduit/en/products/media/0/10/310/4310/109894310.pdf</t>
    </r>
  </si>
  <si>
    <t>192.168.9.193</t>
  </si>
  <si>
    <t>$262,00</t>
  </si>
  <si>
    <t>192.168.9.192 - .207</t>
  </si>
  <si>
    <t>$524,00</t>
  </si>
  <si>
    <t>PCS_STAFF_ADM</t>
  </si>
  <si>
    <r>
      <rPr>
        <rFont val="&quot;Arial\, sans-serif&quot;"/>
        <color rgb="FF1155CC"/>
        <sz val="11.0"/>
        <u/>
      </rPr>
      <t>https://www.hp.com/ec-es/products/printers/product-details/2100584485</t>
    </r>
  </si>
  <si>
    <r>
      <rPr>
        <rFont val="Arial, sans-serif"/>
        <color rgb="FF1155CC"/>
        <sz val="11.0"/>
        <u/>
      </rPr>
      <t>https://www.kywi.com.ec/canaleta-de-pvc-de-2-m-x-20mm-x-12mm-de-ancho-diseno-de-1-compartimiento-con-fijacion-mediante-tornillo/p</t>
    </r>
  </si>
  <si>
    <t>CCTV_SEGURIDAD</t>
  </si>
  <si>
    <r>
      <rPr>
        <rFont val="Arial"/>
        <color rgb="FF1155CC"/>
        <sz val="11.0"/>
        <u/>
      </rPr>
      <t>https://tecmanecuador.com/producto/epson-impresora-multifuncional-ecotank-l3250/</t>
    </r>
  </si>
  <si>
    <t>40,50,60,70,99,200</t>
  </si>
  <si>
    <t xml:space="preserve">Fa0/18 </t>
  </si>
  <si>
    <t>notconnected</t>
  </si>
  <si>
    <t>255.255.255.192 (/26)</t>
  </si>
  <si>
    <t>192.168.10.65</t>
  </si>
  <si>
    <t>192.168.10.64 – 127</t>
  </si>
  <si>
    <t xml:space="preserve">Fa0/12 – Fa0/20
</t>
  </si>
  <si>
    <t>SENSORES_MOV_TEMP_RFID</t>
  </si>
  <si>
    <t>$310,00</t>
  </si>
  <si>
    <t>$2.170,00</t>
  </si>
  <si>
    <r>
      <rPr>
        <rFont val="&quot;Arial\, sans-serif&quot;"/>
        <color rgb="FF1155CC"/>
        <sz val="11.0"/>
        <u/>
      </rPr>
      <t>https://www.newegg.com/asus-nuc-14-essential-barebone-systems-mini-pc-intel-n150-processor-4-cores-4-threads-3-60-ghz-6w-tdp-6-mb-intel-smart-cache-rnuc14mnk1500000/p/2SW-000N-000A9?Item=9SIBM9SKG05866</t>
    </r>
  </si>
  <si>
    <t>Fa0/5 – Fa0/6</t>
  </si>
  <si>
    <t>192.168.6.129</t>
  </si>
  <si>
    <t>AP_INVITADOS</t>
  </si>
  <si>
    <t>192.168.6.128 - .255</t>
  </si>
  <si>
    <r>
      <rPr>
        <rFont val="&quot;Arial\, sans-serif&quot;"/>
        <color rgb="FF1155CC"/>
        <sz val="11.0"/>
        <u/>
      </rPr>
      <t>https://www.newegg.com/asus-nuc-14-essential-barebone-systems-mini-pc-intel-n150-processor-4-cores-4-threads-3-60-ghz-6w-tdp-6-mb-intel-smart-cache-rnuc14mnk1500000/p/2SW-000N-000A9?Item=9SIBM9SKG05866</t>
    </r>
  </si>
  <si>
    <t>192.168.8.53</t>
  </si>
  <si>
    <t>Transferencia archivos.</t>
  </si>
  <si>
    <t>$110,00</t>
  </si>
  <si>
    <t>TELS_STAFF_ADM (datos + voz)</t>
  </si>
  <si>
    <t>$770,00</t>
  </si>
  <si>
    <r>
      <rPr>
        <rFont val="&quot;Arial\, sans-serif&quot;"/>
        <color rgb="FF1155CC"/>
        <sz val="11.0"/>
        <u/>
      </rPr>
      <t>https://www.amazon.com/-/es/ASUS-Monitor-cuidado-ocular-VA279QG/dp/B0DM6S4FMH/ref=sr_1_6?__mk_es_US=%C3%85M%C3%85%C5%BD%C3%95%C3%91&amp;crid=252G5W7G9B21R&amp;dib=eyJ2IjoiMSJ9.2V6gusNE5rW28YE2hb3s5-DZ4_bZfymxmV6SLyGxqGVKZpPIN0wT3yNx2Khk_gZ1FqxbB6Gdyl6NrMX60aBTG91oxOxhAhd0eC8vIHwuyidQl34JlrKGK8P5LkhVlN-CnnD6IiIouxln45sHizd6hybZjRMLoccmUAAQpKaMF9ZTmNI5CIpUVru-NSrz_yey11oQDI9R-krSjARAhoOtxGTCINGy7ZDasCbPPERBa4I.CQ4eW-rms4YebCM5KLJncCBYt3WzrVbsbGEE7eq-4I8&amp;dib_tag=se&amp;keywords=asus%2Bmonitor&amp;qid=1754240333&amp;sprefix=asus%2Bmonito%2Caps%2C169&amp;sr=8-6&amp;th=1</t>
    </r>
  </si>
  <si>
    <t>Voz</t>
  </si>
  <si>
    <t>192.168.9.209</t>
  </si>
  <si>
    <t>192.168.9.208 - .223</t>
  </si>
  <si>
    <t>Fa0/19 – Fa0/24</t>
  </si>
  <si>
    <t>OT_PINTURA</t>
  </si>
  <si>
    <t>IOT_CCTV_P4</t>
  </si>
  <si>
    <r>
      <rPr>
        <rFont val="&quot;Arial\, sans-serif&quot;"/>
        <color rgb="FF1155CC"/>
        <sz val="11.0"/>
        <u/>
      </rPr>
      <t>https://www.amazon.com/-/es/ASUS-Monitor-cuidado-ocular-VA279QG/dp/B0DM6S4FMH/ref=sr_1_6?__mk_es_US=%C3%85M%C3%85%C5%BD%C3%95%C3%91&amp;crid=252G5W7G9B21R&amp;dib=eyJ2IjoiMSJ9.2V6gusNE5rW28YE2hb3s5-DZ4_bZfymxmV6SLyGxqGVKZpPIN0wT3yNx2Khk_gZ1FqxbB6Gdyl6NrMX60aBTG91oxOxhAhd0eC8vIHwuyidQl34JlrKGK8P5LkhVlN-CnnD6IiIouxln45sHizd6hybZjRMLoccmUAAQpKaMF9ZTmNI5CIpUVru-NSrz_yey11oQDI9R-krSjARAhoOtxGTCINGy7ZDasCbPPERBa4I.CQ4eW-rms4YebCM5KLJncCBYt3WzrVbsbGEE7eq-4I8&amp;dib_tag=se&amp;keywords=asus%2Bmonitor&amp;qid=1754240333&amp;sprefix=asus%2Bmonito%2Caps%2C169&amp;sr=8-6&amp;th=1</t>
    </r>
  </si>
  <si>
    <t>192.168.10.129</t>
  </si>
  <si>
    <t>192.168.10.128 – 143</t>
  </si>
  <si>
    <t>Fa0/21</t>
  </si>
  <si>
    <t>LAPTOPS_ZONA_DEMO_GUEST</t>
  </si>
  <si>
    <t>Voz A.</t>
  </si>
  <si>
    <t>Fa0/7</t>
  </si>
  <si>
    <t>$650,00</t>
  </si>
  <si>
    <t>$2.600,00</t>
  </si>
  <si>
    <r>
      <rPr>
        <rFont val="Roboto"/>
        <color rgb="FF1155CC"/>
        <sz val="11.0"/>
        <u/>
      </rPr>
      <t>https://www.cdw.com/product/cisco-catalyst-9115axi-wireless-access-point-bluetooth-wi-fi-6/5561861?pfm=srh</t>
    </r>
  </si>
  <si>
    <t>192.168.7.1</t>
  </si>
  <si>
    <t>192.168.7.0 - .63</t>
  </si>
  <si>
    <t>AP_CORPORATIVO</t>
  </si>
  <si>
    <t>WEB</t>
  </si>
  <si>
    <t>192.168.8.54</t>
  </si>
  <si>
    <r>
      <rPr>
        <rFont val="Roboto"/>
        <color rgb="FF1155CC"/>
        <sz val="11.0"/>
        <u/>
      </rPr>
      <t>https://www.router-switch.com/c9115axi-e.html</t>
    </r>
  </si>
  <si>
    <t>www.mitienda.com</t>
  </si>
  <si>
    <t>PRINTERS_CORP / APs_WIFI</t>
  </si>
  <si>
    <t>MGMT 1</t>
  </si>
  <si>
    <t>4 IPs</t>
  </si>
  <si>
    <t>$9.629,64</t>
  </si>
  <si>
    <t>255.255.255.252</t>
  </si>
  <si>
    <t>192.168.9.225</t>
  </si>
  <si>
    <t>192.168.9.224 - .227</t>
  </si>
  <si>
    <t>Valor Total + Insumos rack piso</t>
  </si>
  <si>
    <t>OT_SUBENSAMBLE</t>
  </si>
  <si>
    <t>$18.953,21</t>
  </si>
  <si>
    <t>VEN-P1-IFR-SW-06</t>
  </si>
  <si>
    <t xml:space="preserve">Fa0/22 – Fa0/24
</t>
  </si>
  <si>
    <t>192.168.10.145</t>
  </si>
  <si>
    <t>192.168.10.144 – 159</t>
  </si>
  <si>
    <r>
      <rPr>
        <rFont val="Arial, sans-serif"/>
        <color rgb="FF1155CC"/>
        <sz val="11.0"/>
        <u/>
      </rPr>
      <t>https://www.panduit.com/content/dam/panduit/en/products/media/0/10/310/4310/109894310.pdf</t>
    </r>
  </si>
  <si>
    <t>Fa0/8 – Fa0/9</t>
  </si>
  <si>
    <t>Voz B.</t>
  </si>
  <si>
    <r>
      <rPr>
        <rFont val="Arial, sans-serif"/>
        <color rgb="FF1155CC"/>
        <sz val="11.0"/>
        <u/>
      </rPr>
      <t>https://tecnit.com.ec/producto/faceplate-de-2-puertos-panduit-nk2fiwy-blanco-tapa-para-caja-sobrepuesta/?srsltid=AfmBOoqQzZgmpmACDJJz05RWj3YBSQZACE4K6EoYcBW8cuFnzC_XBqQu</t>
    </r>
  </si>
  <si>
    <t>Cálculo de Ancho de Banda Centro de Ventas</t>
  </si>
  <si>
    <t>IMPRESORAS_CORP</t>
  </si>
  <si>
    <t>192.168.7.65</t>
  </si>
  <si>
    <t>192.168.7.64 - .127</t>
  </si>
  <si>
    <t>Dispositivos Wi-Fi</t>
  </si>
  <si>
    <t>Nodos Cableados (UTP)</t>
  </si>
  <si>
    <t>60 / 70 / 100 / 40</t>
  </si>
  <si>
    <t>Total Dispositivos</t>
  </si>
  <si>
    <t>MGMT 2</t>
  </si>
  <si>
    <t>AP Asignado</t>
  </si>
  <si>
    <t>IOT_Y_CCTV_P2 (reservas + puertos activos)</t>
  </si>
  <si>
    <t>PLC Horno</t>
  </si>
  <si>
    <t>MT-P3-SW-IOT</t>
  </si>
  <si>
    <t>192.168.9.229</t>
  </si>
  <si>
    <t>Mbps prom.</t>
  </si>
  <si>
    <t>% Sim.</t>
  </si>
  <si>
    <t>DISPOSITIVOS_IOT</t>
  </si>
  <si>
    <t>192.168.9.228 - .231</t>
  </si>
  <si>
    <t>BW Requerido</t>
  </si>
  <si>
    <t>A futuro (15%)</t>
  </si>
  <si>
    <t>OT_MONTAJE</t>
  </si>
  <si>
    <t>192.168.10.161</t>
  </si>
  <si>
    <t>192.168.10.160 – 191</t>
  </si>
  <si>
    <t>Streaming HD / TV</t>
  </si>
  <si>
    <t>Fa0/13 – Fa0/15</t>
  </si>
  <si>
    <t>Ventas</t>
  </si>
  <si>
    <t>8,33</t>
  </si>
  <si>
    <t>100 / 200</t>
  </si>
  <si>
    <t>180.0 Mbps</t>
  </si>
  <si>
    <t>27.00 Mbps</t>
  </si>
  <si>
    <t xml:space="preserve">WIFI_INVITADOS </t>
  </si>
  <si>
    <t>192.168.7.129</t>
  </si>
  <si>
    <t>N/A</t>
  </si>
  <si>
    <t>192.168.7.128 - .191</t>
  </si>
  <si>
    <t>Home Celulares</t>
  </si>
  <si>
    <t>Demos / Navegación</t>
  </si>
  <si>
    <t>IOT_SENSORES</t>
  </si>
  <si>
    <t>Fa0/13 – Fa0/20</t>
  </si>
  <si>
    <t>notconnect</t>
  </si>
  <si>
    <t>75.0 Mbps</t>
  </si>
  <si>
    <t>11.25 Mbps</t>
  </si>
  <si>
    <t>192.168.10.193</t>
  </si>
  <si>
    <t>192.168.10.192 – 223</t>
  </si>
  <si>
    <t>Finanzas</t>
  </si>
  <si>
    <t>Zona Laptop</t>
  </si>
  <si>
    <t>4,95</t>
  </si>
  <si>
    <t>45.0 Mbps</t>
  </si>
  <si>
    <t>60,99</t>
  </si>
  <si>
    <t>6.75 Mbps</t>
  </si>
  <si>
    <t>255.255.255.224</t>
  </si>
  <si>
    <t>192.168.7.193</t>
  </si>
  <si>
    <t>192.168.7.192 - .223</t>
  </si>
  <si>
    <t>Invitados (Guest)</t>
  </si>
  <si>
    <t>GESTION_MGMT</t>
  </si>
  <si>
    <t>Navegación Básica</t>
  </si>
  <si>
    <t>16.0 Mbps</t>
  </si>
  <si>
    <t>Fa0/16 – Fa0/17</t>
  </si>
  <si>
    <t>2.40 Mbps</t>
  </si>
  <si>
    <t>192.168.10.225</t>
  </si>
  <si>
    <t>192.168.10.224 – 239</t>
  </si>
  <si>
    <t>AP #4 (Guest)</t>
  </si>
  <si>
    <t>PLC Cinta</t>
  </si>
  <si>
    <t>WIFI_INVITADOS</t>
  </si>
  <si>
    <t>RRHH</t>
  </si>
  <si>
    <t>Staff Corp. + Imp.</t>
  </si>
  <si>
    <t>VoIP / Logística</t>
  </si>
  <si>
    <t>2,45</t>
  </si>
  <si>
    <t>192.168.7.225</t>
  </si>
  <si>
    <t>22.0 Mbps</t>
  </si>
  <si>
    <t>3.30 Mbps</t>
  </si>
  <si>
    <t>192.168.7.224 - .255</t>
  </si>
  <si>
    <t>Staff + Impresoras</t>
  </si>
  <si>
    <t>13 + 2</t>
  </si>
  <si>
    <t>Fa0/21 – Fa0/24</t>
  </si>
  <si>
    <t>RESERVA_EXPANSION</t>
  </si>
  <si>
    <t>192.168.10.241</t>
  </si>
  <si>
    <t>Video Vigilancia</t>
  </si>
  <si>
    <t>IOT_CCTV</t>
  </si>
  <si>
    <t>192.168.10.240 – 255</t>
  </si>
  <si>
    <t>SWITCH 4 DE ACCESO</t>
  </si>
  <si>
    <t>28.0 Mbps</t>
  </si>
  <si>
    <t>4.20 Mbps</t>
  </si>
  <si>
    <t>Bodega / Logística</t>
  </si>
  <si>
    <t>Gestión</t>
  </si>
  <si>
    <t>Soporte Técnico</t>
  </si>
  <si>
    <t>2,5</t>
  </si>
  <si>
    <t>192.168.8.1</t>
  </si>
  <si>
    <t>10.0 Mbps</t>
  </si>
  <si>
    <t>1.50 Mbps</t>
  </si>
  <si>
    <t>20, 30, 98, 99</t>
  </si>
  <si>
    <t>192.168.8.0 - .31</t>
  </si>
  <si>
    <t>Fa0/18 – Fa0/21</t>
  </si>
  <si>
    <t>Invitados</t>
  </si>
  <si>
    <t>Gestión / Impresión</t>
  </si>
  <si>
    <t>1,1</t>
  </si>
  <si>
    <t>reservado</t>
  </si>
  <si>
    <t>5.5 Mbps</t>
  </si>
  <si>
    <t>0.83 Mbps</t>
  </si>
  <si>
    <t>192.168.8.33</t>
  </si>
  <si>
    <t>192.168.8.32 - .47</t>
  </si>
  <si>
    <t>Servers</t>
  </si>
  <si>
    <t>8 IPs</t>
  </si>
  <si>
    <t>Cuarto Telecom / IoT</t>
  </si>
  <si>
    <t>Gestión Sensores</t>
  </si>
  <si>
    <t>192.168.8.48 - .55</t>
  </si>
  <si>
    <t>0.5 Mbps</t>
  </si>
  <si>
    <t>0.07 Mbps</t>
  </si>
  <si>
    <t>Cuarto de Telecom.</t>
  </si>
  <si>
    <t>UPLINK  (Wireless)</t>
  </si>
  <si>
    <t>Sensores / IoT</t>
  </si>
  <si>
    <t>0,17</t>
  </si>
  <si>
    <t>TOTALES</t>
  </si>
  <si>
    <t>Red Híbrida</t>
  </si>
  <si>
    <t>382.5 Mbps</t>
  </si>
  <si>
    <t>57.37 Mbps</t>
  </si>
  <si>
    <t>MT-P4-SW-HR</t>
  </si>
  <si>
    <t>PC RRHH</t>
  </si>
  <si>
    <t>Tel</t>
  </si>
  <si>
    <t>Imp</t>
  </si>
  <si>
    <t>AP (dispositivos con Wi-Fi)</t>
  </si>
  <si>
    <t>Cam</t>
  </si>
  <si>
    <t>Sen</t>
  </si>
  <si>
    <t>Mbps PC</t>
  </si>
  <si>
    <t>Mbps Tel</t>
  </si>
  <si>
    <t>Mbps Imp</t>
  </si>
  <si>
    <t>Mbps AP</t>
  </si>
  <si>
    <t>Mbps Cam</t>
  </si>
  <si>
    <t>Mbps Sen</t>
  </si>
  <si>
    <t>%Sim PC</t>
  </si>
  <si>
    <t>%Sim Tel</t>
  </si>
  <si>
    <t>%Sim Imp</t>
  </si>
  <si>
    <t>%Sim AP</t>
  </si>
  <si>
    <t>%Sim Cam</t>
  </si>
  <si>
    <t>%Sim Sen</t>
  </si>
  <si>
    <t>BW (Mbps)</t>
  </si>
  <si>
    <r>
      <rPr>
        <rFont val="Arial, sans-serif"/>
        <color rgb="FF1155CC"/>
        <sz val="11.0"/>
        <u/>
      </rPr>
      <t>https://jmsecuritysystem.com/shop/lhd-25x15-kopos-lhd-25x15-canaleta-pvc-sin-adhesivo-blanco-2mt-4956?srsltid=AfmBOoqi6cD87f4y1TCtsmMMuuTKEDnD-y7y12uVt3YTye8fZvvLgJBx#attr=</t>
    </r>
  </si>
  <si>
    <t>PLC Pintura</t>
  </si>
  <si>
    <t>0,12</t>
  </si>
  <si>
    <t>6,75</t>
  </si>
  <si>
    <t>TELEFONOS RRHH</t>
  </si>
  <si>
    <t>HOME_CELL (AP)</t>
  </si>
  <si>
    <t>Port 0</t>
  </si>
  <si>
    <t>Acess</t>
  </si>
  <si>
    <t>1,2</t>
  </si>
  <si>
    <t>5,23</t>
  </si>
  <si>
    <t>11,25</t>
  </si>
  <si>
    <t>50, 70, 99, 100</t>
  </si>
  <si>
    <t>9,14</t>
  </si>
  <si>
    <t>0,5</t>
  </si>
  <si>
    <t>Operaciones (Staff)</t>
  </si>
  <si>
    <t>CAMARAS_PASILLOS</t>
  </si>
  <si>
    <t>Fa0/9 – Fa0/10</t>
  </si>
  <si>
    <t>2,82</t>
  </si>
  <si>
    <r>
      <rPr>
        <rFont val="Arial, sans-serif"/>
        <color rgb="FF1155CC"/>
        <sz val="11.0"/>
        <u/>
      </rPr>
      <t>https://www.kywi.com.ec/canaleta-lisa-40x25-blanca-sin-division-dexson-schneider/p</t>
    </r>
  </si>
  <si>
    <t>PC Y TELEFONO GERENTE FINANCIERO</t>
  </si>
  <si>
    <t>3,3</t>
  </si>
  <si>
    <t>HOME_LAPTOP (AP)_WEST</t>
  </si>
  <si>
    <t>30, 98</t>
  </si>
  <si>
    <t>Robot pintura 1</t>
  </si>
  <si>
    <t>Fa0/8 – Fa0/11</t>
  </si>
  <si>
    <t>SENSORES_CRITICOS</t>
  </si>
  <si>
    <t>Fa0/11 – Fa0/12</t>
  </si>
  <si>
    <t>2,4</t>
  </si>
  <si>
    <t>IMPRESORAS DE AREA</t>
  </si>
  <si>
    <t>Impresoras de Red</t>
  </si>
  <si>
    <t>HOME_CINEMA (AP)</t>
  </si>
  <si>
    <t>Fa0/12 – Fa0/17</t>
  </si>
  <si>
    <t>0,45</t>
  </si>
  <si>
    <t>SENSORES_HUMO_OFIC</t>
  </si>
  <si>
    <t>SWITCH CORE</t>
  </si>
  <si>
    <t>0,3</t>
  </si>
  <si>
    <t>5,5</t>
  </si>
  <si>
    <t>AP_FINANZAS</t>
  </si>
  <si>
    <t>0,83</t>
  </si>
  <si>
    <t>WIFI_OPS (AP)</t>
  </si>
  <si>
    <t>30, 300</t>
  </si>
  <si>
    <t>0,4</t>
  </si>
  <si>
    <t>Fa0/18</t>
  </si>
  <si>
    <t>1,5</t>
  </si>
  <si>
    <t>SENSORES_VARIOS</t>
  </si>
  <si>
    <t>Switch Piso 1</t>
  </si>
  <si>
    <t>Monitoreo</t>
  </si>
  <si>
    <t>Puerto en Piso 1</t>
  </si>
  <si>
    <t>Puerto en Core</t>
  </si>
  <si>
    <t>Fa0/14</t>
  </si>
  <si>
    <t>5,86</t>
  </si>
  <si>
    <t>AP_ADMIN</t>
  </si>
  <si>
    <t>4,2</t>
  </si>
  <si>
    <t>Cuarto Telecom</t>
  </si>
  <si>
    <t>SENSORES/ADMIN (sin conectar)</t>
  </si>
  <si>
    <t>https://assets.tramontina.com.br/upload/tramon/imagens/ELT/57300014FIE001.pdf</t>
  </si>
  <si>
    <t>Gi1/0/9</t>
  </si>
  <si>
    <t>0,07</t>
  </si>
  <si>
    <t>Fa0/15</t>
  </si>
  <si>
    <t>https://tienda.demaco.ec/codo-externo-canaleta-20mmx10mm-imp</t>
  </si>
  <si>
    <t>Robot pintura 2</t>
  </si>
  <si>
    <t xml:space="preserve"> Gig 1/0/17</t>
  </si>
  <si>
    <t>Fa0/16 – Fa0/24</t>
  </si>
  <si>
    <t>RECURSOS_HUMANOS</t>
  </si>
  <si>
    <t>Gi1/0/10</t>
  </si>
  <si>
    <t>385,5</t>
  </si>
  <si>
    <t>Gig 1/0/18</t>
  </si>
  <si>
    <t>57,37</t>
  </si>
  <si>
    <t>RTR-VENTAS</t>
  </si>
  <si>
    <t>Puerto local</t>
  </si>
  <si>
    <t>Descripción</t>
  </si>
  <si>
    <t>Gi1/0/11</t>
  </si>
  <si>
    <t>https://tienda.demaco.ec/angulo-plano-para-canaleta-40x25-blanco-dexson</t>
  </si>
  <si>
    <t>60, 99</t>
  </si>
  <si>
    <t>Robot pintura 3</t>
  </si>
  <si>
    <t>VEN-SW-RTR-BORDE</t>
  </si>
  <si>
    <t>Gi0/0</t>
  </si>
  <si>
    <t>Gi0/1 (Core)</t>
  </si>
  <si>
    <t>Enlace Principal Piso de Ventas</t>
  </si>
  <si>
    <t>Codo T canaleta 40 x 20 mm</t>
  </si>
  <si>
    <t>https://global.tramontina.com/es/p/t-40-x-20-mm-tramontina-blanco-57300084</t>
  </si>
  <si>
    <t>20,30,70,99,200</t>
  </si>
  <si>
    <t>Robot carga</t>
  </si>
  <si>
    <t>Switch Piso 4</t>
  </si>
  <si>
    <t>Tubo union</t>
  </si>
  <si>
    <t>Puerto en Piso 4</t>
  </si>
  <si>
    <t>Gig1/0/12</t>
  </si>
  <si>
    <t>Gig1/0/13</t>
  </si>
  <si>
    <t>Gig1/0/14</t>
  </si>
  <si>
    <t>Gig1/0/19</t>
  </si>
  <si>
    <t>MT-P2-SW-IoT</t>
  </si>
  <si>
    <t>Gig1/0/15</t>
  </si>
  <si>
    <t>Gig1/0/20</t>
  </si>
  <si>
    <t xml:space="preserve"> Codo Tubo 3/4'' (19mm)</t>
  </si>
  <si>
    <t>Gig1/0/21</t>
  </si>
  <si>
    <t xml:space="preserve">Gig1/0/22 </t>
  </si>
  <si>
    <t>https://www.truper.com/ficha_tecnica_pdf/views/ficha-print.php?id=256384</t>
  </si>
  <si>
    <t>https://www.promart.ec/codo-conduit-pvc-3-4/p?srsltid=AfmBOooKYS6-JGOkMtYPJQVuYnslCOufP9jVjr7PvIuWUtVmJuv403tV</t>
  </si>
  <si>
    <t>Robot descarga</t>
  </si>
  <si>
    <t>Codo Tubo 2'' (50mm)</t>
  </si>
  <si>
    <t>https://diverzu.com.ec/get-pdf/LYztLC24OUx0vyhfAiZ0cr1b.pdf</t>
  </si>
  <si>
    <t>https://diverzu.com.ec/producto/205090</t>
  </si>
  <si>
    <t>Codo Tubo 3'' (75mm)</t>
  </si>
  <si>
    <t>https://www.riegoecuador.com/index.php/productos/codo-90-grados-pvc-pn16-?srsltid=AfmBOor4rdbefvgXjkWHsmQuD8Kcw3ZJHaQ8ekVTZ1pd9AneXakwUAef</t>
  </si>
  <si>
    <t>HMI(pantalla)</t>
  </si>
  <si>
    <t>https://www.mercadolibre.com.ec/televisor-indurama-43-uhd-4k-google-tv-43tikj5uhd/p/MEC63476074#polycard_client=search-desktop&amp;search_layout=grid&amp;position=1&amp;type=product&amp;tracking_id=12982aee-e1ac-4d0c-91cd-f68f9514fa55&amp;wid=MEC751530540&amp;sid=search</t>
  </si>
  <si>
    <t>Camara</t>
  </si>
  <si>
    <t>https://tienda.ietres.com/acer-proyector-p5535-fhd-16-9-mr-jum11-001</t>
  </si>
  <si>
    <t>https://spanish.alibaba.com/product-detail/Automatic-Loading-and-Unloading-Robot-for-1600979192643.html</t>
  </si>
  <si>
    <t>PLC zona</t>
  </si>
  <si>
    <t>https://www.plc-city.com/shop/es/industry-automation-plc-cpu-module/sie-6es7214-1bg40-0xb0-nss.html</t>
  </si>
  <si>
    <t>Robot 1 cinta 1</t>
  </si>
  <si>
    <t>Robot 2 cinta 1</t>
  </si>
  <si>
    <t>Robot 3 cinta 1</t>
  </si>
  <si>
    <t xml:space="preserve">Robot pintura </t>
  </si>
  <si>
    <t>https://7861ccd0460d3fec.en.made-in-china.com/product/kmprCPREjQYH/China-Industrial-Robot-Including-Spray-Painting-Robot-Arm-6-Axis-and-Robotic-Welding-Machine-Automatic-Similar-with-GSK.html?ads_tp=dingtui&amp;srv_id=KngxjvVCZmUw&amp;delivery_region=4</t>
  </si>
  <si>
    <t>Robot 4 cinta 1</t>
  </si>
  <si>
    <t>Cajetines 100x100x80mm</t>
  </si>
  <si>
    <t>Robot para cinta - Modelo 1</t>
  </si>
  <si>
    <t>https://www.alibaba.com/product-detail/Universal-SZGH-Robot-Pick-and-Place_1601220323785.html?spm=a2700.7724857.0.0.24271283WGzdhX</t>
  </si>
  <si>
    <t>Robot 5 (carga) cinta 1</t>
  </si>
  <si>
    <t>Robot para cinta - Modelo 2</t>
  </si>
  <si>
    <t>Robot 6 (descarga) cinta 1</t>
  </si>
  <si>
    <t>https://www.mercadolibre.com.ec/pantalla-hmi-7--wecon--serialethernetiot/up/MECU3505365143#polycard_client=search-desktop&amp;search_layout=grid&amp;position=9&amp;type=product&amp;tracking_id=f7ee6b5f-e83d-4af5-bd94-428743bc11e5&amp;wid=MEC696372228&amp;sid=search</t>
  </si>
  <si>
    <t>Robot 1 cinta 2</t>
  </si>
  <si>
    <t>PLC Zona</t>
  </si>
  <si>
    <t>Robot 2 cinta 2</t>
  </si>
  <si>
    <t>Maquina IoT  (cinta)</t>
  </si>
  <si>
    <t>https://www.amazon.es/Siemens-Simatic-IOT2050-Quad-Gateway/dp/B08CN87WW3</t>
  </si>
  <si>
    <t>Robot 3 (carga) cinta 2</t>
  </si>
  <si>
    <t xml:space="preserve">Robot union </t>
  </si>
  <si>
    <t>https://www.ebay.com/itm/186731473200?_skw=welding+robot&amp;itmmeta=01KH41JGMPSPW15J8C0KMW0P32&amp;hash=item2b7a102930:g:2f0AAOSw0QdnDlhK&amp;itmprp=enc%3AAQALAAAA8DKQclQvzFwZQpmMrsO4Luo8BuZC%2B4myYny1diLLL9MUcAd%2BQndEaI0w4rezZ1CPXMYdr%2Bt4WXonDlODr211mNdkhVt96kYSxQj5y84dq4kgUANQIolriek6pW87U9kNcK5Np5sBvntm6bm9j5ljLKQBmlm0SVXVcJ95NRbS9yI3xFCLbInjFBu%2Bfofi4ySWDrmkG2BGNanx71e2XgXstI6mFPrulWRJvtnUSIr27%2B8va69SyX0NaAjuXBuFNjn8zkJsVMn%2F5ReO9YBLsPE2dT30FUoYqmSVo%2FUB7uC3G0tHKDGYBOr7g48nrjRDmNL%2FJw%3D%3D%7Ctkp%3ABk9SR7yKyoGJZw</t>
  </si>
  <si>
    <t>Robot 4(descarga) cinta 2</t>
  </si>
  <si>
    <t>Tramo Bajada switch</t>
  </si>
  <si>
    <r>
      <rPr>
        <rFont val="Arial, sans-serif"/>
        <color rgb="FF1155CC"/>
        <sz val="11.0"/>
        <u/>
      </rPr>
      <t>https://www.hp.com/ec-es/products/printers/product-details/2100584485</t>
    </r>
  </si>
  <si>
    <t>1 1/4''</t>
  </si>
  <si>
    <t>## dispositivos requieren 3 switches (72 puertos). Permite crecimiento y segmentación VLAN por área. Coherente con 2960 usado en PT.</t>
  </si>
  <si>
    <t>Switch Core DC</t>
  </si>
  <si>
    <t>Switch core</t>
  </si>
  <si>
    <t>CUARTO COMPRESORES</t>
  </si>
  <si>
    <t>ZONA PRODUCCIÓN SWITCH 1 ZONA A</t>
  </si>
  <si>
    <t>T Tubo</t>
  </si>
  <si>
    <t>max 4 cables</t>
  </si>
  <si>
    <t>max 10 cables</t>
  </si>
  <si>
    <t>max 35-38 cables</t>
  </si>
  <si>
    <t>Soporta 3 switches + Router + SwitchCore + patch panels + UPS + organizadores</t>
  </si>
  <si>
    <t>3/4'' (19mm)</t>
  </si>
  <si>
    <t>1'' (25mm)</t>
  </si>
  <si>
    <t>1 1/4'' (32mm)</t>
  </si>
  <si>
    <t>1 1/2'' (38mm)</t>
  </si>
  <si>
    <t>3'' (75mm)</t>
  </si>
  <si>
    <t>RACK 6U Pared</t>
  </si>
  <si>
    <t>Soporta 1 switch + patch panel + UPS + organizador</t>
  </si>
  <si>
    <t>Robot union 1</t>
  </si>
  <si>
    <t>Robot union 2</t>
  </si>
  <si>
    <t>Robot union 3</t>
  </si>
  <si>
    <t>Robot union 4</t>
  </si>
  <si>
    <t>Tramo 1 Tubo</t>
  </si>
  <si>
    <t>Tubo 1 Pulgadas</t>
  </si>
  <si>
    <t>Tramo 2 Tubo</t>
  </si>
  <si>
    <t>Tubo 2 Pulgadas</t>
  </si>
  <si>
    <t>Tramo 3 Tubo</t>
  </si>
  <si>
    <t>Tubo 3 Pulgadas</t>
  </si>
  <si>
    <t>Tramo 4 Tubo</t>
  </si>
  <si>
    <t>Tubo 4 Pulgadas</t>
  </si>
  <si>
    <t>Tramo 5 Tubo</t>
  </si>
  <si>
    <t>Tubo 5 Pulgadas</t>
  </si>
  <si>
    <t>Tramo 6 Tubo</t>
  </si>
  <si>
    <t>Tubo 6 Pulgadas</t>
  </si>
  <si>
    <t>Tramo 7 Tubo</t>
  </si>
  <si>
    <t>Tubo 7 Pulgadas</t>
  </si>
  <si>
    <t>Tramo 8 Tubo</t>
  </si>
  <si>
    <t>Tubo 8 Pulgadas</t>
  </si>
  <si>
    <t>Robot union 5</t>
  </si>
  <si>
    <t>Robot union 6</t>
  </si>
  <si>
    <t>Robot union 7</t>
  </si>
  <si>
    <t>1'</t>
  </si>
  <si>
    <t>Robot 1 (carga) cinta 1</t>
  </si>
  <si>
    <t>Conexión switch core (6), switch zonas (3) y router (1) → patch panel (rack IDF)</t>
  </si>
  <si>
    <t>Robot 1 (carga) cinta 2</t>
  </si>
  <si>
    <t>Conexión switch → patch panel (de switches)</t>
  </si>
  <si>
    <t>Robot 2 (descarga) cinta 1</t>
  </si>
  <si>
    <t>Robot 2 (descarga) cinta 2</t>
  </si>
  <si>
    <t>Maquina IoT 1 (cinta 1)</t>
  </si>
  <si>
    <t>Canaleta</t>
  </si>
  <si>
    <t>Maquina IoT 2(Cinta 2)</t>
  </si>
  <si>
    <t>PLC Zona 8 brazos</t>
  </si>
  <si>
    <t>Dispositivos Totales</t>
  </si>
  <si>
    <t>Usuarios Concurrentes (Activos)</t>
  </si>
  <si>
    <t>TOTAL (Mbps)</t>
  </si>
  <si>
    <t>LAB CALIDAD</t>
  </si>
  <si>
    <t>1. Lobby y Recepción</t>
  </si>
  <si>
    <t>1 PC, 1 Tel, 1 Cam, 1 Sensor, Wi-Fi Invitados</t>
  </si>
  <si>
    <t>Control de Acceso / Gestión Visitas</t>
  </si>
  <si>
    <t>3 (PC) / 0.1 (Tel) / 4 (Cam) / 3 (Inv)</t>
  </si>
  <si>
    <t>80% PC / 100% Cam / 40% Inv</t>
  </si>
  <si>
    <t>0.8 PC + 1 Cam + 2 Inv</t>
  </si>
  <si>
    <t>2.4 (PC) + 4 (Cam) + 6 (Inv)</t>
  </si>
  <si>
    <t>Telefono</t>
  </si>
  <si>
    <t>2. Oficinas Administrativas</t>
  </si>
  <si>
    <t>6 PCs, 6 Tels, 1 Imp, 2 Cam, Sensores</t>
  </si>
  <si>
    <t>ERP / Correo / Llamadas / Videovigilancia</t>
  </si>
  <si>
    <t>3 (PC) / 0.1 (Tel) / 4 (Cam) / 2 (Imp)</t>
  </si>
  <si>
    <t>80% PC / 100% Tel / 100% Cam</t>
  </si>
  <si>
    <t>4.8 PC + 6 Tel + 2 Cam</t>
  </si>
  <si>
    <t>14.4 (PC) + 0.6 (Tel) + 8 (Cam)</t>
  </si>
  <si>
    <t>3. Sala de Juntas</t>
  </si>
  <si>
    <t>1 SmartTV, Wi-Fi Corp, Sensores</t>
  </si>
  <si>
    <t>Videoconferencia HD / Streaming</t>
  </si>
  <si>
    <t>10 (TV) / 4 (Wi-Fi)</t>
  </si>
  <si>
    <t>100% TV / 50% Wi-Fi</t>
  </si>
  <si>
    <t>1 TV + 4 Usuarios Wi-Fi</t>
  </si>
  <si>
    <t>10 (TV) + 8 (Wi-Fi)</t>
  </si>
  <si>
    <t>4. Sala de Capacitación</t>
  </si>
  <si>
    <t>1 Proyector (Red), 10 Usuarios Wi-Fi</t>
  </si>
  <si>
    <t>Presentaciones / Video / Descarga Material</t>
  </si>
  <si>
    <t>5 (Proy) / 3 (Wi-Fi)</t>
  </si>
  <si>
    <t>100% Proy / 80% Wi-Fi</t>
  </si>
  <si>
    <t>1 Proy + 8 Usuarios</t>
  </si>
  <si>
    <t>5 (Proy) + 24 (Wi-Fi)</t>
  </si>
  <si>
    <t>5. Sala de Monitoreo (NOC)</t>
  </si>
  <si>
    <t>2 PCs, 2 Tels, 1 VideoWall, Sensores</t>
  </si>
  <si>
    <t>Visualización CCTV (Streaming continuo)</t>
  </si>
  <si>
    <t>8 (PC) / 15 (VideoWall)</t>
  </si>
  <si>
    <t>100% PC / 100% VideoWall</t>
  </si>
  <si>
    <t>2 PC + 1 Wall</t>
  </si>
  <si>
    <t>16 (PC) + 15 (Wall)</t>
  </si>
  <si>
    <t>6. Enfermería y Servicios</t>
  </si>
  <si>
    <t>1 PC, 1 Tel, Sensores</t>
  </si>
  <si>
    <t>Consulta Historial / Llamadas</t>
  </si>
  <si>
    <t>2 (PC) / 0.1 (Tel)</t>
  </si>
  <si>
    <t>50% PC / 100% Tel</t>
  </si>
  <si>
    <t>0.5 PC + 1 Tel</t>
  </si>
  <si>
    <t>1 (PC) + 0.1 (Tel)</t>
  </si>
  <si>
    <t>7. Almacenes (IN/OUT)</t>
  </si>
  <si>
    <t>2 PCs, 2 Tels, 2 TVs, 2 Cam, 10 Handhelds</t>
  </si>
  <si>
    <t>ERP / Inventario en tiempo real / Dashboards</t>
  </si>
  <si>
    <t>2 (PC) / 5 (TV) / 4 (Cam) / 0.5 (HH)</t>
  </si>
  <si>
    <t>80% PC / 100% Cam / 60% HH</t>
  </si>
  <si>
    <t>1.6 PC + 2 Cam + 6 HH</t>
  </si>
  <si>
    <t>3.2 (PC) + 10 (TV) + 8 (Cam) + 3 (HH)</t>
  </si>
  <si>
    <t>8. Línea Producción (Maquinaria)</t>
  </si>
  <si>
    <t>31 Robots, 6 PLCs, 2 IoT</t>
  </si>
  <si>
    <t>Tráfico de Control / Telemetría (Crítico)</t>
  </si>
  <si>
    <t>0.5 (Robot/PLC)</t>
  </si>
  <si>
    <t>100% (Siempre activos)</t>
  </si>
  <si>
    <t>39 Máquinas</t>
  </si>
  <si>
    <t>19.5 (Control)</t>
  </si>
  <si>
    <t>10. Vigilancia Planta</t>
  </si>
  <si>
    <t>6 Cámaras IP Industriales</t>
  </si>
  <si>
    <t>Grabación Continua 1080p</t>
  </si>
  <si>
    <t>4.0 (Cam)</t>
  </si>
  <si>
    <t>100% (Grabación 24/7)</t>
  </si>
  <si>
    <t>6 Cámaras</t>
  </si>
  <si>
    <t>24.0 (Video)</t>
  </si>
  <si>
    <t>Tramo Subida Tubo</t>
  </si>
  <si>
    <t>Bajada al Cuarto TI</t>
  </si>
  <si>
    <t>11. Mantenimiento y Calidad</t>
  </si>
  <si>
    <t>4 PCs, 1 Tel, 2 Cam, Sensores</t>
  </si>
  <si>
    <t>Reportes / Planos CAD / Monitoreo</t>
  </si>
  <si>
    <t>4 (PC) / 4 (Cam)</t>
  </si>
  <si>
    <t>70% PC / 100% Cam</t>
  </si>
  <si>
    <t>2.8 PC + 2 Cam</t>
  </si>
  <si>
    <t>11.2 (PC) + 8 (Cam)</t>
  </si>
  <si>
    <t>SWITCH 1 ZONA A --- CUARTO TI</t>
  </si>
  <si>
    <t>TOTAL GENERAL FÁBRICA</t>
  </si>
  <si>
    <t>~120 Dispositivos Activos</t>
  </si>
  <si>
    <t>Operación Total</t>
  </si>
  <si>
    <t>~85 Concurrentes</t>
  </si>
  <si>
    <t>Suma de Totales</t>
  </si>
  <si>
    <t>3''</t>
  </si>
  <si>
    <t>ZONA PRODUCCIÓN SWITCH 2 ZONA A</t>
  </si>
  <si>
    <t>Aplicación / Tráfico</t>
  </si>
  <si>
    <t>Referencia (Cisco / Meraki)</t>
  </si>
  <si>
    <t>Valor usado en tu diseño</t>
  </si>
  <si>
    <t>Justificación práctica</t>
  </si>
  <si>
    <t>Cámaras IP (CCTV 1080p)</t>
  </si>
  <si>
    <t>2 – 4 Mbps (H.264)</t>
  </si>
  <si>
    <t>4 Mbps</t>
  </si>
  <si>
    <t>Se usa el valor alto para garantizar calidad en vigilancia industrial (H.265/H.264) sin pérdida de frames.</t>
  </si>
  <si>
    <t>VoIP (Teléfono IP)</t>
  </si>
  <si>
    <t>0.1 Mbps (G.711)</t>
  </si>
  <si>
    <t>0.15 Mbps</t>
  </si>
  <si>
    <t>Incluye el "overhead" de los encabezados de red para asegurar claridad en la voz.</t>
  </si>
  <si>
    <t>2 puertoS</t>
  </si>
  <si>
    <t>Control Industrial (PLC/Robot)</t>
  </si>
  <si>
    <t>&lt; 100 Kbps</t>
  </si>
  <si>
    <t>El tráfico es ligero pero crítico. Asignamos 0.5 Mbps para garantizar prioridad y ráfagas de datos de sensores.</t>
  </si>
  <si>
    <t>Handhelds (Lectores CB)</t>
  </si>
  <si>
    <t>20 – 50 Kbps</t>
  </si>
  <si>
    <t>Las pistolas modernas cargan fotos de inventario o interfaces web, no solo texto plano.</t>
  </si>
  <si>
    <t>Navegación PC Admin</t>
  </si>
  <si>
    <t>1 – 2 Mbps</t>
  </si>
  <si>
    <t>3.0 Mbps</t>
  </si>
  <si>
    <t>Se considera uso de herramientas SaaS (Nube), correos con adjuntos y navegación fluida.</t>
  </si>
  <si>
    <t>VideoWall / SmartTV</t>
  </si>
  <si>
    <t>5 – 8 Mbps (HD)</t>
  </si>
  <si>
    <t>10 – 15 Mbps</t>
  </si>
  <si>
    <t>En monitoreo y juntas se requiere streaming 4K o Full HD sin compresión visible (buffer).</t>
  </si>
  <si>
    <t>Sensores IoT (Humo/Temp)</t>
  </si>
  <si>
    <t>&lt; 10 Kbps</t>
  </si>
  <si>
    <t>0.1 Mbps</t>
  </si>
  <si>
    <t>Valor conservador. El consumo real es despreciable, pero reservamos ancho de banda para "Heartbeats".</t>
  </si>
  <si>
    <t>Videoconferencia (Teams)</t>
  </si>
  <si>
    <t>1.5 – 3 Mbps</t>
  </si>
  <si>
    <t>4.0 Mbps</t>
  </si>
  <si>
    <t>Consideramos video en HD + compartir pantalla simultáneamente (Screen Sharing).</t>
  </si>
  <si>
    <t>100x100x80mm</t>
  </si>
  <si>
    <t>OTROS(MONTAJE, SUB-ENSAMBLAJE)</t>
  </si>
  <si>
    <t>CUARTO DE COMPRESORES, TALLER, OTROS(MONTAJE, SUB-ENSAMBLAJE)</t>
  </si>
  <si>
    <t>SWITCH 2 ZONA A --- CUARTO TI</t>
  </si>
  <si>
    <t>ZONA PRODUCCIÓN SWITCH 1 ZONA B</t>
  </si>
  <si>
    <t>Tramo 9 Tubo</t>
  </si>
  <si>
    <t>Tubo 9 Pulgadas</t>
  </si>
  <si>
    <t xml:space="preserve">1 1/2'' </t>
  </si>
  <si>
    <t>1 1/2''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</si>
</sst>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_ &quot;$&quot;* #,##0.00_ ;_ &quot;$&quot;* \-#,##0.00_ ;_ &quot;$&quot;* &quot;-&quot;??_ ;_ @_ "/>
    <numFmt numFmtId="166" formatCode="_-&quot;$&quot;* #,##0.00_-;_-&quot;$&quot;* \-#,##0.00_-;_-&quot;$&quot;* &quot;-&quot;??_-;_-@"/>
    <numFmt numFmtId="167" formatCode="d/m"/>
    <numFmt numFmtId="168" formatCode="&quot;$&quot;#,##0"/>
  </numFmts>
  <fonts count="202">
    <font>
      <sz val="11.0"/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color rgb="FF000000"/>
      <name val="Arial"/>
    </font>
    <font>
      <sz val="11.0"/>
      <color rgb="FF000000"/>
      <name val="&quot;Aptos Narrow&quot;"/>
    </font>
    <font>
      <sz val="12.0"/>
      <color theme="1"/>
      <name val="Arial"/>
    </font>
    <font>
      <sz val="10.0"/>
      <color theme="1"/>
      <name val="Arial"/>
    </font>
    <font>
      <color theme="1"/>
      <name val="Arial"/>
    </font>
    <font/>
    <font>
      <b/>
      <sz val="11.0"/>
      <color rgb="FF000000"/>
      <name val="Arial"/>
    </font>
    <font>
      <sz val="12.0"/>
      <color rgb="FFFFFFFF"/>
      <name val="Arial"/>
    </font>
    <font>
      <sz val="11.0"/>
      <color rgb="FF000000"/>
      <name val="Arial"/>
    </font>
    <font>
      <color theme="1"/>
      <name val="Arial"/>
      <scheme val="minor"/>
    </font>
    <font>
      <sz val="11.0"/>
      <color rgb="FFFFFFFF"/>
      <name val="Arial"/>
    </font>
    <font>
      <sz val="12.0"/>
      <color rgb="FF000000"/>
      <name val="Arial"/>
    </font>
    <font>
      <u/>
      <color rgb="FF0000FF"/>
      <name val="Arial"/>
    </font>
    <font>
      <b/>
      <sz val="13.0"/>
      <color theme="1"/>
      <name val="Arial"/>
      <scheme val="minor"/>
    </font>
    <font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b/>
      <sz val="14.0"/>
      <color theme="1"/>
      <name val="Arial"/>
      <scheme val="minor"/>
    </font>
    <font>
      <sz val="10.0"/>
      <color rgb="FF000000"/>
      <name val="Arial"/>
    </font>
    <font>
      <sz val="21.0"/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1.0"/>
      <color rgb="FF434343"/>
      <name val="Roboto"/>
    </font>
    <font>
      <sz val="11.0"/>
      <color theme="1"/>
      <name val="Aptos Narrow"/>
    </font>
    <font>
      <u/>
      <sz val="12.0"/>
      <color rgb="FF0000FF"/>
      <name val="Arial"/>
    </font>
    <font>
      <u/>
      <sz val="11.0"/>
      <color rgb="FF467886"/>
      <name val="Arial"/>
    </font>
    <font>
      <b/>
      <sz val="11.0"/>
      <color theme="1"/>
      <name val="Aptos Narrow"/>
    </font>
    <font>
      <u/>
      <sz val="11.0"/>
      <color rgb="FF467886"/>
      <name val="Arial"/>
    </font>
    <font>
      <u/>
      <sz val="11.0"/>
      <color rgb="FF0000FF"/>
      <name val="Arial"/>
    </font>
    <font>
      <u/>
      <color rgb="FF0000FF"/>
      <name val="Roboto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sz val="9.0"/>
      <color rgb="FF000000"/>
      <name val="Arial"/>
    </font>
    <font>
      <color rgb="FFFFFFFF"/>
      <name val="Arial"/>
    </font>
    <font>
      <u/>
      <sz val="11.0"/>
      <color rgb="FF467886"/>
      <name val="Aptos Narrow"/>
    </font>
    <font>
      <u/>
      <sz val="11.0"/>
      <color rgb="FF0000FF"/>
      <name val="Aptos Narrow"/>
    </font>
    <font>
      <sz val="12.0"/>
      <color theme="0"/>
      <name val="Arial"/>
    </font>
    <font>
      <u/>
      <sz val="11.0"/>
      <color rgb="FF467886"/>
      <name val="Aptos Narrow"/>
    </font>
    <font>
      <u/>
      <sz val="11.0"/>
      <color rgb="FF467886"/>
      <name val="Arial"/>
    </font>
    <font>
      <u/>
      <sz val="11.0"/>
      <color rgb="FF0000FF"/>
      <name val="Arial"/>
    </font>
    <font>
      <u/>
      <sz val="12.0"/>
      <color rgb="FF434343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theme="10"/>
      <name val="Arial"/>
    </font>
    <font>
      <u/>
      <sz val="12.0"/>
      <color rgb="FF0000FF"/>
      <name val="Arial"/>
    </font>
    <font>
      <u/>
      <sz val="12.0"/>
      <color rgb="FF434343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theme="10"/>
      <name val="Arial"/>
    </font>
    <font>
      <sz val="11.0"/>
      <color rgb="FF000000"/>
      <name val="&quot;\0022Aptos Narrow\0022&quot;"/>
    </font>
    <font>
      <u/>
      <sz val="12.0"/>
      <color theme="10"/>
      <name val="Arial"/>
    </font>
    <font>
      <u/>
      <sz val="12.0"/>
      <color theme="10"/>
      <name val="Arial"/>
    </font>
    <font>
      <u/>
      <sz val="12.0"/>
      <color rgb="FF0000FF"/>
      <name val="Arial"/>
    </font>
    <font>
      <u/>
      <sz val="12.0"/>
      <color rgb="FF434343"/>
      <name val="Arial"/>
    </font>
    <font>
      <u/>
      <sz val="12.0"/>
      <color rgb="FF434343"/>
      <name val="Arial"/>
    </font>
    <font>
      <sz val="12.0"/>
      <color rgb="FF434343"/>
      <name val="Arial"/>
    </font>
    <font>
      <u/>
      <sz val="12.0"/>
      <color rgb="FF434343"/>
      <name val="Arial"/>
    </font>
    <font>
      <u/>
      <sz val="12.0"/>
      <color rgb="FF0000FF"/>
      <name val="Arial"/>
    </font>
    <font>
      <u/>
      <sz val="12.0"/>
      <color rgb="FF434343"/>
      <name val="Arial"/>
    </font>
    <font>
      <u/>
      <sz val="12.0"/>
      <color rgb="FF434343"/>
      <name val="Arial"/>
    </font>
    <font>
      <u/>
      <sz val="12.0"/>
      <color rgb="FF434343"/>
      <name val="Arial"/>
    </font>
    <font>
      <u/>
      <color rgb="FF0000FF"/>
    </font>
    <font>
      <u/>
      <sz val="12.0"/>
      <color theme="10"/>
      <name val="Arial"/>
    </font>
    <font>
      <u/>
      <sz val="11.0"/>
      <color rgb="FF0000FF"/>
      <name val="&quot;Aptos Narrow&quot;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&quot;Aptos Narrow&quot;"/>
    </font>
    <font>
      <u/>
      <sz val="11.0"/>
      <color rgb="FF0000FF"/>
      <name val="&quot;Aptos Narrow&quot;"/>
    </font>
    <font>
      <u/>
      <sz val="11.0"/>
      <color rgb="FF0000FF"/>
      <name val="&quot;Aptos Narrow&quot;"/>
    </font>
    <font>
      <u/>
      <sz val="11.0"/>
      <color rgb="FF0000FF"/>
      <name val="&quot;Aptos Narrow&quot;"/>
    </font>
    <font>
      <u/>
      <sz val="10.0"/>
      <color rgb="FF0000FF"/>
      <name val="Arial"/>
    </font>
    <font>
      <u/>
      <sz val="11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434343"/>
      <name val="Arial"/>
    </font>
    <font>
      <u/>
      <sz val="11.0"/>
      <color rgb="FF0000FF"/>
      <name val="Arial"/>
    </font>
    <font>
      <u/>
      <sz val="11.0"/>
      <color rgb="FF0000FF"/>
      <name val="&quot;Aptos Narrow&quot;"/>
    </font>
    <font>
      <u/>
      <sz val="12.0"/>
      <color theme="1"/>
      <name val="Arial"/>
    </font>
    <font>
      <u/>
      <sz val="12.0"/>
      <color theme="1"/>
      <name val="Arial"/>
    </font>
    <font>
      <u/>
      <sz val="11.0"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sz val="11.0"/>
      <color rgb="FF0000FF"/>
      <name val="&quot;Aptos Narrow&quot;"/>
    </font>
    <font>
      <u/>
      <color rgb="FF0000FF"/>
      <name val="Arial"/>
    </font>
    <font>
      <sz val="11.0"/>
      <color rgb="FF0E0E0E"/>
      <name val="Roboto"/>
    </font>
    <font>
      <u/>
      <sz val="11.0"/>
      <color rgb="FF1155CC"/>
      <name val="&quot;Aptos Narrow&quot;"/>
    </font>
    <font>
      <sz val="11.0"/>
      <color theme="1"/>
      <name val="Roboto"/>
    </font>
    <font>
      <u/>
      <sz val="10.0"/>
      <color theme="10"/>
      <name val="Arial"/>
    </font>
    <font>
      <u/>
      <sz val="11.0"/>
      <color rgb="FF0000FF"/>
      <name val="Arial"/>
    </font>
    <font>
      <u/>
      <sz val="11.0"/>
      <color rgb="FF0000FF"/>
      <name val="Roboto"/>
    </font>
    <font>
      <u/>
      <sz val="11.0"/>
      <color rgb="FF0000FF"/>
      <name val="Roboto"/>
    </font>
    <font>
      <u/>
      <sz val="11.0"/>
      <color rgb="FF0000FF"/>
      <name val="Roboto"/>
    </font>
    <font>
      <u/>
      <sz val="11.0"/>
      <color rgb="FF0000FF"/>
      <name val="Roboto"/>
    </font>
    <font>
      <color theme="1"/>
      <name val="Roboto"/>
    </font>
    <font>
      <color rgb="FF434343"/>
      <name val="Arial"/>
    </font>
    <font>
      <u/>
      <sz val="11.0"/>
      <color rgb="FF0000FF"/>
      <name val="Calibri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b/>
      <sz val="12.0"/>
      <color rgb="FF000000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color rgb="FFFF0000"/>
      <name val="Arial"/>
      <scheme val="minor"/>
    </font>
    <font>
      <u/>
      <sz val="11.0"/>
      <color rgb="FF0000FF"/>
      <name val="Arial"/>
    </font>
    <font>
      <u/>
      <sz val="11.0"/>
      <color rgb="FF0000FF"/>
      <name val="&quot;Aptos Narrow&quot;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sz val="11.0"/>
      <color rgb="FF1F1F1F"/>
      <name val="&quot;\0022Google Sans Text\0022&quot;"/>
    </font>
    <font>
      <b/>
      <sz val="11.0"/>
      <color rgb="FF1F1F1F"/>
      <name val="&quot;\0022Google Sans Text\0022&quot;"/>
    </font>
    <font>
      <sz val="11.0"/>
      <color rgb="FF1F1F1F"/>
      <name val="Arial"/>
    </font>
    <font>
      <b/>
      <sz val="11.0"/>
      <color rgb="FF1F1F1F"/>
      <name val="Arial"/>
    </font>
    <font>
      <b/>
      <sz val="15.0"/>
      <color theme="1"/>
      <name val="Roboto"/>
    </font>
    <font>
      <u/>
      <sz val="11.0"/>
      <color rgb="FF0000FF"/>
      <name val="Arial"/>
    </font>
    <font>
      <u/>
      <sz val="11.0"/>
      <color rgb="FF0000FF"/>
      <name val="Arial"/>
    </font>
    <font>
      <b/>
      <color theme="1"/>
      <name val="Roboto"/>
    </font>
    <font>
      <sz val="11.0"/>
      <color theme="1"/>
      <name val="&quot;Aptos Narrow&quot;"/>
    </font>
    <font>
      <sz val="11.0"/>
      <color rgb="FFFFFFFF"/>
      <name val="Roboto"/>
    </font>
    <font>
      <sz val="13.0"/>
      <color rgb="FFFFFFFF"/>
      <name val="Roboto"/>
    </font>
    <font>
      <sz val="13.0"/>
      <color rgb="FF000000"/>
      <name val="Roboto"/>
    </font>
    <font>
      <u/>
      <sz val="13.0"/>
      <color rgb="FF0000FF"/>
      <name val="Roboto"/>
    </font>
    <font>
      <u/>
      <sz val="13.0"/>
      <color rgb="FF0000FF"/>
      <name val="Roboto"/>
    </font>
    <font>
      <b/>
      <color rgb="FF000000"/>
      <name val="&quot;Aptos Narrow&quot;"/>
    </font>
    <font>
      <sz val="13.0"/>
      <color theme="1"/>
      <name val="Arial"/>
      <scheme val="minor"/>
    </font>
    <font>
      <color rgb="FF000000"/>
      <name val="&quot;Aptos Narrow&quot;"/>
    </font>
    <font>
      <b/>
      <sz val="17.0"/>
      <color theme="1"/>
      <name val="Roboto"/>
    </font>
    <font>
      <b/>
      <sz val="19.0"/>
      <color theme="1"/>
      <name val="Roboto"/>
    </font>
    <font>
      <b/>
      <color rgb="FFFFFFFF"/>
      <name val="Arial"/>
    </font>
    <font>
      <u/>
      <sz val="12.0"/>
      <color rgb="FF0000FF"/>
      <name val="Arial"/>
    </font>
    <font>
      <u/>
      <sz val="11.0"/>
      <color rgb="FF0000FF"/>
      <name val="Roboto"/>
    </font>
    <font>
      <sz val="21.0"/>
      <color rgb="FF000000"/>
      <name val="Arial"/>
    </font>
    <font>
      <sz val="14.0"/>
      <color rgb="FFFF0000"/>
      <name val="Arial"/>
    </font>
    <font>
      <u/>
      <color rgb="FF0000FF"/>
    </font>
    <font>
      <u/>
      <color rgb="FF0000FF"/>
    </font>
    <font>
      <sz val="11.0"/>
      <color rgb="FF434343"/>
      <name val="Arial"/>
    </font>
    <font>
      <u/>
      <sz val="11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&quot;Arial\"/>
    </font>
    <font>
      <u/>
      <sz val="11.0"/>
      <color rgb="FF0000FF"/>
      <name val="Arial"/>
    </font>
    <font>
      <u/>
      <color rgb="FF0000FF"/>
    </font>
    <font>
      <u/>
      <color rgb="FF0000FF"/>
      <name val="Arial"/>
    </font>
    <font>
      <u/>
      <sz val="11.0"/>
      <color rgb="FF0000FF"/>
      <name val="Roboto"/>
    </font>
    <font>
      <u/>
      <sz val="11.0"/>
      <color rgb="FF467886"/>
      <name val="Arial"/>
    </font>
    <font>
      <u/>
      <sz val="11.0"/>
      <color rgb="FF467886"/>
      <name val="Arial"/>
    </font>
    <font>
      <u/>
      <sz val="12.0"/>
      <color rgb="FF0000FF"/>
      <name val="Arial"/>
    </font>
    <font>
      <u/>
      <sz val="11.0"/>
      <color rgb="FF0000FF"/>
      <name val="Roboto"/>
    </font>
    <font>
      <u/>
      <sz val="11.0"/>
      <color rgb="FF0000FF"/>
      <name val="Arial"/>
    </font>
    <font>
      <b/>
      <sz val="16.0"/>
      <color theme="1"/>
      <name val="Roboto"/>
    </font>
    <font>
      <b/>
      <sz val="19.0"/>
      <color theme="1"/>
      <name val="Arial"/>
      <scheme val="minor"/>
    </font>
    <font>
      <b/>
      <sz val="11.0"/>
      <color theme="1"/>
      <name val="&quot;Aptos Narrow&quot;"/>
    </font>
    <font>
      <b/>
      <sz val="11.0"/>
      <color theme="1"/>
      <name val="Roboto"/>
    </font>
    <font>
      <u/>
      <sz val="11.0"/>
      <color rgb="FF0000FF"/>
      <name val="&quot;Arial\"/>
    </font>
    <font>
      <u/>
      <sz val="12.0"/>
      <color theme="10"/>
      <name val="Arial"/>
    </font>
    <font>
      <b/>
      <sz val="11.0"/>
      <color rgb="FF000000"/>
      <name val="&quot;Aptos Narrow&quot;"/>
    </font>
    <font>
      <u/>
      <sz val="12.0"/>
      <color rgb="FF0000FF"/>
      <name val="Arial"/>
    </font>
    <font>
      <sz val="11.0"/>
      <color rgb="FF000000"/>
      <name val="Roboto"/>
    </font>
    <font>
      <u/>
      <sz val="11.0"/>
      <color rgb="FF0000FF"/>
      <name val="Arial"/>
    </font>
    <font>
      <u/>
      <sz val="11.0"/>
      <color rgb="FF0000FF"/>
      <name val="Arial"/>
    </font>
    <font>
      <b/>
      <sz val="11.0"/>
      <color rgb="FF1F1F1F"/>
      <name val="Roboto"/>
    </font>
    <font>
      <b/>
      <color rgb="FF444746"/>
      <name val="Roboto"/>
    </font>
    <font>
      <color rgb="FF444746"/>
      <name val="Roboto"/>
    </font>
    <font>
      <sz val="11.0"/>
      <color rgb="FF1F1F1F"/>
      <name val="Roboto"/>
    </font>
    <font>
      <u/>
      <sz val="12.0"/>
      <color rgb="FF434343"/>
      <name val="Arial"/>
    </font>
    <font>
      <u/>
      <sz val="12.0"/>
      <color rgb="FF434343"/>
      <name val="Arial"/>
    </font>
    <font>
      <u/>
      <sz val="11.0"/>
      <color rgb="FF0000FF"/>
      <name val="Arial"/>
    </font>
    <font>
      <b/>
      <sz val="11.0"/>
      <color rgb="FF000000"/>
      <name val="Roboto"/>
    </font>
    <font>
      <u/>
      <sz val="11.0"/>
      <color rgb="FF0000FF"/>
      <name val="Arial"/>
    </font>
    <font>
      <u/>
      <color rgb="FF444746"/>
      <name val="Roboto"/>
    </font>
    <font>
      <u/>
      <sz val="11.0"/>
      <color rgb="FF0000FF"/>
      <name val="Roboto"/>
    </font>
    <font>
      <u/>
      <sz val="11.0"/>
      <color rgb="FF0000FF"/>
      <name val="Roboto"/>
    </font>
    <font>
      <u/>
      <color rgb="FF0000FF"/>
    </font>
    <font>
      <u/>
      <color rgb="FF0000FF"/>
      <name val="Arial"/>
    </font>
    <font>
      <u/>
      <sz val="11.0"/>
      <color theme="1"/>
      <name val="Aptos Narrow"/>
    </font>
    <font>
      <u/>
      <sz val="11.0"/>
      <color rgb="FF0000FF"/>
      <name val="Arial"/>
    </font>
    <font>
      <u/>
      <sz val="12.0"/>
      <color rgb="FF0000FF"/>
      <name val="Arial"/>
    </font>
    <font>
      <u/>
      <sz val="12.0"/>
      <color rgb="FF0000FF"/>
      <name val="Roboto"/>
    </font>
    <font>
      <u/>
      <sz val="12.0"/>
      <color rgb="FF0000FF"/>
      <name val="Arial"/>
    </font>
    <font>
      <sz val="12.0"/>
      <color rgb="FF1F1F1F"/>
      <name val="Arial"/>
    </font>
    <font>
      <u/>
      <color rgb="FF0000FF"/>
      <name val="Roboto"/>
    </font>
    <font>
      <u/>
      <sz val="12.0"/>
      <color rgb="FF0000FF"/>
      <name val="Arial"/>
    </font>
  </fonts>
  <fills count="79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76A5AF"/>
        <bgColor rgb="FF76A5AF"/>
      </patternFill>
    </fill>
    <fill>
      <patternFill patternType="solid">
        <fgColor rgb="FFC27BA0"/>
        <bgColor rgb="FFC27BA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B6D7A8"/>
        <bgColor rgb="FFB6D7A8"/>
      </patternFill>
    </fill>
    <fill>
      <patternFill patternType="solid">
        <fgColor rgb="FF909EE6"/>
        <bgColor rgb="FF909EE6"/>
      </patternFill>
    </fill>
    <fill>
      <patternFill patternType="solid">
        <fgColor rgb="FFFF9900"/>
        <bgColor rgb="FFFF9900"/>
      </patternFill>
    </fill>
    <fill>
      <patternFill patternType="solid">
        <fgColor rgb="FFF1CEEE"/>
        <bgColor rgb="FFF1CEEE"/>
      </patternFill>
    </fill>
    <fill>
      <patternFill patternType="solid">
        <fgColor rgb="FFFCE5CD"/>
        <bgColor rgb="FFFCE5CD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theme="4"/>
        <bgColor theme="4"/>
      </patternFill>
    </fill>
    <fill>
      <patternFill patternType="solid">
        <fgColor rgb="FFF6C3FF"/>
        <bgColor rgb="FFF6C3FF"/>
      </patternFill>
    </fill>
    <fill>
      <patternFill patternType="solid">
        <fgColor rgb="FFCC0000"/>
        <bgColor rgb="FFCC0000"/>
      </patternFill>
    </fill>
    <fill>
      <patternFill patternType="solid">
        <fgColor rgb="FFEA9999"/>
        <bgColor rgb="FFEA9999"/>
      </patternFill>
    </fill>
    <fill>
      <patternFill patternType="solid">
        <fgColor rgb="FFE6B8AF"/>
        <bgColor rgb="FFE6B8AF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B0F0"/>
        <bgColor rgb="FF00B0F0"/>
      </patternFill>
    </fill>
    <fill>
      <patternFill patternType="solid">
        <fgColor theme="9"/>
        <bgColor theme="9"/>
      </patternFill>
    </fill>
    <fill>
      <patternFill patternType="solid">
        <fgColor rgb="FFC1E4F5"/>
        <bgColor rgb="FFC1E4F5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B7E1CD"/>
        <bgColor rgb="FFB7E1CD"/>
      </patternFill>
    </fill>
    <fill>
      <patternFill patternType="solid">
        <fgColor rgb="FFCAEDFB"/>
        <bgColor rgb="FFCAEDFB"/>
      </patternFill>
    </fill>
    <fill>
      <patternFill patternType="solid">
        <fgColor rgb="FFD9F2D0"/>
        <bgColor rgb="FFD9F2D0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134F5C"/>
        <bgColor rgb="FF134F5C"/>
      </patternFill>
    </fill>
    <fill>
      <patternFill patternType="solid">
        <fgColor rgb="FFEAD1DC"/>
        <bgColor rgb="FFEAD1DC"/>
      </patternFill>
    </fill>
    <fill>
      <patternFill patternType="solid">
        <fgColor rgb="FFE49EDD"/>
        <bgColor rgb="FFE49EDD"/>
      </patternFill>
    </fill>
    <fill>
      <patternFill patternType="solid">
        <fgColor rgb="FFB5E6A2"/>
        <bgColor rgb="FFB5E6A2"/>
      </patternFill>
    </fill>
    <fill>
      <patternFill patternType="solid">
        <fgColor rgb="FF83CAEB"/>
        <bgColor rgb="FF83CAEB"/>
      </patternFill>
    </fill>
    <fill>
      <patternFill patternType="solid">
        <fgColor rgb="FFF6C6AC"/>
        <bgColor rgb="FFF6C6AC"/>
      </patternFill>
    </fill>
    <fill>
      <patternFill patternType="solid">
        <fgColor rgb="FF93C47D"/>
        <bgColor rgb="FF93C47D"/>
      </patternFill>
    </fill>
    <fill>
      <patternFill patternType="solid">
        <fgColor rgb="FF84E291"/>
        <bgColor rgb="FF84E291"/>
      </patternFill>
    </fill>
    <fill>
      <patternFill patternType="solid">
        <fgColor theme="8"/>
        <bgColor theme="8"/>
      </patternFill>
    </fill>
    <fill>
      <patternFill patternType="solid">
        <fgColor rgb="FF980000"/>
        <bgColor rgb="FF980000"/>
      </patternFill>
    </fill>
    <fill>
      <patternFill patternType="solid">
        <fgColor rgb="FFFF00FF"/>
        <bgColor rgb="FFFF00FF"/>
      </patternFill>
    </fill>
    <fill>
      <patternFill patternType="solid">
        <fgColor rgb="FF95DCF7"/>
        <bgColor rgb="FF95DCF7"/>
      </patternFill>
    </fill>
    <fill>
      <patternFill patternType="solid">
        <fgColor rgb="FFA6E3B7"/>
        <bgColor rgb="FFA6E3B7"/>
      </patternFill>
    </fill>
    <fill>
      <patternFill patternType="solid">
        <fgColor rgb="FF0000FF"/>
        <bgColor rgb="FF0000FF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DAF2D0"/>
        <bgColor rgb="FFDAF2D0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B3E5A1"/>
        <bgColor rgb="FFB3E5A1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A6C9EC"/>
        <bgColor rgb="FFA6C9EC"/>
      </patternFill>
    </fill>
    <fill>
      <patternFill patternType="solid">
        <fgColor rgb="FFFAF8F7"/>
        <bgColor rgb="FFFAF8F7"/>
      </patternFill>
    </fill>
    <fill>
      <patternFill patternType="solid">
        <fgColor rgb="FFDAE9F8"/>
        <bgColor rgb="FFDAE9F8"/>
      </patternFill>
    </fill>
    <fill>
      <patternFill patternType="solid">
        <fgColor rgb="FFFFC000"/>
        <bgColor rgb="FFFFC000"/>
      </patternFill>
    </fill>
    <fill>
      <patternFill patternType="solid">
        <fgColor rgb="FFD0D0D0"/>
        <bgColor rgb="FFD0D0D0"/>
      </patternFill>
    </fill>
    <fill>
      <patternFill patternType="solid">
        <fgColor rgb="FF6AA84F"/>
        <bgColor rgb="FF6AA84F"/>
      </patternFill>
    </fill>
    <fill>
      <patternFill patternType="solid">
        <fgColor rgb="FF45B0E1"/>
        <bgColor rgb="FF45B0E1"/>
      </patternFill>
    </fill>
    <fill>
      <patternFill patternType="solid">
        <fgColor rgb="FFFBE2D5"/>
        <bgColor rgb="FFFBE2D5"/>
      </patternFill>
    </fill>
    <fill>
      <patternFill patternType="solid">
        <fgColor rgb="FFFFCCFF"/>
        <bgColor rgb="FFFFCCFF"/>
      </patternFill>
    </fill>
    <fill>
      <patternFill patternType="solid">
        <fgColor rgb="FF9900FF"/>
        <bgColor rgb="FF9900FF"/>
      </patternFill>
    </fill>
    <fill>
      <patternFill patternType="solid">
        <fgColor rgb="FFCCCCFF"/>
        <bgColor rgb="FFCCCCFF"/>
      </patternFill>
    </fill>
    <fill>
      <patternFill patternType="solid">
        <fgColor rgb="FFF1A983"/>
        <bgColor rgb="FFF1A983"/>
      </patternFill>
    </fill>
    <fill>
      <patternFill patternType="solid">
        <fgColor rgb="FF47D45A"/>
        <bgColor rgb="FF47D45A"/>
      </patternFill>
    </fill>
    <fill>
      <patternFill patternType="solid">
        <fgColor rgb="FF60CBF3"/>
        <bgColor rgb="FF60CBF3"/>
      </patternFill>
    </fill>
    <fill>
      <patternFill patternType="solid">
        <fgColor rgb="FFD76DCC"/>
        <bgColor rgb="FFD76DCC"/>
      </patternFill>
    </fill>
    <fill>
      <patternFill patternType="solid">
        <fgColor rgb="FF8ED873"/>
        <bgColor rgb="FF8ED873"/>
      </patternFill>
    </fill>
    <fill>
      <patternFill patternType="solid">
        <fgColor rgb="FFBF4F14"/>
        <bgColor rgb="FFBF4F14"/>
      </patternFill>
    </fill>
    <fill>
      <patternFill patternType="solid">
        <fgColor rgb="FFFF99FF"/>
        <bgColor rgb="FFFF99FF"/>
      </patternFill>
    </fill>
  </fills>
  <borders count="5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356854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</border>
    <border>
      <left/>
      <right/>
      <bottom/>
    </border>
    <border>
      <right/>
      <bottom/>
    </border>
    <border>
      <right/>
      <top/>
      <bottom/>
    </border>
    <border>
      <left style="thin">
        <color rgb="FF000000"/>
      </left>
      <right/>
    </border>
    <border>
      <left style="thin">
        <color rgb="FF000000"/>
      </left>
      <right/>
      <top/>
    </border>
    <border>
      <left/>
      <right/>
      <top/>
      <bottom/>
    </border>
    <border>
      <right style="thin">
        <color rgb="FF356854"/>
      </right>
    </border>
    <border>
      <left style="thin">
        <color rgb="FF356854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356854"/>
      </left>
      <right/>
      <top/>
      <bottom style="thin">
        <color rgb="FF356854"/>
      </bottom>
    </border>
    <border>
      <left/>
      <right/>
      <top/>
      <bottom style="thin">
        <color rgb="FF356854"/>
      </bottom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bottom style="thin">
        <color rgb="FF356854"/>
      </bottom>
    </border>
    <border>
      <left/>
      <right/>
      <top/>
    </border>
    <border>
      <left/>
      <right/>
    </border>
    <border>
      <bottom style="thin">
        <color rgb="FF356854"/>
      </bottom>
    </border>
    <border>
      <right style="thin">
        <color rgb="FF356854"/>
      </right>
      <bottom style="thin">
        <color rgb="FF356854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</border>
    <border>
      <bottom/>
    </border>
    <border>
      <left style="thin">
        <color rgb="FF356854"/>
      </left>
      <top style="thin">
        <color rgb="FF356854"/>
      </top>
    </border>
    <border>
      <top style="thin">
        <color rgb="FF356854"/>
      </top>
    </border>
    <border>
      <right style="thin">
        <color rgb="FF356854"/>
      </right>
      <top style="thin">
        <color rgb="FF356854"/>
      </top>
    </border>
    <border>
      <left style="thin">
        <color rgb="FF356854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356854"/>
      </left>
      <bottom style="thin">
        <color rgb="FF356854"/>
      </bottom>
    </border>
    <border>
      <left style="thin">
        <color rgb="FF000000"/>
      </left>
      <right/>
      <top/>
      <bottom style="thin">
        <color rgb="FF000000"/>
      </bottom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3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Font="1"/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Font="1"/>
    <xf borderId="0" fillId="0" fontId="3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readingOrder="0"/>
    </xf>
    <xf borderId="1" fillId="0" fontId="7" numFmtId="0" xfId="0" applyAlignment="1" applyBorder="1" applyFont="1">
      <alignment horizontal="center" shrinkToFit="0" wrapText="1"/>
    </xf>
    <xf borderId="2" fillId="0" fontId="8" numFmtId="0" xfId="0" applyBorder="1" applyFont="1"/>
    <xf borderId="3" fillId="0" fontId="8" numFmtId="0" xfId="0" applyBorder="1" applyFont="1"/>
    <xf borderId="4" fillId="0" fontId="7" numFmtId="0" xfId="0" applyAlignment="1" applyBorder="1" applyFont="1">
      <alignment horizontal="center" shrinkToFit="0" wrapText="1"/>
    </xf>
    <xf borderId="4" fillId="0" fontId="7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left" readingOrder="0" vertical="bottom"/>
    </xf>
    <xf borderId="0" fillId="0" fontId="7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4" fillId="0" fontId="7" numFmtId="0" xfId="0" applyAlignment="1" applyBorder="1" applyFont="1">
      <alignment horizontal="center"/>
    </xf>
    <xf borderId="0" fillId="0" fontId="9" numFmtId="0" xfId="0" applyAlignment="1" applyFont="1">
      <alignment readingOrder="0" shrinkToFit="0" vertical="bottom" wrapText="0"/>
    </xf>
    <xf borderId="5" fillId="0" fontId="7" numFmtId="0" xfId="0" applyAlignment="1" applyBorder="1" applyFont="1">
      <alignment horizontal="center"/>
    </xf>
    <xf borderId="4" fillId="0" fontId="7" numFmtId="0" xfId="0" applyAlignment="1" applyBorder="1" applyFont="1">
      <alignment vertical="bottom"/>
    </xf>
    <xf borderId="4" fillId="0" fontId="7" numFmtId="0" xfId="0" applyAlignment="1" applyBorder="1" applyFont="1">
      <alignment horizontal="right" readingOrder="0" vertical="bottom"/>
    </xf>
    <xf borderId="6" fillId="0" fontId="8" numFmtId="0" xfId="0" applyBorder="1" applyFont="1"/>
    <xf borderId="0" fillId="0" fontId="5" numFmtId="0" xfId="0" applyFont="1"/>
    <xf borderId="0" fillId="0" fontId="5" numFmtId="49" xfId="0" applyFont="1" applyNumberFormat="1"/>
    <xf borderId="0" fillId="0" fontId="1" numFmtId="0" xfId="0" applyAlignment="1" applyFont="1">
      <alignment horizontal="left"/>
    </xf>
    <xf borderId="4" fillId="0" fontId="7" numFmtId="0" xfId="0" applyAlignment="1" applyBorder="1" applyFont="1">
      <alignment readingOrder="0" vertical="bottom"/>
    </xf>
    <xf borderId="0" fillId="0" fontId="1" numFmtId="0" xfId="0" applyAlignment="1" applyFont="1">
      <alignment horizontal="left" readingOrder="0" vertical="top"/>
    </xf>
    <xf borderId="0" fillId="2" fontId="9" numFmtId="0" xfId="0" applyAlignment="1" applyFill="1" applyFont="1">
      <alignment readingOrder="0" shrinkToFit="0" vertical="bottom" wrapText="0"/>
    </xf>
    <xf borderId="7" fillId="0" fontId="8" numFmtId="0" xfId="0" applyBorder="1" applyFont="1"/>
    <xf borderId="0" fillId="0" fontId="5" numFmtId="0" xfId="0" applyAlignment="1" applyFont="1">
      <alignment horizontal="left" vertical="center"/>
    </xf>
    <xf borderId="1" fillId="3" fontId="1" numFmtId="0" xfId="0" applyAlignment="1" applyBorder="1" applyFill="1" applyFont="1">
      <alignment horizontal="left" readingOrder="0" shrinkToFit="0" wrapText="0"/>
    </xf>
    <xf borderId="4" fillId="4" fontId="10" numFmtId="0" xfId="0" applyAlignment="1" applyBorder="1" applyFill="1" applyFont="1">
      <alignment readingOrder="0" shrinkToFit="0" wrapText="0"/>
    </xf>
    <xf borderId="4" fillId="4" fontId="10" numFmtId="0" xfId="0" applyAlignment="1" applyBorder="1" applyFont="1">
      <alignment horizontal="right" readingOrder="0" shrinkToFit="0" wrapText="0"/>
    </xf>
    <xf borderId="0" fillId="0" fontId="1" numFmtId="0" xfId="0" applyAlignment="1" applyFont="1">
      <alignment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1" fillId="4" fontId="10" numFmtId="0" xfId="0" applyAlignment="1" applyBorder="1" applyFont="1">
      <alignment horizontal="right" readingOrder="0" shrinkToFit="0" wrapText="0"/>
    </xf>
    <xf borderId="4" fillId="4" fontId="1" numFmtId="0" xfId="0" applyAlignment="1" applyBorder="1" applyFont="1">
      <alignment horizontal="left" readingOrder="0" shrinkToFit="0" wrapText="0"/>
    </xf>
    <xf borderId="4" fillId="0" fontId="12" numFmtId="0" xfId="0" applyAlignment="1" applyBorder="1" applyFont="1">
      <alignment readingOrder="0"/>
    </xf>
    <xf borderId="4" fillId="0" fontId="5" numFmtId="0" xfId="0" applyAlignment="1" applyBorder="1" applyFont="1">
      <alignment vertical="center"/>
    </xf>
    <xf borderId="4" fillId="5" fontId="7" numFmtId="0" xfId="0" applyAlignment="1" applyBorder="1" applyFill="1" applyFont="1">
      <alignment horizontal="center" vertical="bottom"/>
    </xf>
    <xf borderId="4" fillId="5" fontId="7" numFmtId="0" xfId="0" applyAlignment="1" applyBorder="1" applyFont="1">
      <alignment horizontal="right" vertical="bottom"/>
    </xf>
    <xf borderId="4" fillId="0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vertical="center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6" fontId="3" numFmtId="0" xfId="0" applyAlignment="1" applyFill="1" applyFont="1">
      <alignment horizontal="center" readingOrder="0" shrinkToFit="0" vertical="bottom" wrapText="0"/>
    </xf>
    <xf borderId="4" fillId="6" fontId="1" numFmtId="0" xfId="0" applyAlignment="1" applyBorder="1" applyFont="1">
      <alignment readingOrder="0" shrinkToFit="0" wrapText="0"/>
    </xf>
    <xf borderId="4" fillId="6" fontId="3" numFmtId="0" xfId="0" applyAlignment="1" applyBorder="1" applyFont="1">
      <alignment horizontal="right" readingOrder="0" shrinkToFit="0" wrapText="0"/>
    </xf>
    <xf borderId="0" fillId="6" fontId="3" numFmtId="0" xfId="0" applyAlignment="1" applyFont="1">
      <alignment horizontal="center" shrinkToFit="0" vertical="bottom" wrapText="0"/>
    </xf>
    <xf borderId="1" fillId="0" fontId="7" numFmtId="0" xfId="0" applyAlignment="1" applyBorder="1" applyFont="1">
      <alignment horizontal="center" vertical="bottom"/>
    </xf>
    <xf borderId="4" fillId="7" fontId="11" numFmtId="0" xfId="0" applyAlignment="1" applyBorder="1" applyFill="1" applyFont="1">
      <alignment readingOrder="0" shrinkToFit="0" vertical="bottom" wrapText="0"/>
    </xf>
    <xf borderId="4" fillId="7" fontId="11" numFmtId="0" xfId="0" applyAlignment="1" applyBorder="1" applyFont="1">
      <alignment readingOrder="0" shrinkToFit="0" vertical="bottom" wrapText="0"/>
    </xf>
    <xf borderId="0" fillId="8" fontId="1" numFmtId="0" xfId="0" applyAlignment="1" applyFill="1" applyFont="1">
      <alignment horizontal="left" readingOrder="0" shrinkToFit="0" wrapText="0"/>
    </xf>
    <xf borderId="4" fillId="0" fontId="7" numFmtId="0" xfId="0" applyAlignment="1" applyBorder="1" applyFont="1">
      <alignment horizontal="right" vertical="bottom"/>
    </xf>
    <xf borderId="7" fillId="4" fontId="13" numFmtId="0" xfId="0" applyAlignment="1" applyBorder="1" applyFont="1">
      <alignment readingOrder="0" shrinkToFit="0" vertical="bottom" wrapText="0"/>
    </xf>
    <xf borderId="8" fillId="4" fontId="13" numFmtId="0" xfId="0" applyAlignment="1" applyBorder="1" applyFont="1">
      <alignment horizontal="right" readingOrder="0" shrinkToFit="0" vertical="bottom" wrapText="0"/>
    </xf>
    <xf borderId="4" fillId="6" fontId="3" numFmtId="3" xfId="0" applyAlignment="1" applyBorder="1" applyFont="1" applyNumberFormat="1">
      <alignment horizontal="right" readingOrder="0" shrinkToFit="0" wrapText="0"/>
    </xf>
    <xf borderId="0" fillId="0" fontId="5" numFmtId="0" xfId="0" applyAlignment="1" applyFont="1">
      <alignment vertical="center"/>
    </xf>
    <xf borderId="0" fillId="0" fontId="5" numFmtId="0" xfId="0" applyFont="1"/>
    <xf borderId="9" fillId="7" fontId="14" numFmtId="0" xfId="0" applyAlignment="1" applyBorder="1" applyFont="1">
      <alignment horizontal="left" vertical="center"/>
    </xf>
    <xf borderId="10" fillId="7" fontId="14" numFmtId="0" xfId="0" applyAlignment="1" applyBorder="1" applyFont="1">
      <alignment horizontal="left" vertical="center"/>
    </xf>
    <xf borderId="10" fillId="7" fontId="14" numFmtId="0" xfId="0" applyAlignment="1" applyBorder="1" applyFont="1">
      <alignment horizontal="center" vertical="center"/>
    </xf>
    <xf borderId="9" fillId="7" fontId="5" numFmtId="0" xfId="0" applyAlignment="1" applyBorder="1" applyFont="1">
      <alignment horizontal="left" vertical="center"/>
    </xf>
    <xf borderId="9" fillId="7" fontId="14" numFmtId="49" xfId="0" applyAlignment="1" applyBorder="1" applyFont="1" applyNumberFormat="1">
      <alignment horizontal="left" vertical="center"/>
    </xf>
    <xf borderId="9" fillId="7" fontId="14" numFmtId="0" xfId="0" applyAlignment="1" applyBorder="1" applyFont="1">
      <alignment horizontal="center" vertical="center"/>
    </xf>
    <xf borderId="4" fillId="7" fontId="14" numFmtId="0" xfId="0" applyAlignment="1" applyBorder="1" applyFont="1">
      <alignment horizontal="left" vertical="center"/>
    </xf>
    <xf borderId="9" fillId="4" fontId="10" numFmtId="0" xfId="0" applyAlignment="1" applyBorder="1" applyFont="1">
      <alignment vertical="center"/>
    </xf>
    <xf borderId="4" fillId="0" fontId="12" numFmtId="0" xfId="0" applyBorder="1" applyFont="1"/>
    <xf borderId="0" fillId="8" fontId="12" numFmtId="0" xfId="0" applyAlignment="1" applyFont="1">
      <alignment readingOrder="0"/>
    </xf>
    <xf borderId="9" fillId="4" fontId="10" numFmtId="0" xfId="0" applyAlignment="1" applyBorder="1" applyFont="1">
      <alignment horizontal="right" vertical="center"/>
    </xf>
    <xf borderId="10" fillId="4" fontId="10" numFmtId="0" xfId="0" applyAlignment="1" applyBorder="1" applyFont="1">
      <alignment horizontal="right" vertical="center"/>
    </xf>
    <xf borderId="4" fillId="0" fontId="1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horizontal="center" readingOrder="0" vertical="center"/>
    </xf>
    <xf borderId="4" fillId="9" fontId="11" numFmtId="0" xfId="0" applyAlignment="1" applyBorder="1" applyFill="1" applyFont="1">
      <alignment readingOrder="0" shrinkToFit="0" vertical="bottom" wrapText="0"/>
    </xf>
    <xf borderId="0" fillId="0" fontId="16" numFmtId="0" xfId="0" applyAlignment="1" applyFont="1">
      <alignment readingOrder="0"/>
    </xf>
    <xf borderId="4" fillId="9" fontId="11" numFmtId="0" xfId="0" applyAlignment="1" applyBorder="1" applyFont="1">
      <alignment horizontal="right" readingOrder="0" shrinkToFit="0" vertical="bottom" wrapText="0"/>
    </xf>
    <xf borderId="4" fillId="6" fontId="12" numFmtId="0" xfId="0" applyAlignment="1" applyBorder="1" applyFont="1">
      <alignment readingOrder="0"/>
    </xf>
    <xf borderId="4" fillId="9" fontId="11" numFmtId="0" xfId="0" applyAlignment="1" applyBorder="1" applyFont="1">
      <alignment horizontal="center" readingOrder="0" shrinkToFit="0" vertical="bottom" wrapText="0"/>
    </xf>
    <xf borderId="0" fillId="0" fontId="17" numFmtId="0" xfId="0" applyAlignment="1" applyFont="1">
      <alignment horizontal="left" readingOrder="0" shrinkToFit="0" vertical="center" wrapText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/>
    </xf>
    <xf borderId="4" fillId="4" fontId="10" numFmtId="0" xfId="0" applyAlignment="1" applyBorder="1" applyFont="1">
      <alignment horizontal="right" vertical="center"/>
    </xf>
    <xf borderId="9" fillId="9" fontId="14" numFmtId="0" xfId="0" applyAlignment="1" applyBorder="1" applyFont="1">
      <alignment vertical="center"/>
    </xf>
    <xf borderId="9" fillId="9" fontId="14" numFmtId="0" xfId="0" applyAlignment="1" applyBorder="1" applyFont="1">
      <alignment horizontal="right" vertical="center"/>
    </xf>
    <xf borderId="10" fillId="9" fontId="14" numFmtId="0" xfId="0" applyAlignment="1" applyBorder="1" applyFont="1">
      <alignment vertical="center"/>
    </xf>
    <xf borderId="10" fillId="9" fontId="14" numFmtId="0" xfId="0" applyAlignment="1" applyBorder="1" applyFont="1">
      <alignment horizontal="right" vertical="center"/>
    </xf>
    <xf borderId="4" fillId="9" fontId="14" numFmtId="0" xfId="0" applyAlignment="1" applyBorder="1" applyFont="1">
      <alignment horizontal="right" vertical="center"/>
    </xf>
    <xf borderId="0" fillId="0" fontId="20" numFmtId="0" xfId="0" applyAlignment="1" applyFont="1">
      <alignment readingOrder="0"/>
    </xf>
    <xf borderId="0" fillId="0" fontId="19" numFmtId="3" xfId="0" applyAlignment="1" applyFont="1" applyNumberFormat="1">
      <alignment readingOrder="0" shrinkToFit="0" vertical="center" wrapText="0"/>
    </xf>
    <xf borderId="4" fillId="8" fontId="11" numFmtId="0" xfId="0" applyAlignment="1" applyBorder="1" applyFont="1">
      <alignment readingOrder="0" shrinkToFit="0" vertical="bottom" wrapText="0"/>
    </xf>
    <xf borderId="4" fillId="8" fontId="11" numFmtId="0" xfId="0" applyAlignment="1" applyBorder="1" applyFont="1">
      <alignment horizontal="right" readingOrder="0" shrinkToFit="0" vertical="bottom" wrapText="0"/>
    </xf>
    <xf borderId="4" fillId="8" fontId="11" numFmtId="0" xfId="0" applyAlignment="1" applyBorder="1" applyFont="1">
      <alignment horizontal="center" readingOrder="0" shrinkToFit="0" vertical="bottom" wrapText="0"/>
    </xf>
    <xf borderId="9" fillId="9" fontId="14" numFmtId="0" xfId="0" applyAlignment="1" applyBorder="1" applyFont="1">
      <alignment horizontal="right" readingOrder="0" vertical="center"/>
    </xf>
    <xf borderId="9" fillId="8" fontId="14" numFmtId="0" xfId="0" applyAlignment="1" applyBorder="1" applyFont="1">
      <alignment vertical="center"/>
    </xf>
    <xf borderId="9" fillId="8" fontId="14" numFmtId="0" xfId="0" applyAlignment="1" applyBorder="1" applyFont="1">
      <alignment horizontal="right" vertical="center"/>
    </xf>
    <xf borderId="0" fillId="6" fontId="1" numFmtId="0" xfId="0" applyAlignment="1" applyFont="1">
      <alignment shrinkToFit="0" wrapText="0"/>
    </xf>
    <xf borderId="0" fillId="6" fontId="3" numFmtId="0" xfId="0" applyAlignment="1" applyFont="1">
      <alignment shrinkToFit="0" wrapText="0"/>
    </xf>
    <xf borderId="0" fillId="6" fontId="3" numFmtId="0" xfId="0" applyAlignment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3" numFmtId="0" xfId="0" applyAlignment="1" applyBorder="1" applyFont="1">
      <alignment shrinkToFit="0" vertical="bottom" wrapText="0"/>
    </xf>
    <xf borderId="11" fillId="6" fontId="3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wrapText="0"/>
    </xf>
    <xf borderId="12" fillId="7" fontId="1" numFmtId="0" xfId="0" applyAlignment="1" applyBorder="1" applyFont="1">
      <alignment horizontal="left" readingOrder="0" shrinkToFit="0" wrapText="0"/>
    </xf>
    <xf borderId="10" fillId="7" fontId="21" numFmtId="0" xfId="0" applyAlignment="1" applyBorder="1" applyFont="1">
      <alignment horizontal="center" vertical="center"/>
    </xf>
    <xf borderId="10" fillId="8" fontId="14" numFmtId="0" xfId="0" applyAlignment="1" applyBorder="1" applyFont="1">
      <alignment vertical="center"/>
    </xf>
    <xf borderId="12" fillId="7" fontId="1" numFmtId="0" xfId="0" applyAlignment="1" applyBorder="1" applyFont="1">
      <alignment horizontal="center" readingOrder="0" shrinkToFit="0" wrapText="0"/>
    </xf>
    <xf borderId="9" fillId="8" fontId="14" numFmtId="0" xfId="0" applyAlignment="1" applyBorder="1" applyFont="1">
      <alignment horizontal="right" readingOrder="0" vertical="center"/>
    </xf>
    <xf borderId="4" fillId="7" fontId="1" numFmtId="0" xfId="0" applyAlignment="1" applyBorder="1" applyFont="1">
      <alignment horizontal="left" readingOrder="0" shrinkToFit="0" wrapText="0"/>
    </xf>
    <xf borderId="0" fillId="6" fontId="1" numFmtId="0" xfId="0" applyAlignment="1" applyFont="1">
      <alignment readingOrder="0" shrinkToFit="0" wrapText="0"/>
    </xf>
    <xf borderId="12" fillId="4" fontId="3" numFmtId="0" xfId="0" applyAlignment="1" applyBorder="1" applyFont="1">
      <alignment readingOrder="0" shrinkToFit="0" wrapText="0"/>
    </xf>
    <xf borderId="10" fillId="8" fontId="14" numFmtId="0" xfId="0" applyAlignment="1" applyBorder="1" applyFont="1">
      <alignment horizontal="right" vertical="center"/>
    </xf>
    <xf borderId="4" fillId="8" fontId="14" numFmtId="0" xfId="0" applyAlignment="1" applyBorder="1" applyFont="1">
      <alignment horizontal="right" vertical="center"/>
    </xf>
    <xf borderId="13" fillId="9" fontId="14" numFmtId="0" xfId="0" applyAlignment="1" applyBorder="1" applyFont="1">
      <alignment vertical="center"/>
    </xf>
    <xf borderId="13" fillId="9" fontId="14" numFmtId="0" xfId="0" applyAlignment="1" applyBorder="1" applyFont="1">
      <alignment horizontal="right" vertical="center"/>
    </xf>
    <xf borderId="5" fillId="4" fontId="3" numFmtId="0" xfId="0" applyAlignment="1" applyBorder="1" applyFont="1">
      <alignment horizontal="right" readingOrder="0" shrinkToFit="0" wrapText="0"/>
    </xf>
    <xf borderId="12" fillId="9" fontId="14" numFmtId="0" xfId="0" applyAlignment="1" applyBorder="1" applyFont="1">
      <alignment vertical="center"/>
    </xf>
    <xf borderId="14" fillId="4" fontId="3" numFmtId="0" xfId="0" applyAlignment="1" applyBorder="1" applyFont="1">
      <alignment horizontal="right" readingOrder="0" shrinkToFit="0" wrapText="0"/>
    </xf>
    <xf borderId="5" fillId="0" fontId="22" numFmtId="0" xfId="0" applyAlignment="1" applyBorder="1" applyFont="1">
      <alignment horizontal="center" readingOrder="0" vertical="center"/>
    </xf>
    <xf borderId="13" fillId="8" fontId="14" numFmtId="0" xfId="0" applyAlignment="1" applyBorder="1" applyFont="1">
      <alignment vertical="center"/>
    </xf>
    <xf borderId="15" fillId="8" fontId="11" numFmtId="0" xfId="0" applyAlignment="1" applyBorder="1" applyFont="1">
      <alignment readingOrder="0" shrinkToFit="0" vertical="bottom" wrapText="0"/>
    </xf>
    <xf borderId="12" fillId="9" fontId="14" numFmtId="0" xfId="0" applyAlignment="1" applyBorder="1" applyFont="1">
      <alignment horizontal="right" vertical="center"/>
    </xf>
    <xf borderId="4" fillId="8" fontId="4" numFmtId="0" xfId="0" applyAlignment="1" applyBorder="1" applyFont="1">
      <alignment horizontal="right" readingOrder="0" shrinkToFit="0" vertical="bottom" wrapText="0"/>
    </xf>
    <xf borderId="4" fillId="8" fontId="4" numFmtId="0" xfId="0" applyAlignment="1" applyBorder="1" applyFont="1">
      <alignment horizontal="center" readingOrder="0" shrinkToFit="0" vertical="bottom" wrapText="0"/>
    </xf>
    <xf borderId="4" fillId="9" fontId="14" numFmtId="0" xfId="0" applyAlignment="1" applyBorder="1" applyFont="1">
      <alignment vertical="center"/>
    </xf>
    <xf borderId="4" fillId="8" fontId="14" numFmtId="0" xfId="0" applyAlignment="1" applyBorder="1" applyFont="1">
      <alignment vertical="center"/>
    </xf>
    <xf borderId="0" fillId="8" fontId="5" numFmtId="0" xfId="0" applyAlignment="1" applyFont="1">
      <alignment vertical="center"/>
    </xf>
    <xf borderId="0" fillId="8" fontId="14" numFmtId="0" xfId="0" applyFont="1"/>
    <xf borderId="0" fillId="0" fontId="23" numFmtId="0" xfId="0" applyAlignment="1" applyFont="1">
      <alignment horizontal="left" readingOrder="0"/>
    </xf>
    <xf borderId="0" fillId="0" fontId="2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4" fillId="10" fontId="24" numFmtId="0" xfId="0" applyAlignment="1" applyBorder="1" applyFill="1" applyFont="1">
      <alignment horizontal="left" readingOrder="0" shrinkToFit="0" vertical="center" wrapText="0"/>
    </xf>
    <xf borderId="4" fillId="10" fontId="5" numFmtId="0" xfId="0" applyAlignment="1" applyBorder="1" applyFont="1">
      <alignment readingOrder="0" shrinkToFit="0" vertical="center" wrapText="0"/>
    </xf>
    <xf borderId="4" fillId="0" fontId="25" numFmtId="0" xfId="0" applyAlignment="1" applyBorder="1" applyFont="1">
      <alignment horizontal="left" readingOrder="0" shrinkToFit="0" vertical="center" wrapText="0"/>
    </xf>
    <xf borderId="4" fillId="8" fontId="26" numFmtId="0" xfId="0" applyAlignment="1" applyBorder="1" applyFont="1">
      <alignment horizontal="right" readingOrder="0" shrinkToFit="0" vertical="bottom" wrapText="0"/>
    </xf>
    <xf borderId="4" fillId="0" fontId="25" numFmtId="0" xfId="0" applyAlignment="1" applyBorder="1" applyFont="1">
      <alignment horizontal="left" readingOrder="0" shrinkToFit="0" vertical="center" wrapText="1"/>
    </xf>
    <xf borderId="4" fillId="8" fontId="26" numFmtId="0" xfId="0" applyAlignment="1" applyBorder="1" applyFont="1">
      <alignment horizontal="center" readingOrder="0" shrinkToFit="0" vertical="bottom" wrapText="0"/>
    </xf>
    <xf borderId="4" fillId="4" fontId="3" numFmtId="0" xfId="0" applyAlignment="1" applyBorder="1" applyFont="1">
      <alignment horizontal="right" readingOrder="0" shrinkToFit="0" wrapText="0"/>
    </xf>
    <xf borderId="4" fillId="6" fontId="3" numFmtId="0" xfId="0" applyAlignment="1" applyBorder="1" applyFont="1">
      <alignment horizontal="right" readingOrder="0" shrinkToFit="0" vertical="bottom" wrapText="0"/>
    </xf>
    <xf borderId="4" fillId="6" fontId="3" numFmtId="0" xfId="0" applyAlignment="1" applyBorder="1" applyFont="1">
      <alignment readingOrder="0" shrinkToFit="0" vertical="bottom" wrapText="0"/>
    </xf>
    <xf borderId="1" fillId="11" fontId="27" numFmtId="0" xfId="0" applyAlignment="1" applyBorder="1" applyFill="1" applyFont="1">
      <alignment horizontal="center" shrinkToFit="0" vertical="bottom" wrapText="1"/>
    </xf>
    <xf borderId="4" fillId="6" fontId="3" numFmtId="0" xfId="0" applyAlignment="1" applyBorder="1" applyFont="1">
      <alignment horizontal="right" readingOrder="0" shrinkToFit="0" vertical="bottom" wrapText="0"/>
    </xf>
    <xf borderId="4" fillId="6" fontId="3" numFmtId="0" xfId="0" applyAlignment="1" applyBorder="1" applyFont="1">
      <alignment shrinkToFit="0" vertical="bottom" wrapText="0"/>
    </xf>
    <xf borderId="4" fillId="8" fontId="28" numFmtId="0" xfId="0" applyAlignment="1" applyBorder="1" applyFont="1">
      <alignment readingOrder="0" shrinkToFit="0" vertical="center" wrapText="0"/>
    </xf>
    <xf borderId="16" fillId="6" fontId="1" numFmtId="0" xfId="0" applyAlignment="1" applyBorder="1" applyFont="1">
      <alignment readingOrder="0" shrinkToFit="0" wrapText="0"/>
    </xf>
    <xf borderId="4" fillId="0" fontId="11" numFmtId="0" xfId="0" applyAlignment="1" applyBorder="1" applyFont="1">
      <alignment readingOrder="0" shrinkToFit="0" vertical="bottom" wrapText="0"/>
    </xf>
    <xf borderId="8" fillId="6" fontId="3" numFmtId="0" xfId="0" applyAlignment="1" applyBorder="1" applyFont="1">
      <alignment horizontal="right" readingOrder="0" shrinkToFit="0" wrapText="0"/>
    </xf>
    <xf borderId="4" fillId="8" fontId="5" numFmtId="164" xfId="0" applyAlignment="1" applyBorder="1" applyFont="1" applyNumberFormat="1">
      <alignment readingOrder="0" shrinkToFit="0" vertical="center" wrapText="0"/>
    </xf>
    <xf borderId="8" fillId="6" fontId="3" numFmtId="0" xfId="0" applyAlignment="1" applyBorder="1" applyFont="1">
      <alignment readingOrder="0" shrinkToFit="0" wrapText="0"/>
    </xf>
    <xf borderId="4" fillId="8" fontId="5" numFmtId="164" xfId="0" applyAlignment="1" applyBorder="1" applyFont="1" applyNumberFormat="1">
      <alignment shrinkToFit="0" vertical="center" wrapText="0"/>
    </xf>
    <xf borderId="0" fillId="0" fontId="29" numFmtId="0" xfId="0" applyAlignment="1" applyFont="1">
      <alignment shrinkToFit="0" vertical="bottom" wrapText="0"/>
    </xf>
    <xf borderId="0" fillId="0" fontId="27" numFmtId="0" xfId="0" applyAlignment="1" applyFont="1">
      <alignment vertical="bottom"/>
    </xf>
    <xf borderId="1" fillId="12" fontId="24" numFmtId="0" xfId="0" applyAlignment="1" applyBorder="1" applyFill="1" applyFont="1">
      <alignment readingOrder="0" shrinkToFit="0" vertical="center" wrapText="0"/>
    </xf>
    <xf borderId="4" fillId="11" fontId="30" numFmtId="0" xfId="0" applyAlignment="1" applyBorder="1" applyFont="1">
      <alignment shrinkToFit="0" wrapText="1"/>
    </xf>
    <xf borderId="4" fillId="6" fontId="3" numFmtId="0" xfId="0" applyAlignment="1" applyBorder="1" applyFont="1">
      <alignment readingOrder="0" shrinkToFit="0" wrapText="0"/>
    </xf>
    <xf borderId="0" fillId="12" fontId="25" numFmtId="0" xfId="0" applyAlignment="1" applyFont="1">
      <alignment shrinkToFit="0" vertical="center" wrapText="0"/>
    </xf>
    <xf borderId="0" fillId="12" fontId="5" numFmtId="0" xfId="0" applyAlignment="1" applyFont="1">
      <alignment shrinkToFit="0" vertical="center" wrapText="0"/>
    </xf>
    <xf borderId="4" fillId="13" fontId="30" numFmtId="0" xfId="0" applyAlignment="1" applyBorder="1" applyFill="1" applyFont="1">
      <alignment shrinkToFit="0" wrapText="1"/>
    </xf>
    <xf borderId="0" fillId="12" fontId="5" numFmtId="164" xfId="0" applyAlignment="1" applyFont="1" applyNumberFormat="1">
      <alignment shrinkToFit="0" vertical="center" wrapText="0"/>
    </xf>
    <xf borderId="4" fillId="0" fontId="27" numFmtId="0" xfId="0" applyAlignment="1" applyBorder="1" applyFont="1">
      <alignment shrinkToFit="0" wrapText="1"/>
    </xf>
    <xf borderId="4" fillId="0" fontId="27" numFmtId="165" xfId="0" applyAlignment="1" applyBorder="1" applyFont="1" applyNumberFormat="1">
      <alignment horizontal="center" shrinkToFit="0" wrapText="1"/>
    </xf>
    <xf borderId="4" fillId="14" fontId="24" numFmtId="0" xfId="0" applyAlignment="1" applyBorder="1" applyFill="1" applyFont="1">
      <alignment horizontal="left" readingOrder="0" shrinkToFit="0" vertical="center" wrapText="0"/>
    </xf>
    <xf borderId="4" fillId="14" fontId="5" numFmtId="0" xfId="0" applyAlignment="1" applyBorder="1" applyFont="1">
      <alignment shrinkToFit="0" vertical="center" wrapText="0"/>
    </xf>
    <xf borderId="4" fillId="0" fontId="31" numFmtId="0" xfId="0" applyAlignment="1" applyBorder="1" applyFont="1">
      <alignment readingOrder="0" shrinkToFit="0" vertical="bottom" wrapText="1"/>
    </xf>
    <xf borderId="4" fillId="14" fontId="5" numFmtId="0" xfId="0" applyAlignment="1" applyBorder="1" applyFont="1">
      <alignment readingOrder="0" shrinkToFit="0" vertical="center" wrapText="0"/>
    </xf>
    <xf borderId="0" fillId="8" fontId="6" numFmtId="0" xfId="0" applyAlignment="1" applyFont="1">
      <alignment vertical="center"/>
    </xf>
    <xf borderId="4" fillId="0" fontId="32" numFmtId="0" xfId="0" applyAlignment="1" applyBorder="1" applyFont="1">
      <alignment readingOrder="0" shrinkToFit="0" vertical="bottom" wrapText="1"/>
    </xf>
    <xf borderId="4" fillId="8" fontId="5" numFmtId="0" xfId="0" applyAlignment="1" applyBorder="1" applyFont="1">
      <alignment shrinkToFit="0" vertical="center" wrapText="0"/>
    </xf>
    <xf borderId="0" fillId="0" fontId="33" numFmtId="0" xfId="0" applyAlignment="1" applyFont="1">
      <alignment readingOrder="0" shrinkToFit="0" vertical="center" wrapText="0"/>
    </xf>
    <xf borderId="4" fillId="4" fontId="34" numFmtId="49" xfId="0" applyAlignment="1" applyBorder="1" applyFont="1" applyNumberFormat="1">
      <alignment horizontal="left" readingOrder="0" shrinkToFit="0" vertical="center" wrapText="0"/>
    </xf>
    <xf borderId="4" fillId="0" fontId="14" numFmtId="164" xfId="0" applyAlignment="1" applyBorder="1" applyFont="1" applyNumberFormat="1">
      <alignment readingOrder="0" shrinkToFit="0" vertical="center" wrapText="0"/>
    </xf>
    <xf borderId="4" fillId="0" fontId="35" numFmtId="0" xfId="0" applyAlignment="1" applyBorder="1" applyFont="1">
      <alignment readingOrder="0" shrinkToFit="0" wrapText="1"/>
    </xf>
    <xf borderId="4" fillId="0" fontId="18" numFmtId="0" xfId="0" applyAlignment="1" applyBorder="1" applyFont="1">
      <alignment readingOrder="0" shrinkToFit="0" vertical="center" wrapText="0"/>
    </xf>
    <xf borderId="4" fillId="0" fontId="19" numFmtId="0" xfId="0" applyAlignment="1" applyBorder="1" applyFont="1">
      <alignment readingOrder="0" shrinkToFit="0" vertical="center" wrapText="0"/>
    </xf>
    <xf borderId="4" fillId="13" fontId="36" numFmtId="0" xfId="0" applyAlignment="1" applyBorder="1" applyFont="1">
      <alignment readingOrder="0" shrinkToFit="0" wrapText="1"/>
    </xf>
    <xf borderId="4" fillId="0" fontId="27" numFmtId="165" xfId="0" applyBorder="1" applyFont="1" applyNumberFormat="1"/>
    <xf borderId="4" fillId="0" fontId="27" numFmtId="0" xfId="0" applyAlignment="1" applyBorder="1" applyFont="1">
      <alignment vertical="bottom"/>
    </xf>
    <xf borderId="0" fillId="0" fontId="12" numFmtId="0" xfId="0" applyAlignment="1" applyFont="1">
      <alignment readingOrder="0"/>
    </xf>
    <xf borderId="4" fillId="0" fontId="27" numFmtId="0" xfId="0" applyAlignment="1" applyBorder="1" applyFont="1">
      <alignment readingOrder="0" shrinkToFit="0" wrapText="1"/>
    </xf>
    <xf borderId="4" fillId="0" fontId="35" numFmtId="165" xfId="0" applyAlignment="1" applyBorder="1" applyFont="1" applyNumberFormat="1">
      <alignment readingOrder="0"/>
    </xf>
    <xf borderId="4" fillId="6" fontId="3" numFmtId="0" xfId="0" applyAlignment="1" applyBorder="1" applyFont="1">
      <alignment horizontal="right" readingOrder="0" shrinkToFit="0" wrapText="0"/>
    </xf>
    <xf borderId="4" fillId="0" fontId="37" numFmtId="0" xfId="0" applyAlignment="1" applyBorder="1" applyFont="1">
      <alignment readingOrder="0" vertical="bottom"/>
    </xf>
    <xf borderId="4" fillId="6" fontId="3" numFmtId="0" xfId="0" applyAlignment="1" applyBorder="1" applyFont="1">
      <alignment readingOrder="0" shrinkToFit="0" wrapText="0"/>
    </xf>
    <xf borderId="0" fillId="6" fontId="3" numFmtId="0" xfId="0" applyAlignment="1" applyFont="1">
      <alignment horizontal="right" readingOrder="0" shrinkToFit="0" vertical="bottom" wrapText="0"/>
    </xf>
    <xf borderId="4" fillId="0" fontId="35" numFmtId="165" xfId="0" applyAlignment="1" applyBorder="1" applyFont="1" applyNumberFormat="1">
      <alignment horizontal="center" readingOrder="0" shrinkToFit="0" wrapText="1"/>
    </xf>
    <xf borderId="17" fillId="6" fontId="1" numFmtId="0" xfId="0" applyAlignment="1" applyBorder="1" applyFont="1">
      <alignment readingOrder="0" shrinkToFit="0" wrapText="0"/>
    </xf>
    <xf borderId="1" fillId="6" fontId="1" numFmtId="0" xfId="0" applyAlignment="1" applyBorder="1" applyFont="1">
      <alignment readingOrder="0" shrinkToFit="0" wrapText="0"/>
    </xf>
    <xf borderId="0" fillId="15" fontId="24" numFmtId="0" xfId="0" applyAlignment="1" applyFill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15" fontId="5" numFmtId="0" xfId="0" applyAlignment="1" applyFont="1">
      <alignment shrinkToFit="0" vertical="center" wrapText="0"/>
    </xf>
    <xf borderId="4" fillId="0" fontId="38" numFmtId="0" xfId="0" applyAlignment="1" applyBorder="1" applyFont="1">
      <alignment readingOrder="0" shrinkToFit="0" vertical="bottom" wrapText="1"/>
    </xf>
    <xf borderId="0" fillId="15" fontId="5" numFmtId="164" xfId="0" applyAlignment="1" applyFont="1" applyNumberFormat="1">
      <alignment shrinkToFit="0" vertical="center" wrapText="0"/>
    </xf>
    <xf borderId="4" fillId="16" fontId="24" numFmtId="0" xfId="0" applyAlignment="1" applyBorder="1" applyFill="1" applyFont="1">
      <alignment horizontal="center" readingOrder="0" shrinkToFit="0" vertical="center" wrapText="0"/>
    </xf>
    <xf borderId="4" fillId="16" fontId="5" numFmtId="0" xfId="0" applyAlignment="1" applyBorder="1" applyFont="1">
      <alignment shrinkToFit="0" vertical="center" wrapText="0"/>
    </xf>
    <xf borderId="4" fillId="16" fontId="5" numFmtId="0" xfId="0" applyAlignment="1" applyBorder="1" applyFont="1">
      <alignment readingOrder="0" shrinkToFit="0" vertical="center" wrapText="0"/>
    </xf>
    <xf borderId="0" fillId="8" fontId="3" numFmtId="0" xfId="0" applyAlignment="1" applyFont="1">
      <alignment shrinkToFit="0" wrapText="0"/>
    </xf>
    <xf borderId="0" fillId="8" fontId="3" numFmtId="0" xfId="0" applyAlignment="1" applyFont="1">
      <alignment shrinkToFit="0" vertical="bottom" wrapText="0"/>
    </xf>
    <xf borderId="4" fillId="0" fontId="25" numFmtId="0" xfId="0" applyAlignment="1" applyBorder="1" applyFont="1">
      <alignment readingOrder="0" shrinkToFit="0" vertical="center" wrapText="0"/>
    </xf>
    <xf borderId="0" fillId="9" fontId="39" numFmtId="0" xfId="0" applyAlignment="1" applyFont="1">
      <alignment shrinkToFit="0" wrapText="0"/>
    </xf>
    <xf borderId="0" fillId="9" fontId="39" numFmtId="0" xfId="0" applyAlignment="1" applyFont="1">
      <alignment horizontal="right" shrinkToFit="0" wrapText="0"/>
    </xf>
    <xf borderId="4" fillId="17" fontId="35" numFmtId="0" xfId="0" applyAlignment="1" applyBorder="1" applyFill="1" applyFont="1">
      <alignment readingOrder="0" vertical="bottom"/>
    </xf>
    <xf borderId="0" fillId="0" fontId="22" numFmtId="0" xfId="0" applyAlignment="1" applyFont="1">
      <alignment horizontal="center" readingOrder="0" vertical="center"/>
    </xf>
    <xf borderId="4" fillId="18" fontId="3" numFmtId="0" xfId="0" applyAlignment="1" applyBorder="1" applyFill="1" applyFont="1">
      <alignment readingOrder="0" shrinkToFit="0" vertical="bottom" wrapText="0"/>
    </xf>
    <xf borderId="4" fillId="18" fontId="24" numFmtId="0" xfId="0" applyAlignment="1" applyBorder="1" applyFont="1">
      <alignment horizontal="center" readingOrder="0"/>
    </xf>
    <xf borderId="12" fillId="7" fontId="21" numFmtId="0" xfId="0" applyAlignment="1" applyBorder="1" applyFont="1">
      <alignment horizontal="center" vertical="center"/>
    </xf>
    <xf borderId="4" fillId="8" fontId="5" numFmtId="0" xfId="0" applyAlignment="1" applyBorder="1" applyFont="1">
      <alignment readingOrder="0" shrinkToFit="0" vertical="center" wrapText="1"/>
    </xf>
    <xf borderId="4" fillId="17" fontId="27" numFmtId="165" xfId="0" applyAlignment="1" applyBorder="1" applyFont="1" applyNumberFormat="1">
      <alignment vertical="bottom"/>
    </xf>
    <xf borderId="9" fillId="7" fontId="6" numFmtId="0" xfId="0" applyAlignment="1" applyBorder="1" applyFont="1">
      <alignment shrinkToFit="0" wrapText="1"/>
    </xf>
    <xf borderId="0" fillId="8" fontId="24" numFmtId="0" xfId="0" applyAlignment="1" applyFont="1">
      <alignment horizontal="center" readingOrder="0"/>
    </xf>
    <xf borderId="9" fillId="7" fontId="21" numFmtId="0" xfId="0" applyAlignment="1" applyBorder="1" applyFont="1">
      <alignment horizontal="left" vertical="center"/>
    </xf>
    <xf borderId="18" fillId="11" fontId="30" numFmtId="0" xfId="0" applyAlignment="1" applyBorder="1" applyFont="1">
      <alignment shrinkToFit="0" wrapText="1"/>
    </xf>
    <xf borderId="4" fillId="19" fontId="30" numFmtId="0" xfId="0" applyAlignment="1" applyBorder="1" applyFill="1" applyFont="1">
      <alignment shrinkToFit="0" wrapText="1"/>
    </xf>
    <xf borderId="4" fillId="4" fontId="13" numFmtId="0" xfId="0" applyAlignment="1" applyBorder="1" applyFont="1">
      <alignment readingOrder="0" shrinkToFit="0" vertical="bottom" wrapText="0"/>
    </xf>
    <xf borderId="4" fillId="4" fontId="13" numFmtId="0" xfId="0" applyAlignment="1" applyBorder="1" applyFont="1">
      <alignment horizontal="right" readingOrder="0" shrinkToFit="0" vertical="bottom" wrapText="0"/>
    </xf>
    <xf borderId="4" fillId="0" fontId="27" numFmtId="164" xfId="0" applyAlignment="1" applyBorder="1" applyFont="1" applyNumberFormat="1">
      <alignment horizontal="right" shrinkToFit="0" wrapText="1"/>
    </xf>
    <xf borderId="4" fillId="8" fontId="3" numFmtId="0" xfId="0" applyAlignment="1" applyBorder="1" applyFont="1">
      <alignment readingOrder="0" shrinkToFit="0" vertical="bottom" wrapText="0"/>
    </xf>
    <xf borderId="4" fillId="4" fontId="40" numFmtId="0" xfId="0" applyAlignment="1" applyBorder="1" applyFont="1">
      <alignment horizontal="right" readingOrder="0" shrinkToFit="0" wrapText="0"/>
    </xf>
    <xf borderId="4" fillId="9" fontId="25" numFmtId="0" xfId="0" applyAlignment="1" applyBorder="1" applyFont="1">
      <alignment readingOrder="0"/>
    </xf>
    <xf borderId="0" fillId="8" fontId="14" numFmtId="0" xfId="0" applyAlignment="1" applyFont="1">
      <alignment readingOrder="0" shrinkToFit="0" wrapText="0"/>
    </xf>
    <xf borderId="4" fillId="0" fontId="41" numFmtId="0" xfId="0" applyAlignment="1" applyBorder="1" applyFont="1">
      <alignment shrinkToFit="0" vertical="bottom" wrapText="1"/>
    </xf>
    <xf borderId="0" fillId="8" fontId="5" numFmtId="0" xfId="0" applyAlignment="1" applyFont="1">
      <alignment readingOrder="0" shrinkToFit="0" vertical="center" wrapText="0"/>
    </xf>
    <xf borderId="4" fillId="0" fontId="42" numFmtId="0" xfId="0" applyAlignment="1" applyBorder="1" applyFont="1">
      <alignment shrinkToFit="0" vertical="bottom" wrapText="1"/>
    </xf>
    <xf borderId="0" fillId="8" fontId="5" numFmtId="0" xfId="0" applyAlignment="1" applyFont="1">
      <alignment readingOrder="0" shrinkToFit="0" vertical="center" wrapText="1"/>
    </xf>
    <xf borderId="4" fillId="0" fontId="27" numFmtId="165" xfId="0" applyAlignment="1" applyBorder="1" applyFont="1" applyNumberFormat="1">
      <alignment horizontal="right" shrinkToFit="0" wrapText="1"/>
    </xf>
    <xf borderId="0" fillId="8" fontId="5" numFmtId="0" xfId="0" applyAlignment="1" applyFont="1">
      <alignment readingOrder="0" shrinkToFit="0" vertical="center" wrapText="0"/>
    </xf>
    <xf borderId="4" fillId="20" fontId="5" numFmtId="164" xfId="0" applyAlignment="1" applyBorder="1" applyFill="1" applyFont="1" applyNumberFormat="1">
      <alignment readingOrder="0" shrinkToFit="0" vertical="center" wrapText="0"/>
    </xf>
    <xf borderId="5" fillId="8" fontId="3" numFmtId="0" xfId="0" applyAlignment="1" applyBorder="1" applyFont="1">
      <alignment readingOrder="0" shrinkToFit="0" vertical="center" wrapText="0"/>
    </xf>
    <xf borderId="4" fillId="20" fontId="5" numFmtId="164" xfId="0" applyAlignment="1" applyBorder="1" applyFont="1" applyNumberFormat="1">
      <alignment shrinkToFit="0" vertical="center" wrapText="0"/>
    </xf>
    <xf borderId="5" fillId="8" fontId="25" numFmtId="0" xfId="0" applyAlignment="1" applyBorder="1" applyFont="1">
      <alignment readingOrder="0" vertical="center"/>
    </xf>
    <xf borderId="4" fillId="19" fontId="27" numFmtId="0" xfId="0" applyBorder="1" applyFont="1"/>
    <xf borderId="4" fillId="8" fontId="25" numFmtId="0" xfId="0" applyAlignment="1" applyBorder="1" applyFont="1">
      <alignment readingOrder="0"/>
    </xf>
    <xf borderId="4" fillId="0" fontId="27" numFmtId="0" xfId="0" applyBorder="1" applyFont="1"/>
    <xf borderId="0" fillId="8" fontId="25" numFmtId="0" xfId="0" applyAlignment="1" applyFont="1">
      <alignment readingOrder="0"/>
    </xf>
    <xf borderId="1" fillId="7" fontId="10" numFmtId="0" xfId="0" applyAlignment="1" applyBorder="1" applyFont="1">
      <alignment vertical="center"/>
    </xf>
    <xf borderId="0" fillId="9" fontId="5" numFmtId="0" xfId="0" applyAlignment="1" applyFont="1">
      <alignment vertical="center"/>
    </xf>
    <xf borderId="8" fillId="9" fontId="5" numFmtId="0" xfId="0" applyAlignment="1" applyBorder="1" applyFont="1">
      <alignment vertical="center"/>
    </xf>
    <xf borderId="19" fillId="9" fontId="14" numFmtId="0" xfId="0" applyBorder="1" applyFont="1"/>
    <xf borderId="1" fillId="9" fontId="5" numFmtId="0" xfId="0" applyAlignment="1" applyBorder="1" applyFont="1">
      <alignment horizontal="center" vertical="center"/>
    </xf>
    <xf borderId="4" fillId="0" fontId="27" numFmtId="164" xfId="0" applyAlignment="1" applyBorder="1" applyFont="1" applyNumberFormat="1">
      <alignment horizontal="right" shrinkToFit="0" wrapText="1"/>
    </xf>
    <xf borderId="20" fillId="9" fontId="5" numFmtId="0" xfId="0" applyAlignment="1" applyBorder="1" applyFont="1">
      <alignment vertical="center"/>
    </xf>
    <xf borderId="7" fillId="9" fontId="8" numFmtId="0" xfId="0" applyBorder="1" applyFont="1"/>
    <xf borderId="4" fillId="21" fontId="25" numFmtId="0" xfId="0" applyAlignment="1" applyBorder="1" applyFill="1" applyFont="1">
      <alignment readingOrder="0"/>
    </xf>
    <xf borderId="10" fillId="7" fontId="43" numFmtId="0" xfId="0" applyAlignment="1" applyBorder="1" applyFont="1">
      <alignment vertical="center"/>
    </xf>
    <xf borderId="0" fillId="8" fontId="12" numFmtId="0" xfId="0" applyAlignment="1" applyFont="1">
      <alignment readingOrder="0"/>
    </xf>
    <xf borderId="0" fillId="8" fontId="25" numFmtId="0" xfId="0" applyAlignment="1" applyFont="1">
      <alignment readingOrder="0"/>
    </xf>
    <xf borderId="4" fillId="7" fontId="10" numFmtId="0" xfId="0" applyAlignment="1" applyBorder="1" applyFont="1">
      <alignment vertical="center"/>
    </xf>
    <xf borderId="0" fillId="8" fontId="12" numFmtId="0" xfId="0" applyFont="1"/>
    <xf borderId="4" fillId="7" fontId="43" numFmtId="0" xfId="0" applyAlignment="1" applyBorder="1" applyFont="1">
      <alignment vertical="center"/>
    </xf>
    <xf borderId="21" fillId="8" fontId="14" numFmtId="0" xfId="0" applyBorder="1" applyFont="1"/>
    <xf borderId="22" fillId="4" fontId="43" numFmtId="0" xfId="0" applyAlignment="1" applyBorder="1" applyFont="1">
      <alignment vertical="center"/>
    </xf>
    <xf borderId="4" fillId="0" fontId="35" numFmtId="164" xfId="0" applyAlignment="1" applyBorder="1" applyFont="1" applyNumberFormat="1">
      <alignment horizontal="right" shrinkToFit="0" wrapText="1"/>
    </xf>
    <xf borderId="22" fillId="8" fontId="5" numFmtId="0" xfId="0" applyAlignment="1" applyBorder="1" applyFont="1">
      <alignment vertical="center"/>
    </xf>
    <xf borderId="23" fillId="8" fontId="5" numFmtId="0" xfId="0" applyAlignment="1" applyBorder="1" applyFont="1">
      <alignment vertical="center"/>
    </xf>
    <xf borderId="19" fillId="9" fontId="5" numFmtId="0" xfId="0" applyAlignment="1" applyBorder="1" applyFont="1">
      <alignment vertical="center"/>
    </xf>
    <xf borderId="0" fillId="9" fontId="3" numFmtId="0" xfId="0" applyAlignment="1" applyFont="1">
      <alignment shrinkToFit="0" vertical="bottom" wrapText="0"/>
    </xf>
    <xf borderId="0" fillId="0" fontId="12" numFmtId="0" xfId="0" applyFont="1"/>
    <xf borderId="4" fillId="0" fontId="25" numFmtId="0" xfId="0" applyAlignment="1" applyBorder="1" applyFont="1">
      <alignment readingOrder="0"/>
    </xf>
    <xf borderId="4" fillId="8" fontId="3" numFmtId="0" xfId="0" applyAlignment="1" applyBorder="1" applyFont="1">
      <alignment readingOrder="0" shrinkToFit="0" wrapText="0"/>
    </xf>
    <xf borderId="9" fillId="4" fontId="43" numFmtId="0" xfId="0" applyAlignment="1" applyBorder="1" applyFont="1">
      <alignment vertical="center"/>
    </xf>
    <xf borderId="4" fillId="0" fontId="44" numFmtId="0" xfId="0" applyAlignment="1" applyBorder="1" applyFont="1">
      <alignment shrinkToFit="0" wrapText="1"/>
    </xf>
    <xf borderId="4" fillId="9" fontId="5" numFmtId="0" xfId="0" applyAlignment="1" applyBorder="1" applyFont="1">
      <alignment vertical="center"/>
    </xf>
    <xf borderId="4" fillId="7" fontId="14" numFmtId="0" xfId="0" applyAlignment="1" applyBorder="1" applyFont="1">
      <alignment horizontal="center" vertical="center"/>
    </xf>
    <xf borderId="4" fillId="0" fontId="45" numFmtId="0" xfId="0" applyAlignment="1" applyBorder="1" applyFont="1">
      <alignment shrinkToFit="0" vertical="bottom" wrapText="1"/>
    </xf>
    <xf borderId="4" fillId="7" fontId="14" numFmtId="0" xfId="0" applyAlignment="1" applyBorder="1" applyFont="1">
      <alignment horizontal="center" shrinkToFit="0" vertical="center" wrapText="1"/>
    </xf>
    <xf borderId="1" fillId="15" fontId="11" numFmtId="0" xfId="0" applyAlignment="1" applyBorder="1" applyFont="1">
      <alignment readingOrder="0"/>
    </xf>
    <xf borderId="4" fillId="19" fontId="36" numFmtId="0" xfId="0" applyAlignment="1" applyBorder="1" applyFont="1">
      <alignment shrinkToFit="0" wrapText="1"/>
    </xf>
    <xf borderId="0" fillId="8" fontId="3" numFmtId="0" xfId="0" applyAlignment="1" applyFont="1">
      <alignment shrinkToFit="0" vertical="bottom" wrapText="0"/>
    </xf>
    <xf borderId="24" fillId="8" fontId="14" numFmtId="0" xfId="0" applyBorder="1" applyFont="1"/>
    <xf borderId="24" fillId="8" fontId="5" numFmtId="0" xfId="0" applyAlignment="1" applyBorder="1" applyFont="1">
      <alignment vertical="center"/>
    </xf>
    <xf borderId="4" fillId="0" fontId="35" numFmtId="0" xfId="0" applyAlignment="1" applyBorder="1" applyFont="1">
      <alignment shrinkToFit="0" wrapText="1"/>
    </xf>
    <xf borderId="9" fillId="8" fontId="5" numFmtId="0" xfId="0" applyAlignment="1" applyBorder="1" applyFont="1">
      <alignment vertical="center"/>
    </xf>
    <xf quotePrefix="1" borderId="4" fillId="8" fontId="5" numFmtId="16" xfId="0" applyAlignment="1" applyBorder="1" applyFont="1" applyNumberFormat="1">
      <alignment horizontal="center" vertical="center"/>
    </xf>
    <xf borderId="4" fillId="8" fontId="5" numFmtId="0" xfId="0" applyAlignment="1" applyBorder="1" applyFont="1">
      <alignment vertical="center"/>
    </xf>
    <xf borderId="4" fillId="8" fontId="14" numFmtId="0" xfId="0" applyAlignment="1" applyBorder="1" applyFont="1">
      <alignment horizontal="center" vertical="center"/>
    </xf>
    <xf borderId="4" fillId="8" fontId="5" numFmtId="0" xfId="0" applyAlignment="1" applyBorder="1" applyFont="1">
      <alignment horizontal="center" vertical="center"/>
    </xf>
    <xf borderId="1" fillId="9" fontId="11" numFmtId="0" xfId="0" applyBorder="1" applyFont="1"/>
    <xf borderId="24" fillId="9" fontId="14" numFmtId="0" xfId="0" applyBorder="1" applyFont="1"/>
    <xf borderId="9" fillId="9" fontId="5" numFmtId="0" xfId="0" applyAlignment="1" applyBorder="1" applyFont="1">
      <alignment vertical="center"/>
    </xf>
    <xf borderId="4" fillId="9" fontId="14" numFmtId="0" xfId="0" applyAlignment="1" applyBorder="1" applyFont="1">
      <alignment horizontal="center" vertical="center"/>
    </xf>
    <xf borderId="4" fillId="9" fontId="5" numFmtId="0" xfId="0" applyAlignment="1" applyBorder="1" applyFont="1">
      <alignment horizontal="center" vertical="center"/>
    </xf>
    <xf borderId="0" fillId="9" fontId="11" numFmtId="0" xfId="0" applyFont="1"/>
    <xf borderId="0" fillId="6" fontId="3" numFmtId="0" xfId="0" applyAlignment="1" applyFont="1">
      <alignment shrinkToFit="0" vertical="bottom" wrapText="0"/>
    </xf>
    <xf borderId="4" fillId="8" fontId="5" numFmtId="12" xfId="0" applyAlignment="1" applyBorder="1" applyFont="1" applyNumberFormat="1">
      <alignment horizontal="center" vertical="center"/>
    </xf>
    <xf borderId="6" fillId="0" fontId="27" numFmtId="165" xfId="0" applyAlignment="1" applyBorder="1" applyFont="1" applyNumberFormat="1">
      <alignment horizontal="center" shrinkToFit="0" wrapText="1"/>
    </xf>
    <xf borderId="0" fillId="0" fontId="46" numFmtId="0" xfId="0" applyAlignment="1" applyFont="1">
      <alignment readingOrder="0" shrinkToFit="0" wrapText="1"/>
    </xf>
    <xf borderId="4" fillId="0" fontId="27" numFmtId="164" xfId="0" applyBorder="1" applyFont="1" applyNumberFormat="1"/>
    <xf borderId="1" fillId="15" fontId="12" numFmtId="0" xfId="0" applyAlignment="1" applyBorder="1" applyFont="1">
      <alignment horizontal="center" readingOrder="0"/>
    </xf>
    <xf borderId="4" fillId="8" fontId="11" numFmtId="0" xfId="0" applyAlignment="1" applyBorder="1" applyFont="1">
      <alignment readingOrder="0"/>
    </xf>
    <xf borderId="4" fillId="9" fontId="11" numFmtId="0" xfId="0" applyAlignment="1" applyBorder="1" applyFont="1">
      <alignment readingOrder="0"/>
    </xf>
    <xf borderId="0" fillId="6" fontId="3" numFmtId="0" xfId="0" applyAlignment="1" applyFont="1">
      <alignment horizontal="right" readingOrder="0" shrinkToFit="0" wrapText="0"/>
    </xf>
    <xf borderId="4" fillId="17" fontId="27" numFmtId="164" xfId="0" applyAlignment="1" applyBorder="1" applyFont="1" applyNumberFormat="1">
      <alignment vertical="bottom"/>
    </xf>
    <xf borderId="1" fillId="22" fontId="12" numFmtId="0" xfId="0" applyAlignment="1" applyBorder="1" applyFill="1" applyFont="1">
      <alignment horizontal="center" readingOrder="0"/>
    </xf>
    <xf borderId="4" fillId="0" fontId="12" numFmtId="164" xfId="0" applyBorder="1" applyFont="1" applyNumberFormat="1"/>
    <xf borderId="1" fillId="15" fontId="3" numFmtId="0" xfId="0" applyAlignment="1" applyBorder="1" applyFont="1">
      <alignment horizontal="center" readingOrder="0" shrinkToFit="0" vertical="bottom" wrapText="0"/>
    </xf>
    <xf borderId="4" fillId="8" fontId="3" numFmtId="0" xfId="0" applyAlignment="1" applyBorder="1" applyFont="1">
      <alignment readingOrder="0" shrinkToFit="0" vertical="bottom" wrapText="0"/>
    </xf>
    <xf borderId="4" fillId="9" fontId="3" numFmtId="0" xfId="0" applyAlignment="1" applyBorder="1" applyFont="1">
      <alignment readingOrder="0" shrinkToFit="0" vertical="bottom" wrapText="0"/>
    </xf>
    <xf borderId="25" fillId="8" fontId="3" numFmtId="0" xfId="0" applyAlignment="1" applyBorder="1" applyFont="1">
      <alignment shrinkToFit="0" wrapText="0"/>
    </xf>
    <xf borderId="0" fillId="6" fontId="12" numFmtId="0" xfId="0" applyAlignment="1" applyFont="1">
      <alignment horizontal="center" readingOrder="0"/>
    </xf>
    <xf borderId="4" fillId="8" fontId="47" numFmtId="0" xfId="0" applyAlignment="1" applyBorder="1" applyFont="1">
      <alignment readingOrder="0" shrinkToFit="0" vertical="center" wrapText="0"/>
    </xf>
    <xf borderId="0" fillId="9" fontId="14" numFmtId="0" xfId="0" applyFont="1"/>
    <xf borderId="21" fillId="9" fontId="14" numFmtId="0" xfId="0" applyBorder="1" applyFont="1"/>
    <xf borderId="0" fillId="0" fontId="27" numFmtId="0" xfId="0" applyFont="1"/>
    <xf borderId="4" fillId="8" fontId="5" numFmtId="0" xfId="0" applyAlignment="1" applyBorder="1" applyFont="1">
      <alignment readingOrder="0" shrinkToFit="0" vertical="center" wrapText="0"/>
    </xf>
    <xf borderId="5" fillId="0" fontId="35" numFmtId="0" xfId="0" applyAlignment="1" applyBorder="1" applyFont="1">
      <alignment horizontal="center" readingOrder="0" shrinkToFit="0" vertical="center" wrapText="1"/>
    </xf>
    <xf borderId="4" fillId="0" fontId="35" numFmtId="0" xfId="0" applyAlignment="1" applyBorder="1" applyFont="1">
      <alignment readingOrder="0"/>
    </xf>
    <xf borderId="4" fillId="9" fontId="14" numFmtId="0" xfId="0" applyAlignment="1" applyBorder="1" applyFont="1">
      <alignment horizontal="center"/>
    </xf>
    <xf borderId="4" fillId="8" fontId="5" numFmtId="0" xfId="0" applyAlignment="1" applyBorder="1" applyFont="1">
      <alignment readingOrder="0" shrinkToFit="0" vertical="center" wrapText="0"/>
    </xf>
    <xf borderId="4" fillId="0" fontId="25" numFmtId="0" xfId="0" applyAlignment="1" applyBorder="1" applyFont="1">
      <alignment readingOrder="0" shrinkToFit="0" vertical="center" wrapText="0"/>
    </xf>
    <xf borderId="4" fillId="8" fontId="14" numFmtId="0" xfId="0" applyAlignment="1" applyBorder="1" applyFont="1">
      <alignment horizontal="center"/>
    </xf>
    <xf borderId="4" fillId="8" fontId="5" numFmtId="0" xfId="0" applyAlignment="1" applyBorder="1" applyFont="1">
      <alignment readingOrder="0" shrinkToFit="0" vertical="center" wrapText="1"/>
    </xf>
    <xf borderId="4" fillId="8" fontId="5" numFmtId="0" xfId="0" applyAlignment="1" applyBorder="1" applyFont="1">
      <alignment readingOrder="0" shrinkToFit="0" vertical="center" wrapText="0"/>
    </xf>
    <xf borderId="0" fillId="8" fontId="11" numFmtId="0" xfId="0" applyFont="1"/>
    <xf borderId="0" fillId="9" fontId="27" numFmtId="0" xfId="0" applyFont="1"/>
    <xf borderId="0" fillId="8" fontId="3" numFmtId="0" xfId="0" applyAlignment="1" applyFont="1">
      <alignment readingOrder="0" shrinkToFit="0" wrapText="0"/>
    </xf>
    <xf borderId="1" fillId="5" fontId="35" numFmtId="0" xfId="0" applyAlignment="1" applyBorder="1" applyFont="1">
      <alignment readingOrder="0"/>
    </xf>
    <xf borderId="4" fillId="23" fontId="30" numFmtId="0" xfId="0" applyAlignment="1" applyBorder="1" applyFill="1" applyFont="1">
      <alignment horizontal="right"/>
    </xf>
    <xf borderId="4" fillId="18" fontId="30" numFmtId="0" xfId="0" applyAlignment="1" applyBorder="1" applyFont="1">
      <alignment horizontal="left" shrinkToFit="0" vertical="center" wrapText="1"/>
    </xf>
    <xf borderId="4" fillId="18" fontId="36" numFmtId="0" xfId="0" applyAlignment="1" applyBorder="1" applyFont="1">
      <alignment horizontal="left" readingOrder="0" shrinkToFit="0" vertical="center" wrapText="1"/>
    </xf>
    <xf borderId="26" fillId="9" fontId="5" numFmtId="0" xfId="0" applyAlignment="1" applyBorder="1" applyFont="1">
      <alignment vertical="center"/>
    </xf>
    <xf borderId="4" fillId="24" fontId="36" numFmtId="0" xfId="0" applyAlignment="1" applyBorder="1" applyFill="1" applyFont="1">
      <alignment horizontal="left" readingOrder="0" shrinkToFit="0" vertical="center" wrapText="1"/>
    </xf>
    <xf borderId="27" fillId="9" fontId="5" numFmtId="0" xfId="0" applyAlignment="1" applyBorder="1" applyFont="1">
      <alignment vertical="center"/>
    </xf>
    <xf borderId="4" fillId="25" fontId="36" numFmtId="0" xfId="0" applyAlignment="1" applyBorder="1" applyFill="1" applyFont="1">
      <alignment horizontal="left" readingOrder="0" shrinkToFit="0" vertical="center" wrapText="1"/>
    </xf>
    <xf borderId="24" fillId="9" fontId="5" numFmtId="0" xfId="0" applyAlignment="1" applyBorder="1" applyFont="1">
      <alignment vertical="center"/>
    </xf>
    <xf borderId="4" fillId="5" fontId="36" numFmtId="0" xfId="0" applyAlignment="1" applyBorder="1" applyFont="1">
      <alignment horizontal="left" readingOrder="0" shrinkToFit="0" vertical="center" wrapText="1"/>
    </xf>
    <xf borderId="4" fillId="5" fontId="23" numFmtId="0" xfId="0" applyAlignment="1" applyBorder="1" applyFont="1">
      <alignment horizontal="left" readingOrder="0" shrinkToFit="0" wrapText="1"/>
    </xf>
    <xf borderId="28" fillId="8" fontId="5" numFmtId="0" xfId="0" applyAlignment="1" applyBorder="1" applyFont="1">
      <alignment vertical="center"/>
    </xf>
    <xf borderId="0" fillId="0" fontId="27" numFmtId="0" xfId="0" applyAlignment="1" applyFont="1">
      <alignment shrinkToFit="0" wrapText="1"/>
    </xf>
    <xf borderId="29" fillId="8" fontId="5" numFmtId="0" xfId="0" applyAlignment="1" applyBorder="1" applyFont="1">
      <alignment vertical="center"/>
    </xf>
    <xf borderId="4" fillId="0" fontId="27" numFmtId="0" xfId="0" applyAlignment="1" applyBorder="1" applyFont="1">
      <alignment shrinkToFit="0" wrapText="1"/>
    </xf>
    <xf borderId="30" fillId="9" fontId="5" numFmtId="0" xfId="0" applyAlignment="1" applyBorder="1" applyFont="1">
      <alignment vertical="center"/>
    </xf>
    <xf borderId="1" fillId="0" fontId="27" numFmtId="0" xfId="0" applyAlignment="1" applyBorder="1" applyFont="1">
      <alignment horizontal="center" shrinkToFit="0" wrapText="1"/>
    </xf>
    <xf borderId="9" fillId="7" fontId="5" numFmtId="0" xfId="0" applyAlignment="1" applyBorder="1" applyFont="1">
      <alignment horizontal="left"/>
    </xf>
    <xf borderId="9" fillId="7" fontId="5" numFmtId="0" xfId="0" applyAlignment="1" applyBorder="1" applyFont="1">
      <alignment horizontal="left" shrinkToFit="0" wrapText="0"/>
    </xf>
    <xf borderId="31" fillId="7" fontId="5" numFmtId="0" xfId="0" applyAlignment="1" applyBorder="1" applyFont="1">
      <alignment horizontal="left"/>
    </xf>
    <xf borderId="24" fillId="8" fontId="5" numFmtId="0" xfId="0" applyBorder="1" applyFont="1"/>
    <xf borderId="32" fillId="8" fontId="5" numFmtId="0" xfId="0" applyAlignment="1" applyBorder="1" applyFont="1">
      <alignment vertical="center"/>
    </xf>
    <xf borderId="29" fillId="8" fontId="14" numFmtId="0" xfId="0" applyBorder="1" applyFont="1"/>
    <xf borderId="0" fillId="8" fontId="5" numFmtId="0" xfId="0" applyAlignment="1" applyFont="1">
      <alignment readingOrder="0"/>
    </xf>
    <xf borderId="4" fillId="8" fontId="27" numFmtId="0" xfId="0" applyAlignment="1" applyBorder="1" applyFont="1">
      <alignment shrinkToFit="0" wrapText="1"/>
    </xf>
    <xf borderId="4" fillId="8" fontId="14" numFmtId="0" xfId="0" applyAlignment="1" applyBorder="1" applyFont="1">
      <alignment horizontal="right" readingOrder="0" shrinkToFit="0" vertical="bottom" wrapText="0"/>
    </xf>
    <xf borderId="9" fillId="8" fontId="5" numFmtId="166" xfId="0" applyAlignment="1" applyBorder="1" applyFont="1" applyNumberFormat="1">
      <alignment readingOrder="0" shrinkToFit="0" wrapText="1"/>
    </xf>
    <xf borderId="9" fillId="8" fontId="5" numFmtId="166" xfId="0" applyAlignment="1" applyBorder="1" applyFont="1" applyNumberFormat="1">
      <alignment shrinkToFit="0" wrapText="1"/>
    </xf>
    <xf borderId="4" fillId="26" fontId="30" numFmtId="0" xfId="0" applyAlignment="1" applyBorder="1" applyFill="1" applyFont="1">
      <alignment horizontal="right"/>
    </xf>
    <xf borderId="4" fillId="8" fontId="30" numFmtId="0" xfId="0" applyAlignment="1" applyBorder="1" applyFont="1">
      <alignment horizontal="right"/>
    </xf>
    <xf borderId="4" fillId="0" fontId="48" numFmtId="0" xfId="0" applyAlignment="1" applyBorder="1" applyFont="1">
      <alignment readingOrder="0" shrinkToFit="0" vertical="bottom" wrapText="0"/>
    </xf>
    <xf borderId="4" fillId="8" fontId="36" numFmtId="0" xfId="0" applyAlignment="1" applyBorder="1" applyFont="1">
      <alignment horizontal="right" readingOrder="0"/>
    </xf>
    <xf borderId="0" fillId="0" fontId="49" numFmtId="0" xfId="0" applyAlignment="1" applyFont="1">
      <alignment readingOrder="0" shrinkToFit="0" vertical="bottom" wrapText="0"/>
    </xf>
    <xf borderId="31" fillId="8" fontId="5" numFmtId="0" xfId="0" applyBorder="1" applyFont="1"/>
    <xf borderId="33" fillId="8" fontId="5" numFmtId="0" xfId="0" applyBorder="1" applyFont="1"/>
    <xf borderId="34" fillId="8" fontId="5" numFmtId="0" xfId="0" applyBorder="1" applyFont="1"/>
    <xf borderId="4" fillId="8" fontId="30" numFmtId="0" xfId="0" applyBorder="1" applyFont="1"/>
    <xf borderId="9" fillId="8" fontId="5" numFmtId="0" xfId="0" applyAlignment="1" applyBorder="1" applyFont="1">
      <alignment shrinkToFit="0" wrapText="1"/>
    </xf>
    <xf borderId="4" fillId="27" fontId="30" numFmtId="0" xfId="0" applyBorder="1" applyFill="1" applyFont="1"/>
    <xf borderId="4" fillId="28" fontId="27" numFmtId="0" xfId="0" applyAlignment="1" applyBorder="1" applyFill="1" applyFont="1">
      <alignment horizontal="left" shrinkToFit="0" vertical="top" wrapText="1"/>
    </xf>
    <xf borderId="5" fillId="24" fontId="35" numFmtId="0" xfId="0" applyAlignment="1" applyBorder="1" applyFont="1">
      <alignment horizontal="left" readingOrder="0" shrinkToFit="0" vertical="top" wrapText="1"/>
    </xf>
    <xf borderId="5" fillId="25" fontId="27" numFmtId="0" xfId="0" applyAlignment="1" applyBorder="1" applyFont="1">
      <alignment horizontal="left" shrinkToFit="0" wrapText="1"/>
    </xf>
    <xf borderId="5" fillId="5" fontId="35" numFmtId="0" xfId="0" applyAlignment="1" applyBorder="1" applyFont="1">
      <alignment horizontal="left" readingOrder="0" shrinkToFit="0" vertical="top" wrapText="1"/>
    </xf>
    <xf borderId="5" fillId="5" fontId="12" numFmtId="0" xfId="0" applyAlignment="1" applyBorder="1" applyFont="1">
      <alignment horizontal="left" readingOrder="0" shrinkToFit="0" wrapText="1"/>
    </xf>
    <xf borderId="9" fillId="8" fontId="5" numFmtId="0" xfId="0" applyAlignment="1" applyBorder="1" applyFont="1">
      <alignment horizontal="right" shrinkToFit="0" wrapText="1"/>
    </xf>
    <xf borderId="4" fillId="0" fontId="27" numFmtId="0" xfId="0" applyAlignment="1" applyBorder="1" applyFont="1">
      <alignment horizontal="left" shrinkToFit="0" vertical="center" wrapText="1"/>
    </xf>
    <xf borderId="4" fillId="8" fontId="35" numFmtId="0" xfId="0" applyAlignment="1" applyBorder="1" applyFont="1">
      <alignment readingOrder="0" shrinkToFit="0" wrapText="1"/>
    </xf>
    <xf borderId="4" fillId="8" fontId="5" numFmtId="0" xfId="0" applyAlignment="1" applyBorder="1" applyFont="1">
      <alignment readingOrder="0" shrinkToFit="0" vertical="center" wrapText="0"/>
    </xf>
    <xf borderId="9" fillId="8" fontId="50" numFmtId="0" xfId="0" applyBorder="1" applyFont="1"/>
    <xf borderId="0" fillId="0" fontId="30" numFmtId="0" xfId="0" applyAlignment="1" applyFont="1">
      <alignment horizontal="left" shrinkToFit="0" vertical="center" wrapText="1"/>
    </xf>
    <xf borderId="0" fillId="0" fontId="30" numFmtId="0" xfId="0" applyFont="1"/>
    <xf borderId="9" fillId="8" fontId="51" numFmtId="0" xfId="0" applyAlignment="1" applyBorder="1" applyFont="1">
      <alignment shrinkToFit="0" wrapText="0"/>
    </xf>
    <xf borderId="9" fillId="9" fontId="5" numFmtId="0" xfId="0" applyAlignment="1" applyBorder="1" applyFont="1">
      <alignment shrinkToFit="0" wrapText="1"/>
    </xf>
    <xf borderId="9" fillId="9" fontId="5" numFmtId="0" xfId="0" applyAlignment="1" applyBorder="1" applyFont="1">
      <alignment horizontal="right" shrinkToFit="0" wrapText="1"/>
    </xf>
    <xf borderId="9" fillId="9" fontId="5" numFmtId="166" xfId="0" applyAlignment="1" applyBorder="1" applyFont="1" applyNumberFormat="1">
      <alignment shrinkToFit="0" wrapText="1"/>
    </xf>
    <xf borderId="9" fillId="9" fontId="52" numFmtId="0" xfId="0" applyAlignment="1" applyBorder="1" applyFont="1">
      <alignment vertical="center"/>
    </xf>
    <xf borderId="9" fillId="9" fontId="53" numFmtId="0" xfId="0" applyAlignment="1" applyBorder="1" applyFont="1">
      <alignment shrinkToFit="0" vertical="center" wrapText="0"/>
    </xf>
    <xf borderId="31" fillId="9" fontId="5" numFmtId="0" xfId="0" applyAlignment="1" applyBorder="1" applyFont="1">
      <alignment vertical="center"/>
    </xf>
    <xf borderId="9" fillId="8" fontId="14" numFmtId="0" xfId="0" applyAlignment="1" applyBorder="1" applyFont="1">
      <alignment horizontal="left" vertical="center"/>
    </xf>
    <xf borderId="9" fillId="8" fontId="5" numFmtId="0" xfId="0" applyAlignment="1" applyBorder="1" applyFont="1">
      <alignment horizontal="right" readingOrder="0" shrinkToFit="0" wrapText="1"/>
    </xf>
    <xf borderId="9" fillId="9" fontId="5" numFmtId="164" xfId="0" applyAlignment="1" applyBorder="1" applyFont="1" applyNumberFormat="1">
      <alignment horizontal="right"/>
    </xf>
    <xf borderId="9" fillId="8" fontId="5" numFmtId="0" xfId="0" applyBorder="1" applyFont="1"/>
    <xf borderId="12" fillId="0" fontId="54" numFmtId="0" xfId="0" applyAlignment="1" applyBorder="1" applyFont="1">
      <alignment shrinkToFit="0" wrapText="0"/>
    </xf>
    <xf borderId="9" fillId="6" fontId="5" numFmtId="166" xfId="0" applyAlignment="1" applyBorder="1" applyFont="1" applyNumberFormat="1">
      <alignment readingOrder="0" shrinkToFit="0" wrapText="1"/>
    </xf>
    <xf borderId="4" fillId="18" fontId="35" numFmtId="0" xfId="0" applyAlignment="1" applyBorder="1" applyFont="1">
      <alignment readingOrder="0" shrinkToFit="0" wrapText="1"/>
    </xf>
    <xf borderId="9" fillId="6" fontId="5" numFmtId="166" xfId="0" applyAlignment="1" applyBorder="1" applyFont="1" applyNumberFormat="1">
      <alignment shrinkToFit="0" wrapText="1"/>
    </xf>
    <xf borderId="5" fillId="4" fontId="1" numFmtId="0" xfId="0" applyAlignment="1" applyBorder="1" applyFont="1">
      <alignment horizontal="left" readingOrder="0" shrinkToFit="0" wrapText="0"/>
    </xf>
    <xf borderId="5" fillId="0" fontId="12" numFmtId="0" xfId="0" applyAlignment="1" applyBorder="1" applyFont="1">
      <alignment readingOrder="0"/>
    </xf>
    <xf borderId="0" fillId="0" fontId="4" numFmtId="0" xfId="0" applyAlignment="1" applyFont="1">
      <alignment vertical="bottom"/>
    </xf>
    <xf borderId="9" fillId="8" fontId="55" numFmtId="0" xfId="0" applyAlignment="1" applyBorder="1" applyFont="1">
      <alignment shrinkToFit="0" wrapText="0"/>
    </xf>
    <xf borderId="9" fillId="9" fontId="56" numFmtId="0" xfId="0" applyBorder="1" applyFont="1"/>
    <xf borderId="9" fillId="9" fontId="57" numFmtId="0" xfId="0" applyAlignment="1" applyBorder="1" applyFont="1">
      <alignment shrinkToFit="0" wrapText="0"/>
    </xf>
    <xf borderId="31" fillId="9" fontId="5" numFmtId="0" xfId="0" applyBorder="1" applyFont="1"/>
    <xf borderId="0" fillId="0" fontId="11" numFmtId="0" xfId="0" applyAlignment="1" applyFont="1">
      <alignment horizontal="center" vertical="bottom"/>
    </xf>
    <xf borderId="9" fillId="8" fontId="58" numFmtId="0" xfId="0" applyAlignment="1" applyBorder="1" applyFont="1">
      <alignment vertical="center"/>
    </xf>
    <xf borderId="9" fillId="8" fontId="59" numFmtId="0" xfId="0" applyAlignment="1" applyBorder="1" applyFont="1">
      <alignment shrinkToFit="0" vertical="center" wrapText="0"/>
    </xf>
    <xf borderId="31" fillId="8" fontId="5" numFmtId="0" xfId="0" applyAlignment="1" applyBorder="1" applyFont="1">
      <alignment vertical="center"/>
    </xf>
    <xf borderId="5" fillId="0" fontId="27" numFmtId="0" xfId="0" applyAlignment="1" applyBorder="1" applyFont="1">
      <alignment horizontal="center" shrinkToFit="0" wrapText="1"/>
    </xf>
    <xf borderId="5" fillId="8" fontId="35" numFmtId="0" xfId="0" applyAlignment="1" applyBorder="1" applyFont="1">
      <alignment readingOrder="0" shrinkToFit="0" wrapText="1"/>
    </xf>
    <xf borderId="0" fillId="0" fontId="27" numFmtId="0" xfId="0" applyAlignment="1" applyFont="1">
      <alignment shrinkToFit="0" vertical="top" wrapText="1"/>
    </xf>
    <xf borderId="0" fillId="8" fontId="40" numFmtId="0" xfId="0" applyAlignment="1" applyFont="1">
      <alignment readingOrder="0" shrinkToFit="0" wrapText="0"/>
    </xf>
    <xf borderId="0" fillId="8" fontId="40" numFmtId="0" xfId="0" applyAlignment="1" applyFont="1">
      <alignment horizontal="right" readingOrder="0" shrinkToFit="0" wrapText="0"/>
    </xf>
    <xf borderId="0" fillId="8" fontId="11" numFmtId="0" xfId="0" applyAlignment="1" applyFont="1">
      <alignment horizontal="center" readingOrder="0" shrinkToFit="0" wrapText="0"/>
    </xf>
    <xf borderId="0" fillId="8" fontId="11" numFmtId="0" xfId="0" applyAlignment="1" applyFont="1">
      <alignment horizontal="center" readingOrder="0"/>
    </xf>
    <xf borderId="0" fillId="8" fontId="60" numFmtId="0" xfId="0" applyAlignment="1" applyFont="1">
      <alignment horizontal="center" readingOrder="0"/>
    </xf>
    <xf borderId="9" fillId="9" fontId="61" numFmtId="0" xfId="0" applyAlignment="1" applyBorder="1" applyFont="1">
      <alignment vertical="center"/>
    </xf>
    <xf borderId="0" fillId="6" fontId="1" numFmtId="0" xfId="0" applyAlignment="1" applyFont="1">
      <alignment horizontal="left" readingOrder="0" shrinkToFit="0" wrapText="0"/>
    </xf>
    <xf borderId="0" fillId="6" fontId="12" numFmtId="0" xfId="0" applyAlignment="1" applyFont="1">
      <alignment readingOrder="0"/>
    </xf>
    <xf borderId="4" fillId="26" fontId="30" numFmtId="0" xfId="0" applyAlignment="1" applyBorder="1" applyFont="1">
      <alignment horizontal="right" shrinkToFit="0" vertical="center" wrapText="1"/>
    </xf>
    <xf borderId="12" fillId="4" fontId="40" numFmtId="0" xfId="0" applyAlignment="1" applyBorder="1" applyFont="1">
      <alignment readingOrder="0" shrinkToFit="0" wrapText="0"/>
    </xf>
    <xf borderId="4" fillId="29" fontId="27" numFmtId="0" xfId="0" applyAlignment="1" applyBorder="1" applyFill="1" applyFont="1">
      <alignment horizontal="left" shrinkToFit="0" vertical="top" wrapText="1"/>
    </xf>
    <xf borderId="9" fillId="8" fontId="62" numFmtId="0" xfId="0" applyAlignment="1" applyBorder="1" applyFont="1">
      <alignment vertical="center"/>
    </xf>
    <xf borderId="9" fillId="8" fontId="63" numFmtId="0" xfId="0" applyAlignment="1" applyBorder="1" applyFont="1">
      <alignment readingOrder="0" shrinkToFit="0" vertical="center" wrapText="0"/>
    </xf>
    <xf borderId="0" fillId="0" fontId="11" numFmtId="0" xfId="0" applyAlignment="1" applyFont="1">
      <alignment vertical="bottom"/>
    </xf>
    <xf borderId="12" fillId="4" fontId="40" numFmtId="0" xfId="0" applyAlignment="1" applyBorder="1" applyFont="1">
      <alignment horizontal="right" readingOrder="0" shrinkToFit="0" wrapText="0"/>
    </xf>
    <xf borderId="4" fillId="9" fontId="3" numFmtId="0" xfId="0" applyAlignment="1" applyBorder="1" applyFont="1">
      <alignment shrinkToFit="0" wrapText="0"/>
    </xf>
    <xf borderId="12" fillId="9" fontId="3" numFmtId="0" xfId="0" applyAlignment="1" applyBorder="1" applyFont="1">
      <alignment shrinkToFit="0" wrapText="0"/>
    </xf>
    <xf borderId="4" fillId="7" fontId="13" numFmtId="0" xfId="0" applyAlignment="1" applyBorder="1" applyFont="1">
      <alignment readingOrder="0" vertical="bottom"/>
    </xf>
    <xf borderId="17" fillId="7" fontId="11" numFmtId="0" xfId="0" applyAlignment="1" applyBorder="1" applyFont="1">
      <alignment horizontal="center" readingOrder="0" shrinkToFit="0" wrapText="0"/>
    </xf>
    <xf borderId="4" fillId="9" fontId="4" numFmtId="0" xfId="0" applyAlignment="1" applyBorder="1" applyFont="1">
      <alignment vertical="bottom"/>
    </xf>
    <xf borderId="17" fillId="7" fontId="11" numFmtId="0" xfId="0" applyAlignment="1" applyBorder="1" applyFont="1">
      <alignment horizontal="center" readingOrder="0"/>
    </xf>
    <xf borderId="7" fillId="9" fontId="4" numFmtId="0" xfId="0" applyAlignment="1" applyBorder="1" applyFont="1">
      <alignment vertical="bottom"/>
    </xf>
    <xf borderId="7" fillId="7" fontId="60" numFmtId="0" xfId="0" applyAlignment="1" applyBorder="1" applyFont="1">
      <alignment horizontal="center" readingOrder="0"/>
    </xf>
    <xf borderId="16" fillId="0" fontId="22" numFmtId="0" xfId="0" applyAlignment="1" applyBorder="1" applyFont="1">
      <alignment horizontal="center" readingOrder="0" vertical="center"/>
    </xf>
    <xf borderId="12" fillId="8" fontId="3" numFmtId="0" xfId="0" applyAlignment="1" applyBorder="1" applyFont="1">
      <alignment readingOrder="0" shrinkToFit="0" wrapText="0"/>
    </xf>
    <xf borderId="12" fillId="8" fontId="3" numFmtId="0" xfId="0" applyAlignment="1" applyBorder="1" applyFont="1">
      <alignment horizontal="right" readingOrder="0" shrinkToFit="0" wrapText="0"/>
    </xf>
    <xf borderId="4" fillId="8" fontId="3" numFmtId="167" xfId="0" applyAlignment="1" applyBorder="1" applyFont="1" applyNumberFormat="1">
      <alignment horizontal="center" readingOrder="0" shrinkToFit="0" wrapText="0"/>
    </xf>
    <xf borderId="12" fillId="8" fontId="60" numFmtId="2" xfId="0" applyAlignment="1" applyBorder="1" applyFont="1" applyNumberFormat="1">
      <alignment horizontal="center" readingOrder="0" shrinkToFit="0" wrapText="0"/>
    </xf>
    <xf borderId="12" fillId="8" fontId="11" numFmtId="2" xfId="0" applyAlignment="1" applyBorder="1" applyFont="1" applyNumberFormat="1">
      <alignment horizontal="center" readingOrder="0" shrinkToFit="0" wrapText="0"/>
    </xf>
    <xf borderId="4" fillId="8" fontId="60" numFmtId="2" xfId="0" applyAlignment="1" applyBorder="1" applyFont="1" applyNumberFormat="1">
      <alignment horizontal="center" readingOrder="0" shrinkToFit="0" wrapText="0"/>
    </xf>
    <xf borderId="9" fillId="9" fontId="5" numFmtId="166" xfId="0" applyAlignment="1" applyBorder="1" applyFont="1" applyNumberFormat="1">
      <alignment readingOrder="0" shrinkToFit="0" wrapText="1"/>
    </xf>
    <xf borderId="9" fillId="9" fontId="64" numFmtId="0" xfId="0" applyAlignment="1" applyBorder="1" applyFont="1">
      <alignment readingOrder="0" vertical="center"/>
    </xf>
    <xf borderId="9" fillId="9" fontId="65" numFmtId="0" xfId="0" applyAlignment="1" applyBorder="1" applyFont="1">
      <alignment readingOrder="0" shrinkToFit="0" vertical="center" wrapText="0"/>
    </xf>
    <xf borderId="9" fillId="8" fontId="66" numFmtId="0" xfId="0" applyAlignment="1" applyBorder="1" applyFont="1">
      <alignment shrinkToFit="0" wrapText="1"/>
    </xf>
    <xf borderId="4" fillId="4" fontId="13" numFmtId="0" xfId="0" applyAlignment="1" applyBorder="1" applyFont="1">
      <alignment readingOrder="0" vertical="bottom"/>
    </xf>
    <xf borderId="4" fillId="4" fontId="13" numFmtId="0" xfId="0" applyAlignment="1" applyBorder="1" applyFont="1">
      <alignment horizontal="right" readingOrder="0" vertical="bottom"/>
    </xf>
    <xf borderId="4" fillId="4" fontId="4" numFmtId="0" xfId="0" applyAlignment="1" applyBorder="1" applyFont="1">
      <alignment horizontal="center" vertical="bottom"/>
    </xf>
    <xf borderId="1" fillId="9" fontId="11" numFmtId="0" xfId="0" applyAlignment="1" applyBorder="1" applyFont="1">
      <alignment readingOrder="0"/>
    </xf>
    <xf borderId="4" fillId="8" fontId="3" numFmtId="0" xfId="0" applyAlignment="1" applyBorder="1" applyFont="1">
      <alignment horizontal="center" readingOrder="0" shrinkToFit="0" wrapText="0"/>
    </xf>
    <xf borderId="12" fillId="9" fontId="3" numFmtId="0" xfId="0" applyAlignment="1" applyBorder="1" applyFont="1">
      <alignment readingOrder="0" shrinkToFit="0" wrapText="0"/>
    </xf>
    <xf borderId="12" fillId="9" fontId="3" numFmtId="0" xfId="0" applyAlignment="1" applyBorder="1" applyFont="1">
      <alignment horizontal="right" readingOrder="0" shrinkToFit="0" wrapText="0"/>
    </xf>
    <xf borderId="4" fillId="8" fontId="11" numFmtId="0" xfId="0" applyAlignment="1" applyBorder="1" applyFont="1">
      <alignment readingOrder="0" vertical="bottom"/>
    </xf>
    <xf borderId="12" fillId="9" fontId="60" numFmtId="2" xfId="0" applyAlignment="1" applyBorder="1" applyFont="1" applyNumberFormat="1">
      <alignment horizontal="center" readingOrder="0" shrinkToFit="0" wrapText="0"/>
    </xf>
    <xf borderId="4" fillId="8" fontId="11" numFmtId="0" xfId="0" applyAlignment="1" applyBorder="1" applyFont="1">
      <alignment horizontal="right" readingOrder="0" vertical="bottom"/>
    </xf>
    <xf borderId="12" fillId="9" fontId="11" numFmtId="2" xfId="0" applyAlignment="1" applyBorder="1" applyFont="1" applyNumberFormat="1">
      <alignment horizontal="center" readingOrder="0" shrinkToFit="0" wrapText="0"/>
    </xf>
    <xf borderId="4" fillId="0" fontId="12" numFmtId="0" xfId="0" applyAlignment="1" applyBorder="1" applyFont="1">
      <alignment horizontal="center" readingOrder="0"/>
    </xf>
    <xf borderId="0" fillId="0" fontId="11" numFmtId="0" xfId="0" applyAlignment="1" applyFont="1">
      <alignment horizontal="center" readingOrder="0" vertical="bottom"/>
    </xf>
    <xf borderId="9" fillId="8" fontId="66" numFmtId="0" xfId="0" applyAlignment="1" applyBorder="1" applyFont="1">
      <alignment horizontal="right" shrinkToFit="0" wrapText="1"/>
    </xf>
    <xf borderId="4" fillId="9" fontId="3" numFmtId="167" xfId="0" applyAlignment="1" applyBorder="1" applyFont="1" applyNumberFormat="1">
      <alignment horizontal="center" readingOrder="0" shrinkToFit="0" wrapText="0"/>
    </xf>
    <xf borderId="9" fillId="8" fontId="66" numFmtId="166" xfId="0" applyAlignment="1" applyBorder="1" applyFont="1" applyNumberFormat="1">
      <alignment horizontal="right" shrinkToFit="0" wrapText="1"/>
    </xf>
    <xf quotePrefix="1" borderId="4" fillId="8" fontId="3" numFmtId="0" xfId="0" applyAlignment="1" applyBorder="1" applyFont="1">
      <alignment horizontal="center" readingOrder="0" shrinkToFit="0" wrapText="0"/>
    </xf>
    <xf borderId="9" fillId="8" fontId="67" numFmtId="0" xfId="0" applyAlignment="1" applyBorder="1" applyFont="1">
      <alignment readingOrder="0" vertical="center"/>
    </xf>
    <xf borderId="4" fillId="9" fontId="11" numFmtId="0" xfId="0" applyAlignment="1" applyBorder="1" applyFont="1">
      <alignment readingOrder="0" vertical="bottom"/>
    </xf>
    <xf borderId="4" fillId="9" fontId="11" numFmtId="0" xfId="0" applyAlignment="1" applyBorder="1" applyFont="1">
      <alignment horizontal="right" readingOrder="0" vertical="bottom"/>
    </xf>
    <xf borderId="9" fillId="9" fontId="68" numFmtId="0" xfId="0" applyAlignment="1" applyBorder="1" applyFont="1">
      <alignment shrinkToFit="0" vertical="center" wrapText="0"/>
    </xf>
    <xf borderId="9" fillId="8" fontId="5" numFmtId="0" xfId="0" applyAlignment="1" applyBorder="1" applyFont="1">
      <alignment horizontal="right"/>
    </xf>
    <xf borderId="9" fillId="8" fontId="5" numFmtId="166" xfId="0" applyBorder="1" applyFont="1" applyNumberFormat="1"/>
    <xf borderId="4" fillId="0" fontId="30" numFmtId="0" xfId="0" applyAlignment="1" applyBorder="1" applyFont="1">
      <alignment horizontal="right"/>
    </xf>
    <xf borderId="0" fillId="9" fontId="12" numFmtId="0" xfId="0" applyAlignment="1" applyFont="1">
      <alignment horizontal="center" readingOrder="0"/>
    </xf>
    <xf borderId="0" fillId="9" fontId="3" numFmtId="0" xfId="0" applyAlignment="1" applyFont="1">
      <alignment horizontal="center" readingOrder="0" shrinkToFit="0" wrapText="0"/>
    </xf>
    <xf borderId="31" fillId="8" fontId="5" numFmtId="0" xfId="0" applyAlignment="1" applyBorder="1" applyFont="1">
      <alignment shrinkToFit="0" wrapText="0"/>
    </xf>
    <xf quotePrefix="1" borderId="4" fillId="9" fontId="3" numFmtId="0" xfId="0" applyAlignment="1" applyBorder="1" applyFont="1">
      <alignment horizontal="center" readingOrder="0" shrinkToFit="0" wrapText="0"/>
    </xf>
    <xf borderId="9" fillId="8" fontId="66" numFmtId="0" xfId="0" applyBorder="1" applyFont="1"/>
    <xf borderId="9" fillId="8" fontId="66" numFmtId="0" xfId="0" applyAlignment="1" applyBorder="1" applyFont="1">
      <alignment horizontal="right"/>
    </xf>
    <xf borderId="9" fillId="8" fontId="66" numFmtId="166" xfId="0" applyAlignment="1" applyBorder="1" applyFont="1" applyNumberFormat="1">
      <alignment horizontal="right"/>
    </xf>
    <xf borderId="9" fillId="8" fontId="69" numFmtId="0" xfId="0" applyBorder="1" applyFont="1"/>
    <xf borderId="4" fillId="0" fontId="30" numFmtId="0" xfId="0" applyBorder="1" applyFont="1"/>
    <xf borderId="12" fillId="9" fontId="60" numFmtId="2" xfId="0" applyAlignment="1" applyBorder="1" applyFont="1" applyNumberFormat="1">
      <alignment horizontal="center" readingOrder="0" shrinkToFit="0" vertical="bottom" wrapText="0"/>
    </xf>
    <xf borderId="9" fillId="9" fontId="66" numFmtId="0" xfId="0" applyAlignment="1" applyBorder="1" applyFont="1">
      <alignment horizontal="right"/>
    </xf>
    <xf borderId="12" fillId="8" fontId="60" numFmtId="2" xfId="0" applyAlignment="1" applyBorder="1" applyFont="1" applyNumberFormat="1">
      <alignment horizontal="center" readingOrder="0" shrinkToFit="0" vertical="bottom" wrapText="0"/>
    </xf>
    <xf borderId="9" fillId="9" fontId="66" numFmtId="166" xfId="0" applyAlignment="1" applyBorder="1" applyFont="1" applyNumberFormat="1">
      <alignment horizontal="right"/>
    </xf>
    <xf borderId="0" fillId="6" fontId="11" numFmtId="0" xfId="0" applyAlignment="1" applyFont="1">
      <alignment horizontal="center" vertical="bottom"/>
    </xf>
    <xf borderId="9" fillId="9" fontId="70" numFmtId="0" xfId="0" applyBorder="1" applyFont="1"/>
    <xf borderId="9" fillId="9" fontId="71" numFmtId="0" xfId="0" applyAlignment="1" applyBorder="1" applyFont="1">
      <alignment shrinkToFit="0" wrapText="0"/>
    </xf>
    <xf borderId="31" fillId="9" fontId="5" numFmtId="0" xfId="0" applyAlignment="1" applyBorder="1" applyFont="1">
      <alignment shrinkToFit="0" wrapText="0"/>
    </xf>
    <xf borderId="35" fillId="8" fontId="3" numFmtId="0" xfId="0" applyAlignment="1" applyBorder="1" applyFont="1">
      <alignment shrinkToFit="0" wrapText="0"/>
    </xf>
    <xf borderId="0" fillId="0" fontId="27" numFmtId="0" xfId="0" applyAlignment="1" applyFont="1">
      <alignment horizontal="left" shrinkToFit="0" vertical="top" wrapText="1"/>
    </xf>
    <xf borderId="36" fillId="8" fontId="3" numFmtId="0" xfId="0" applyAlignment="1" applyBorder="1" applyFont="1">
      <alignment shrinkToFit="0" wrapText="0"/>
    </xf>
    <xf borderId="0" fillId="0" fontId="6" numFmtId="0" xfId="0" applyFont="1"/>
    <xf borderId="9" fillId="8" fontId="5" numFmtId="0" xfId="0" applyAlignment="1" applyBorder="1" applyFont="1">
      <alignment shrinkToFit="0" vertical="center" wrapText="1"/>
    </xf>
    <xf borderId="6" fillId="8" fontId="3" numFmtId="167" xfId="0" applyAlignment="1" applyBorder="1" applyFont="1" applyNumberFormat="1">
      <alignment horizontal="center" readingOrder="0" shrinkToFit="0" wrapText="0"/>
    </xf>
    <xf borderId="0" fillId="6" fontId="3" numFmtId="0" xfId="0" applyAlignment="1" applyFont="1">
      <alignment horizontal="center" readingOrder="0" shrinkToFit="0" vertical="bottom" wrapText="0"/>
    </xf>
    <xf borderId="0" fillId="6" fontId="4" numFmtId="0" xfId="0" applyAlignment="1" applyFont="1">
      <alignment shrinkToFit="0" vertical="bottom" wrapText="0"/>
    </xf>
    <xf borderId="4" fillId="8" fontId="3" numFmtId="0" xfId="0" applyAlignment="1" applyBorder="1" applyFont="1">
      <alignment horizontal="right" readingOrder="0" shrinkToFit="0" wrapText="0"/>
    </xf>
    <xf borderId="4" fillId="8" fontId="60" numFmtId="2" xfId="0" applyAlignment="1" applyBorder="1" applyFont="1" applyNumberFormat="1">
      <alignment horizontal="center" readingOrder="0" shrinkToFit="0" vertical="bottom" wrapText="0"/>
    </xf>
    <xf borderId="2" fillId="8" fontId="11" numFmtId="2" xfId="0" applyAlignment="1" applyBorder="1" applyFont="1" applyNumberFormat="1">
      <alignment horizontal="center" readingOrder="0" shrinkToFit="0" wrapText="0"/>
    </xf>
    <xf borderId="0" fillId="6" fontId="11" numFmtId="0" xfId="0" applyAlignment="1" applyFont="1">
      <alignment readingOrder="0"/>
    </xf>
    <xf borderId="0" fillId="6" fontId="3" numFmtId="0" xfId="0" applyAlignment="1" applyFont="1">
      <alignment readingOrder="0" shrinkToFit="0" vertical="bottom" wrapText="0"/>
    </xf>
    <xf borderId="11" fillId="8" fontId="11" numFmtId="2" xfId="0" applyAlignment="1" applyBorder="1" applyFont="1" applyNumberFormat="1">
      <alignment horizontal="center" readingOrder="0" shrinkToFit="0" wrapText="0"/>
    </xf>
    <xf borderId="9" fillId="9" fontId="5" numFmtId="0" xfId="0" applyAlignment="1" applyBorder="1" applyFont="1">
      <alignment shrinkToFit="0" vertical="center" wrapText="1"/>
    </xf>
    <xf borderId="0" fillId="8" fontId="3" numFmtId="0" xfId="0" applyAlignment="1" applyFont="1">
      <alignment horizontal="center" shrinkToFit="0" wrapText="0"/>
    </xf>
    <xf borderId="0" fillId="8" fontId="60" numFmtId="0" xfId="0" applyAlignment="1" applyFont="1">
      <alignment horizontal="center" shrinkToFit="0" vertical="bottom" wrapText="0"/>
    </xf>
    <xf borderId="0" fillId="8" fontId="11" numFmtId="0" xfId="0" applyAlignment="1" applyFont="1">
      <alignment horizontal="center" shrinkToFit="0" wrapText="0"/>
    </xf>
    <xf borderId="0" fillId="8" fontId="60" numFmtId="0" xfId="0" applyAlignment="1" applyFont="1">
      <alignment horizontal="center" shrinkToFit="0" wrapText="0"/>
    </xf>
    <xf borderId="4" fillId="7" fontId="11" numFmtId="0" xfId="0" applyAlignment="1" applyBorder="1" applyFont="1">
      <alignment horizontal="left"/>
    </xf>
    <xf borderId="0" fillId="6" fontId="12" numFmtId="168" xfId="0" applyAlignment="1" applyFont="1" applyNumberFormat="1">
      <alignment horizontal="right" readingOrder="0"/>
    </xf>
    <xf borderId="12" fillId="6" fontId="11" numFmtId="164" xfId="0" applyAlignment="1" applyBorder="1" applyFont="1" applyNumberFormat="1">
      <alignment horizontal="right" readingOrder="0" shrinkToFit="0" vertical="bottom" wrapText="0"/>
    </xf>
    <xf borderId="4" fillId="0" fontId="72" numFmtId="0" xfId="0" applyAlignment="1" applyBorder="1" applyFont="1">
      <alignment readingOrder="0"/>
    </xf>
    <xf borderId="9" fillId="8" fontId="73" numFmtId="0" xfId="0" applyAlignment="1" applyBorder="1" applyFont="1">
      <alignment shrinkToFit="0" wrapText="0"/>
    </xf>
    <xf borderId="37" fillId="9" fontId="5" numFmtId="0" xfId="0" applyAlignment="1" applyBorder="1" applyFont="1">
      <alignment shrinkToFit="0" vertical="center" wrapText="1"/>
    </xf>
    <xf borderId="37" fillId="9" fontId="5" numFmtId="0" xfId="0" applyAlignment="1" applyBorder="1" applyFont="1">
      <alignment shrinkToFit="0" wrapText="1"/>
    </xf>
    <xf borderId="37" fillId="9" fontId="5" numFmtId="166" xfId="0" applyAlignment="1" applyBorder="1" applyFont="1" applyNumberFormat="1">
      <alignment shrinkToFit="0" wrapText="1"/>
    </xf>
    <xf borderId="12" fillId="8" fontId="4" numFmtId="0" xfId="0" applyAlignment="1" applyBorder="1" applyFont="1">
      <alignment readingOrder="0" shrinkToFit="0" vertical="bottom" wrapText="0"/>
    </xf>
    <xf borderId="12" fillId="6" fontId="4" numFmtId="0" xfId="0" applyAlignment="1" applyBorder="1" applyFont="1">
      <alignment horizontal="right" readingOrder="0" shrinkToFit="0" vertical="bottom" wrapText="0"/>
    </xf>
    <xf borderId="12" fillId="0" fontId="74" numFmtId="0" xfId="0" applyAlignment="1" applyBorder="1" applyFont="1">
      <alignment readingOrder="0" shrinkToFit="0" vertical="bottom" wrapText="0"/>
    </xf>
    <xf borderId="4" fillId="8" fontId="4" numFmtId="0" xfId="0" applyAlignment="1" applyBorder="1" applyFont="1">
      <alignment shrinkToFit="0" vertical="bottom" wrapText="0"/>
    </xf>
    <xf borderId="9" fillId="9" fontId="5" numFmtId="0" xfId="0" applyAlignment="1" applyBorder="1" applyFont="1">
      <alignment horizontal="right" readingOrder="0" shrinkToFit="0" wrapText="1"/>
    </xf>
    <xf borderId="12" fillId="6" fontId="11" numFmtId="0" xfId="0" applyAlignment="1" applyBorder="1" applyFont="1">
      <alignment horizontal="right" readingOrder="0" shrinkToFit="0" vertical="bottom" wrapText="0"/>
    </xf>
    <xf borderId="9" fillId="9" fontId="5" numFmtId="166" xfId="0" applyAlignment="1" applyBorder="1" applyFont="1" applyNumberFormat="1">
      <alignment horizontal="right" shrinkToFit="0" wrapText="1"/>
    </xf>
    <xf borderId="9" fillId="9" fontId="75" numFmtId="0" xfId="0" applyAlignment="1" applyBorder="1" applyFont="1">
      <alignment readingOrder="0" vertical="center"/>
    </xf>
    <xf borderId="9" fillId="9" fontId="76" numFmtId="0" xfId="0" applyAlignment="1" applyBorder="1" applyFont="1">
      <alignment readingOrder="0" shrinkToFit="0" vertical="center" wrapText="0"/>
    </xf>
    <xf borderId="37" fillId="9" fontId="77" numFmtId="0" xfId="0" applyBorder="1" applyFont="1"/>
    <xf borderId="0" fillId="6" fontId="12" numFmtId="168" xfId="0" applyAlignment="1" applyFont="1" applyNumberFormat="1">
      <alignment horizontal="center" readingOrder="0"/>
    </xf>
    <xf borderId="37" fillId="9" fontId="78" numFmtId="0" xfId="0" applyAlignment="1" applyBorder="1" applyFont="1">
      <alignment shrinkToFit="0" wrapText="0"/>
    </xf>
    <xf borderId="4" fillId="9" fontId="5" numFmtId="0" xfId="0" applyAlignment="1" applyBorder="1" applyFont="1">
      <alignment shrinkToFit="0" wrapText="0"/>
    </xf>
    <xf borderId="4" fillId="8" fontId="11" numFmtId="168" xfId="0" applyAlignment="1" applyBorder="1" applyFont="1" applyNumberFormat="1">
      <alignment horizontal="center" readingOrder="0" vertical="bottom"/>
    </xf>
    <xf borderId="4" fillId="0" fontId="79" numFmtId="0" xfId="0" applyAlignment="1" applyBorder="1" applyFont="1">
      <alignment readingOrder="0" shrinkToFit="0" vertical="bottom" wrapText="0"/>
    </xf>
    <xf borderId="0" fillId="0" fontId="80" numFmtId="0" xfId="0" applyAlignment="1" applyFont="1">
      <alignment readingOrder="0" shrinkToFit="0" vertical="bottom" wrapText="0"/>
    </xf>
    <xf borderId="4" fillId="8" fontId="4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4" fillId="8" fontId="11" numFmtId="164" xfId="0" applyAlignment="1" applyBorder="1" applyFont="1" applyNumberFormat="1">
      <alignment horizontal="center" readingOrder="0" shrinkToFit="0" vertical="bottom" wrapText="0"/>
    </xf>
    <xf borderId="12" fillId="8" fontId="4" numFmtId="0" xfId="0" applyAlignment="1" applyBorder="1" applyFont="1">
      <alignment readingOrder="0"/>
    </xf>
    <xf borderId="12" fillId="6" fontId="4" numFmtId="0" xfId="0" applyAlignment="1" applyBorder="1" applyFont="1">
      <alignment horizontal="right" readingOrder="0" vertical="bottom"/>
    </xf>
    <xf borderId="12" fillId="6" fontId="11" numFmtId="0" xfId="0" applyAlignment="1" applyBorder="1" applyFont="1">
      <alignment horizontal="right" readingOrder="0" vertical="bottom"/>
    </xf>
    <xf borderId="12" fillId="6" fontId="11" numFmtId="164" xfId="0" applyAlignment="1" applyBorder="1" applyFont="1" applyNumberFormat="1">
      <alignment horizontal="right" readingOrder="0" vertical="bottom"/>
    </xf>
    <xf borderId="12" fillId="0" fontId="81" numFmtId="0" xfId="0" applyAlignment="1" applyBorder="1" applyFont="1">
      <alignment readingOrder="0" shrinkToFit="0" vertical="bottom" wrapText="0"/>
    </xf>
    <xf borderId="4" fillId="9" fontId="4" numFmtId="0" xfId="0" applyAlignment="1" applyBorder="1" applyFont="1">
      <alignment shrinkToFit="0" vertical="bottom" wrapText="0"/>
    </xf>
    <xf borderId="12" fillId="8" fontId="82" numFmtId="0" xfId="0" applyAlignment="1" applyBorder="1" applyFont="1">
      <alignment readingOrder="0" shrinkToFit="0" vertical="bottom" wrapText="0"/>
    </xf>
    <xf borderId="4" fillId="8" fontId="11" numFmtId="164" xfId="0" applyAlignment="1" applyBorder="1" applyFont="1" applyNumberFormat="1">
      <alignment horizontal="center" readingOrder="0" vertical="bottom"/>
    </xf>
    <xf borderId="4" fillId="0" fontId="83" numFmtId="0" xfId="0" applyAlignment="1" applyBorder="1" applyFont="1">
      <alignment readingOrder="0" shrinkToFit="0" vertical="bottom" wrapText="0"/>
    </xf>
    <xf borderId="4" fillId="30" fontId="27" numFmtId="0" xfId="0" applyAlignment="1" applyBorder="1" applyFill="1" applyFont="1">
      <alignment horizontal="left" shrinkToFit="0" wrapText="1"/>
    </xf>
    <xf borderId="1" fillId="8" fontId="4" numFmtId="0" xfId="0" applyAlignment="1" applyBorder="1" applyFont="1">
      <alignment readingOrder="0"/>
    </xf>
    <xf borderId="4" fillId="30" fontId="27" numFmtId="0" xfId="0" applyAlignment="1" applyBorder="1" applyFont="1">
      <alignment horizontal="left" shrinkToFit="0" vertical="top" wrapText="1"/>
    </xf>
    <xf borderId="1" fillId="6" fontId="4" numFmtId="0" xfId="0" applyAlignment="1" applyBorder="1" applyFont="1">
      <alignment horizontal="right" readingOrder="0" vertical="bottom"/>
    </xf>
    <xf borderId="0" fillId="0" fontId="84" numFmtId="0" xfId="0" applyAlignment="1" applyFont="1">
      <alignment readingOrder="0" shrinkToFit="0" vertical="bottom" wrapText="0"/>
    </xf>
    <xf borderId="1" fillId="6" fontId="11" numFmtId="164" xfId="0" applyAlignment="1" applyBorder="1" applyFont="1" applyNumberFormat="1">
      <alignment horizontal="right" readingOrder="0" vertical="bottom"/>
    </xf>
    <xf borderId="5" fillId="25" fontId="35" numFmtId="0" xfId="0" applyAlignment="1" applyBorder="1" applyFont="1">
      <alignment horizontal="left" readingOrder="0" shrinkToFit="0" wrapText="1"/>
    </xf>
    <xf borderId="1" fillId="0" fontId="85" numFmtId="0" xfId="0" applyAlignment="1" applyBorder="1" applyFont="1">
      <alignment readingOrder="0" shrinkToFit="0" vertical="bottom" wrapText="0"/>
    </xf>
    <xf borderId="4" fillId="14" fontId="35" numFmtId="0" xfId="0" applyAlignment="1" applyBorder="1" applyFont="1">
      <alignment readingOrder="0" shrinkToFit="0" wrapText="1"/>
    </xf>
    <xf borderId="4" fillId="8" fontId="21" numFmtId="0" xfId="0" applyAlignment="1" applyBorder="1" applyFont="1">
      <alignment horizontal="left" vertical="center"/>
    </xf>
    <xf borderId="4" fillId="6" fontId="6" numFmtId="0" xfId="0" applyAlignment="1" applyBorder="1" applyFont="1">
      <alignment horizontal="right" readingOrder="0" shrinkToFit="0" wrapText="1"/>
    </xf>
    <xf borderId="4" fillId="14" fontId="27" numFmtId="0" xfId="0" applyAlignment="1" applyBorder="1" applyFont="1">
      <alignment shrinkToFit="0" wrapText="1"/>
    </xf>
    <xf borderId="4" fillId="6" fontId="35" numFmtId="164" xfId="0" applyAlignment="1" applyBorder="1" applyFont="1" applyNumberFormat="1">
      <alignment horizontal="right" readingOrder="0"/>
    </xf>
    <xf borderId="4" fillId="6" fontId="11" numFmtId="164" xfId="0" applyAlignment="1" applyBorder="1" applyFont="1" applyNumberFormat="1">
      <alignment horizontal="right" readingOrder="0" vertical="bottom"/>
    </xf>
    <xf borderId="4" fillId="8" fontId="86" numFmtId="0" xfId="0" applyAlignment="1" applyBorder="1" applyFont="1">
      <alignment readingOrder="0"/>
    </xf>
    <xf borderId="4" fillId="31" fontId="11" numFmtId="164" xfId="0" applyAlignment="1" applyBorder="1" applyFill="1" applyFont="1" applyNumberFormat="1">
      <alignment horizontal="center" readingOrder="0" shrinkToFit="0" vertical="bottom" wrapText="0"/>
    </xf>
    <xf borderId="4" fillId="0" fontId="87" numFmtId="0" xfId="0" applyAlignment="1" applyBorder="1" applyFont="1">
      <alignment readingOrder="0" shrinkToFit="0" wrapText="0"/>
    </xf>
    <xf borderId="4" fillId="0" fontId="5" numFmtId="0" xfId="0" applyAlignment="1" applyBorder="1" applyFont="1">
      <alignment shrinkToFit="0" wrapText="1"/>
    </xf>
    <xf borderId="4" fillId="0" fontId="5" numFmtId="166" xfId="0" applyAlignment="1" applyBorder="1" applyFont="1" applyNumberFormat="1">
      <alignment shrinkToFit="0" wrapText="1"/>
    </xf>
    <xf borderId="4" fillId="6" fontId="6" numFmtId="164" xfId="0" applyAlignment="1" applyBorder="1" applyFont="1" applyNumberFormat="1">
      <alignment horizontal="right" readingOrder="0" shrinkToFit="0" wrapText="1"/>
    </xf>
    <xf borderId="4" fillId="0" fontId="88" numFmtId="0" xfId="0" applyBorder="1" applyFont="1"/>
    <xf borderId="4" fillId="0" fontId="89" numFmtId="0" xfId="0" applyAlignment="1" applyBorder="1" applyFont="1">
      <alignment shrinkToFit="0" wrapText="0"/>
    </xf>
    <xf borderId="4" fillId="0" fontId="5" numFmtId="0" xfId="0" applyAlignment="1" applyBorder="1" applyFont="1">
      <alignment shrinkToFit="0" wrapText="0"/>
    </xf>
    <xf borderId="4" fillId="8" fontId="4" numFmtId="0" xfId="0" applyAlignment="1" applyBorder="1" applyFont="1">
      <alignment readingOrder="0"/>
    </xf>
    <xf borderId="4" fillId="6" fontId="4" numFmtId="0" xfId="0" applyAlignment="1" applyBorder="1" applyFont="1">
      <alignment horizontal="right" readingOrder="0" vertical="bottom"/>
    </xf>
    <xf borderId="4" fillId="0" fontId="90" numFmtId="0" xfId="0" applyBorder="1" applyFont="1"/>
    <xf borderId="4" fillId="9" fontId="91" numFmtId="0" xfId="0" applyAlignment="1" applyBorder="1" applyFont="1">
      <alignment readingOrder="0" shrinkToFit="0" vertical="bottom" wrapText="0"/>
    </xf>
    <xf borderId="4" fillId="0" fontId="92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readingOrder="0" shrinkToFit="0" wrapText="1"/>
    </xf>
    <xf borderId="0" fillId="0" fontId="12" numFmtId="166" xfId="0" applyAlignment="1" applyFont="1" applyNumberFormat="1">
      <alignment readingOrder="0"/>
    </xf>
    <xf borderId="4" fillId="8" fontId="4" numFmtId="0" xfId="0" applyAlignment="1" applyBorder="1" applyFont="1">
      <alignment readingOrder="0" vertical="bottom"/>
    </xf>
    <xf borderId="4" fillId="0" fontId="93" numFmtId="0" xfId="0" applyAlignment="1" applyBorder="1" applyFont="1">
      <alignment readingOrder="0"/>
    </xf>
    <xf borderId="4" fillId="0" fontId="4" numFmtId="0" xfId="0" applyAlignment="1" applyBorder="1" applyFont="1">
      <alignment readingOrder="0" shrinkToFit="0" vertical="bottom" wrapText="0"/>
    </xf>
    <xf borderId="4" fillId="0" fontId="94" numFmtId="0" xfId="0" applyAlignment="1" applyBorder="1" applyFont="1">
      <alignment readingOrder="0" shrinkToFit="0" wrapText="0"/>
    </xf>
    <xf borderId="4" fillId="0" fontId="5" numFmtId="0" xfId="0" applyBorder="1" applyFont="1"/>
    <xf borderId="4" fillId="0" fontId="95" numFmtId="0" xfId="0" applyAlignment="1" applyBorder="1" applyFont="1">
      <alignment readingOrder="0" shrinkToFit="0" vertical="bottom" wrapText="0"/>
    </xf>
    <xf borderId="4" fillId="9" fontId="4" numFmtId="0" xfId="0" applyAlignment="1" applyBorder="1" applyFont="1">
      <alignment shrinkToFit="0" vertical="bottom" wrapText="0"/>
    </xf>
    <xf borderId="4" fillId="6" fontId="11" numFmtId="0" xfId="0" applyAlignment="1" applyBorder="1" applyFont="1">
      <alignment horizontal="right" readingOrder="0" vertical="bottom"/>
    </xf>
    <xf borderId="4" fillId="0" fontId="96" numFmtId="0" xfId="0" applyAlignment="1" applyBorder="1" applyFont="1">
      <alignment readingOrder="0" shrinkToFit="0" vertical="bottom" wrapText="0"/>
    </xf>
    <xf borderId="4" fillId="24" fontId="2" numFmtId="0" xfId="0" applyAlignment="1" applyBorder="1" applyFont="1">
      <alignment readingOrder="0"/>
    </xf>
    <xf borderId="4" fillId="24" fontId="5" numFmtId="0" xfId="0" applyBorder="1" applyFont="1"/>
    <xf borderId="4" fillId="24" fontId="5" numFmtId="166" xfId="0" applyBorder="1" applyFont="1" applyNumberFormat="1"/>
    <xf borderId="4" fillId="0" fontId="5" numFmtId="0" xfId="0" applyBorder="1" applyFont="1"/>
    <xf borderId="0" fillId="0" fontId="97" numFmtId="0" xfId="0" applyAlignment="1" applyFont="1">
      <alignment readingOrder="0" shrinkToFit="0" vertical="bottom" wrapText="0"/>
    </xf>
    <xf borderId="4" fillId="0" fontId="98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shrinkToFit="0" vertical="bottom" wrapText="0"/>
    </xf>
    <xf borderId="4" fillId="0" fontId="99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6" fontId="100" numFmtId="164" xfId="0" applyAlignment="1" applyFont="1" applyNumberFormat="1">
      <alignment horizontal="right" readingOrder="0" shrinkToFit="0" vertical="bottom" wrapText="0"/>
    </xf>
    <xf borderId="1" fillId="7" fontId="2" numFmtId="0" xfId="0" applyAlignment="1" applyBorder="1" applyFont="1">
      <alignment horizontal="center"/>
    </xf>
    <xf borderId="4" fillId="0" fontId="101" numFmtId="0" xfId="0" applyAlignment="1" applyBorder="1" applyFont="1">
      <alignment shrinkToFit="0" vertical="bottom" wrapText="0"/>
    </xf>
    <xf borderId="9" fillId="9" fontId="6" numFmtId="0" xfId="0" applyAlignment="1" applyBorder="1" applyFont="1">
      <alignment shrinkToFit="0" wrapText="1"/>
    </xf>
    <xf borderId="4" fillId="4" fontId="2" numFmtId="0" xfId="0" applyAlignment="1" applyBorder="1" applyFont="1">
      <alignment horizontal="center" shrinkToFit="0" vertical="center" wrapText="1"/>
    </xf>
    <xf borderId="4" fillId="4" fontId="2" numFmtId="0" xfId="0" applyAlignment="1" applyBorder="1" applyFont="1">
      <alignment horizontal="center" vertical="center"/>
    </xf>
    <xf borderId="0" fillId="8" fontId="3" numFmtId="0" xfId="0" applyAlignment="1" applyFont="1">
      <alignment readingOrder="0" shrinkToFit="0" vertical="bottom" wrapText="0"/>
    </xf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0" fontId="102" numFmtId="0" xfId="0" applyAlignment="1" applyBorder="1" applyFont="1">
      <alignment readingOrder="0" shrinkToFit="0" vertical="bottom" wrapText="0"/>
    </xf>
    <xf borderId="9" fillId="9" fontId="103" numFmtId="0" xfId="0" applyAlignment="1" applyBorder="1" applyFont="1">
      <alignment shrinkToFit="0" vertical="center" wrapText="0"/>
    </xf>
    <xf borderId="9" fillId="8" fontId="21" numFmtId="0" xfId="0" applyAlignment="1" applyBorder="1" applyFont="1">
      <alignment horizontal="left" vertical="center"/>
    </xf>
    <xf borderId="9" fillId="8" fontId="6" numFmtId="0" xfId="0" applyAlignment="1" applyBorder="1" applyFont="1">
      <alignment horizontal="center" readingOrder="0" shrinkToFit="0" wrapText="1"/>
    </xf>
    <xf borderId="5" fillId="0" fontId="5" numFmtId="0" xfId="0" applyAlignment="1" applyBorder="1" applyFont="1">
      <alignment horizontal="center" vertical="center"/>
    </xf>
    <xf borderId="9" fillId="9" fontId="35" numFmtId="164" xfId="0" applyAlignment="1" applyBorder="1" applyFont="1" applyNumberFormat="1">
      <alignment horizontal="center"/>
    </xf>
    <xf borderId="4" fillId="8" fontId="11" numFmtId="164" xfId="0" applyAlignment="1" applyBorder="1" applyFont="1" applyNumberFormat="1">
      <alignment horizontal="center" readingOrder="0" vertical="bottom"/>
    </xf>
    <xf borderId="9" fillId="8" fontId="6" numFmtId="0" xfId="0" applyBorder="1" applyFont="1"/>
    <xf borderId="12" fillId="0" fontId="104" numFmtId="0" xfId="0" applyAlignment="1" applyBorder="1" applyFont="1">
      <alignment shrinkToFit="0" wrapText="0"/>
    </xf>
    <xf borderId="31" fillId="8" fontId="6" numFmtId="0" xfId="0" applyAlignment="1" applyBorder="1" applyFont="1">
      <alignment shrinkToFit="0" wrapText="0"/>
    </xf>
    <xf borderId="4" fillId="9" fontId="11" numFmtId="164" xfId="0" applyAlignment="1" applyBorder="1" applyFont="1" applyNumberFormat="1">
      <alignment horizontal="center" readingOrder="0" shrinkToFit="0" vertical="bottom" wrapText="0"/>
    </xf>
    <xf borderId="4" fillId="0" fontId="105" numFmtId="0" xfId="0" applyAlignment="1" applyBorder="1" applyFont="1">
      <alignment readingOrder="0" shrinkToFit="0" vertical="bottom" wrapText="0"/>
    </xf>
    <xf borderId="0" fillId="0" fontId="106" numFmtId="0" xfId="0" applyAlignment="1" applyFont="1">
      <alignment readingOrder="0" shrinkToFit="0" vertical="bottom" wrapText="0"/>
    </xf>
    <xf borderId="8" fillId="6" fontId="4" numFmtId="0" xfId="0" applyAlignment="1" applyBorder="1" applyFont="1">
      <alignment horizontal="right" readingOrder="0" vertical="bottom"/>
    </xf>
    <xf borderId="4" fillId="0" fontId="107" numFmtId="0" xfId="0" applyAlignment="1" applyBorder="1" applyFont="1">
      <alignment readingOrder="0" shrinkToFit="0" vertical="bottom" wrapText="0"/>
    </xf>
    <xf borderId="38" fillId="6" fontId="4" numFmtId="0" xfId="0" applyAlignment="1" applyBorder="1" applyFont="1">
      <alignment horizontal="right" readingOrder="0" vertical="bottom"/>
    </xf>
    <xf borderId="0" fillId="0" fontId="108" numFmtId="0" xfId="0" applyAlignment="1" applyFont="1">
      <alignment readingOrder="0" shrinkToFit="0" vertical="bottom" wrapText="0"/>
    </xf>
    <xf borderId="7" fillId="4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0" fillId="8" fontId="3" numFmtId="0" xfId="0" applyAlignment="1" applyFont="1">
      <alignment readingOrder="0" vertical="bottom"/>
    </xf>
    <xf borderId="4" fillId="4" fontId="5" numFmtId="0" xfId="0" applyAlignment="1" applyBorder="1" applyFont="1">
      <alignment horizontal="center" shrinkToFit="0" vertical="center" wrapText="1"/>
    </xf>
    <xf borderId="12" fillId="9" fontId="109" numFmtId="0" xfId="0" applyAlignment="1" applyBorder="1" applyFont="1">
      <alignment readingOrder="0" shrinkToFit="0" wrapText="0"/>
    </xf>
    <xf borderId="12" fillId="9" fontId="110" numFmtId="0" xfId="0" applyAlignment="1" applyBorder="1" applyFont="1">
      <alignment horizontal="right" readingOrder="0" shrinkToFit="0" vertical="bottom" wrapText="0"/>
    </xf>
    <xf borderId="12" fillId="0" fontId="111" numFmtId="0" xfId="0" applyAlignment="1" applyBorder="1" applyFont="1">
      <alignment readingOrder="0" shrinkToFit="0" vertical="bottom" wrapText="0"/>
    </xf>
    <xf borderId="4" fillId="32" fontId="27" numFmtId="0" xfId="0" applyAlignment="1" applyBorder="1" applyFill="1" applyFont="1">
      <alignment horizontal="left" shrinkToFit="0" vertical="top" wrapText="1"/>
    </xf>
    <xf borderId="5" fillId="25" fontId="35" numFmtId="0" xfId="0" applyAlignment="1" applyBorder="1" applyFont="1">
      <alignment horizontal="left" readingOrder="0" shrinkToFit="0" vertical="top" wrapText="1"/>
    </xf>
    <xf borderId="4" fillId="6" fontId="4" numFmtId="0" xfId="0" applyAlignment="1" applyBorder="1" applyFont="1">
      <alignment vertical="bottom"/>
    </xf>
    <xf borderId="4" fillId="6" fontId="4" numFmtId="0" xfId="0" applyAlignment="1" applyBorder="1" applyFont="1">
      <alignment horizontal="right" vertical="bottom"/>
    </xf>
    <xf borderId="4" fillId="6" fontId="4" numFmtId="164" xfId="0" applyAlignment="1" applyBorder="1" applyFont="1" applyNumberFormat="1">
      <alignment horizontal="right" readingOrder="0" vertical="bottom"/>
    </xf>
    <xf borderId="4" fillId="27" fontId="27" numFmtId="0" xfId="0" applyAlignment="1" applyBorder="1" applyFont="1">
      <alignment shrinkToFit="0" wrapText="1"/>
    </xf>
    <xf borderId="1" fillId="27" fontId="35" numFmtId="0" xfId="0" applyAlignment="1" applyBorder="1" applyFont="1">
      <alignment horizontal="center" readingOrder="0" shrinkToFit="0" wrapText="1"/>
    </xf>
    <xf borderId="4" fillId="0" fontId="112" numFmtId="0" xfId="0" applyAlignment="1" applyBorder="1" applyFont="1">
      <alignment readingOrder="0" shrinkToFit="0" vertical="bottom" wrapText="0"/>
    </xf>
    <xf borderId="4" fillId="0" fontId="113" numFmtId="0" xfId="0" applyAlignment="1" applyBorder="1" applyFont="1">
      <alignment readingOrder="0" shrinkToFit="0" vertical="bottom" wrapText="0"/>
    </xf>
    <xf borderId="4" fillId="24" fontId="5" numFmtId="164" xfId="0" applyBorder="1" applyFont="1" applyNumberFormat="1"/>
    <xf borderId="4" fillId="4" fontId="5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vertical="bottom"/>
    </xf>
    <xf borderId="4" fillId="13" fontId="27" numFmtId="0" xfId="0" applyAlignment="1" applyBorder="1" applyFont="1">
      <alignment horizontal="left" shrinkToFit="0" vertical="top" wrapText="1"/>
    </xf>
    <xf borderId="4" fillId="0" fontId="2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readingOrder="0" shrinkToFit="0" vertical="bottom" wrapText="0"/>
    </xf>
    <xf borderId="0" fillId="8" fontId="3" numFmtId="9" xfId="0" applyAlignment="1" applyFont="1" applyNumberFormat="1">
      <alignment horizontal="right" readingOrder="0" shrinkToFit="0" vertical="bottom" wrapText="0"/>
    </xf>
    <xf borderId="0" fillId="8" fontId="3" numFmtId="9" xfId="0" applyAlignment="1" applyFont="1" applyNumberFormat="1">
      <alignment horizontal="right" readingOrder="0" shrinkToFit="0" vertical="bottom" wrapText="0"/>
    </xf>
    <xf borderId="0" fillId="8" fontId="3" numFmtId="0" xfId="0" applyAlignment="1" applyFont="1">
      <alignment horizontal="right" readingOrder="0" shrinkToFit="0" vertical="bottom" wrapText="0"/>
    </xf>
    <xf borderId="4" fillId="7" fontId="23" numFmtId="0" xfId="0" applyAlignment="1" applyBorder="1" applyFont="1">
      <alignment horizontal="center" readingOrder="0"/>
    </xf>
    <xf borderId="4" fillId="7" fontId="23" numFmtId="0" xfId="0" applyAlignment="1" applyBorder="1" applyFont="1">
      <alignment horizontal="right" readingOrder="0"/>
    </xf>
    <xf borderId="4" fillId="7" fontId="23" numFmtId="0" xfId="0" applyAlignment="1" applyBorder="1" applyFont="1">
      <alignment horizontal="center" readingOrder="0" shrinkToFit="0" wrapText="1"/>
    </xf>
    <xf borderId="4" fillId="7" fontId="23" numFmtId="0" xfId="0" applyAlignment="1" applyBorder="1" applyFont="1">
      <alignment horizontal="right" readingOrder="0" shrinkToFit="0" wrapText="1"/>
    </xf>
    <xf borderId="4" fillId="7" fontId="2" numFmtId="0" xfId="0" applyAlignment="1" applyBorder="1" applyFont="1">
      <alignment horizontal="center" vertical="center"/>
    </xf>
    <xf borderId="0" fillId="0" fontId="114" numFmtId="0" xfId="0" applyAlignment="1" applyFont="1">
      <alignment readingOrder="0" shrinkToFit="0" vertical="bottom" wrapText="0"/>
    </xf>
    <xf borderId="4" fillId="7" fontId="2" numFmtId="0" xfId="0" applyAlignment="1" applyBorder="1" applyFont="1">
      <alignment horizontal="center" shrinkToFit="0" vertical="center" wrapText="1"/>
    </xf>
    <xf borderId="1" fillId="7" fontId="23" numFmtId="0" xfId="0" applyAlignment="1" applyBorder="1" applyFont="1">
      <alignment horizontal="right" readingOrder="0" shrinkToFit="0" wrapText="1"/>
    </xf>
    <xf borderId="0" fillId="0" fontId="3" numFmtId="9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1" fillId="7" fontId="2" numFmtId="0" xfId="0" applyAlignment="1" applyBorder="1" applyFont="1">
      <alignment horizontal="center" vertical="center"/>
    </xf>
    <xf borderId="4" fillId="7" fontId="115" numFmtId="0" xfId="0" applyAlignment="1" applyBorder="1" applyFont="1">
      <alignment horizontal="center" vertical="center"/>
    </xf>
    <xf borderId="4" fillId="4" fontId="116" numFmtId="0" xfId="0" applyAlignment="1" applyBorder="1" applyFont="1">
      <alignment readingOrder="0"/>
    </xf>
    <xf borderId="3" fillId="7" fontId="2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right" readingOrder="0"/>
    </xf>
    <xf borderId="4" fillId="4" fontId="117" numFmtId="0" xfId="0" applyAlignment="1" applyBorder="1" applyFont="1">
      <alignment readingOrder="0" shrinkToFit="0" wrapText="1"/>
    </xf>
    <xf borderId="4" fillId="0" fontId="12" numFmtId="0" xfId="0" applyAlignment="1" applyBorder="1" applyFont="1">
      <alignment horizontal="right" readingOrder="0" shrinkToFit="0" wrapText="1"/>
    </xf>
    <xf borderId="4" fillId="0" fontId="12" numFmtId="0" xfId="0" applyAlignment="1" applyBorder="1" applyFont="1">
      <alignment readingOrder="0" shrinkToFit="0" wrapText="1"/>
    </xf>
    <xf borderId="1" fillId="0" fontId="12" numFmtId="0" xfId="0" applyAlignment="1" applyBorder="1" applyFont="1">
      <alignment horizontal="right" readingOrder="0" shrinkToFit="0" wrapText="1"/>
    </xf>
    <xf borderId="3" fillId="7" fontId="2" numFmtId="0" xfId="0" applyAlignment="1" applyBorder="1" applyFont="1">
      <alignment horizontal="center" shrinkToFit="0" vertical="center" wrapText="1"/>
    </xf>
    <xf borderId="4" fillId="6" fontId="5" numFmtId="0" xfId="0" applyBorder="1" applyFont="1"/>
    <xf borderId="37" fillId="6" fontId="5" numFmtId="0" xfId="0" applyBorder="1" applyFont="1"/>
    <xf borderId="4" fillId="6" fontId="14" numFmtId="0" xfId="0" applyBorder="1" applyFont="1"/>
    <xf borderId="39" fillId="6" fontId="5" numFmtId="0" xfId="0" applyBorder="1" applyFont="1"/>
    <xf borderId="4" fillId="6" fontId="5" numFmtId="0" xfId="0" applyAlignment="1" applyBorder="1" applyFont="1">
      <alignment horizontal="right"/>
    </xf>
    <xf borderId="4" fillId="6" fontId="14" numFmtId="0" xfId="0" applyAlignment="1" applyBorder="1" applyFont="1">
      <alignment horizontal="right"/>
    </xf>
    <xf borderId="4" fillId="0" fontId="12" numFmtId="0" xfId="0" applyAlignment="1" applyBorder="1" applyFont="1">
      <alignment horizontal="right" readingOrder="0" shrinkToFit="0" vertical="center" wrapText="1"/>
    </xf>
    <xf borderId="39" fillId="6" fontId="5" numFmtId="9" xfId="0" applyBorder="1" applyFont="1" applyNumberFormat="1"/>
    <xf borderId="4" fillId="6" fontId="5" numFmtId="9" xfId="0" applyBorder="1" applyFont="1" applyNumberFormat="1"/>
    <xf borderId="37" fillId="6" fontId="5" numFmtId="9" xfId="0" applyBorder="1" applyFont="1" applyNumberFormat="1"/>
    <xf borderId="4" fillId="6" fontId="14" numFmtId="9" xfId="0" applyBorder="1" applyFont="1" applyNumberFormat="1"/>
    <xf borderId="1" fillId="0" fontId="27" numFmtId="0" xfId="0" applyAlignment="1" applyBorder="1" applyFont="1">
      <alignment shrinkToFit="0" wrapText="1"/>
    </xf>
    <xf borderId="4" fillId="0" fontId="5" numFmtId="0" xfId="0" applyAlignment="1" applyBorder="1" applyFont="1">
      <alignment horizontal="right"/>
    </xf>
    <xf borderId="1" fillId="0" fontId="5" numFmtId="0" xfId="0" applyBorder="1" applyFont="1"/>
    <xf borderId="4" fillId="0" fontId="14" numFmtId="0" xfId="0" applyBorder="1" applyFont="1"/>
    <xf borderId="3" fillId="0" fontId="5" numFmtId="0" xfId="0" applyBorder="1" applyFont="1"/>
    <xf borderId="3" fillId="0" fontId="5" numFmtId="9" xfId="0" applyBorder="1" applyFont="1" applyNumberFormat="1"/>
    <xf borderId="4" fillId="0" fontId="5" numFmtId="9" xfId="0" applyBorder="1" applyFont="1" applyNumberFormat="1"/>
    <xf borderId="1" fillId="0" fontId="5" numFmtId="9" xfId="0" applyBorder="1" applyFont="1" applyNumberFormat="1"/>
    <xf borderId="4" fillId="0" fontId="118" numFmtId="0" xfId="0" applyAlignment="1" applyBorder="1" applyFont="1">
      <alignment readingOrder="0" vertical="center"/>
    </xf>
    <xf borderId="4" fillId="0" fontId="118" numFmtId="0" xfId="0" applyAlignment="1" applyBorder="1" applyFont="1">
      <alignment readingOrder="0"/>
    </xf>
    <xf borderId="4" fillId="26" fontId="30" numFmtId="0" xfId="0" applyBorder="1" applyFont="1"/>
    <xf borderId="17" fillId="8" fontId="11" numFmtId="0" xfId="0" applyAlignment="1" applyBorder="1" applyFont="1">
      <alignment readingOrder="0" shrinkToFit="0" vertical="bottom" wrapText="0"/>
    </xf>
    <xf borderId="0" fillId="8" fontId="11" numFmtId="0" xfId="0" applyAlignment="1" applyFont="1">
      <alignment shrinkToFit="0" vertical="bottom" wrapText="0"/>
    </xf>
    <xf borderId="25" fillId="8" fontId="11" numFmtId="0" xfId="0" applyAlignment="1" applyBorder="1" applyFont="1">
      <alignment shrinkToFit="0" vertical="bottom" wrapText="0"/>
    </xf>
    <xf borderId="6" fillId="8" fontId="11" numFmtId="0" xfId="0" applyAlignment="1" applyBorder="1" applyFont="1">
      <alignment readingOrder="0" shrinkToFit="0" vertical="bottom" wrapText="0"/>
    </xf>
    <xf borderId="38" fillId="8" fontId="11" numFmtId="0" xfId="0" applyAlignment="1" applyBorder="1" applyFont="1">
      <alignment horizontal="center" readingOrder="0" shrinkToFit="0" vertical="bottom" wrapText="0"/>
    </xf>
    <xf borderId="38" fillId="8" fontId="11" numFmtId="164" xfId="0" applyAlignment="1" applyBorder="1" applyFont="1" applyNumberFormat="1">
      <alignment horizontal="center" readingOrder="0" shrinkToFit="0" vertical="bottom" wrapText="0"/>
    </xf>
    <xf borderId="5" fillId="0" fontId="119" numFmtId="0" xfId="0" applyAlignment="1" applyBorder="1" applyFont="1">
      <alignment readingOrder="0" shrinkToFit="0" vertical="bottom" wrapText="0"/>
    </xf>
    <xf borderId="38" fillId="8" fontId="4" numFmtId="0" xfId="0" applyAlignment="1" applyBorder="1" applyFont="1">
      <alignment shrinkToFit="0" vertical="bottom" wrapText="0"/>
    </xf>
    <xf borderId="4" fillId="0" fontId="14" numFmtId="0" xfId="0" applyAlignment="1" applyBorder="1" applyFont="1">
      <alignment horizontal="right"/>
    </xf>
    <xf borderId="4" fillId="9" fontId="11" numFmtId="0" xfId="0" applyAlignment="1" applyBorder="1" applyFont="1">
      <alignment horizontal="center" readingOrder="0" vertical="bottom"/>
    </xf>
    <xf borderId="4" fillId="9" fontId="11" numFmtId="164" xfId="0" applyAlignment="1" applyBorder="1" applyFont="1" applyNumberFormat="1">
      <alignment horizontal="center" readingOrder="0" vertical="bottom"/>
    </xf>
    <xf borderId="4" fillId="0" fontId="120" numFmtId="0" xfId="0" applyAlignment="1" applyBorder="1" applyFont="1">
      <alignment readingOrder="0" vertical="bottom"/>
    </xf>
    <xf borderId="4" fillId="9" fontId="121" numFmtId="0" xfId="0" applyAlignment="1" applyBorder="1" applyFont="1">
      <alignment readingOrder="0" shrinkToFit="0" wrapText="0"/>
    </xf>
    <xf borderId="4" fillId="9" fontId="122" numFmtId="0" xfId="0" applyAlignment="1" applyBorder="1" applyFont="1">
      <alignment readingOrder="0" vertical="bottom"/>
    </xf>
    <xf borderId="4" fillId="33" fontId="27" numFmtId="0" xfId="0" applyAlignment="1" applyBorder="1" applyFill="1" applyFont="1">
      <alignment horizontal="left" shrinkToFit="0" vertical="top" wrapText="1"/>
    </xf>
    <xf borderId="7" fillId="8" fontId="11" numFmtId="0" xfId="0" applyAlignment="1" applyBorder="1" applyFont="1">
      <alignment readingOrder="0" shrinkToFit="0" vertical="bottom" wrapText="0"/>
    </xf>
    <xf borderId="8" fillId="8" fontId="11" numFmtId="0" xfId="0" applyAlignment="1" applyBorder="1" applyFont="1">
      <alignment horizontal="center" readingOrder="0" shrinkToFit="0" vertical="bottom" wrapText="0"/>
    </xf>
    <xf borderId="8" fillId="8" fontId="11" numFmtId="164" xfId="0" applyAlignment="1" applyBorder="1" applyFont="1" applyNumberFormat="1">
      <alignment horizontal="center" readingOrder="0" shrinkToFit="0" vertical="bottom" wrapText="0"/>
    </xf>
    <xf borderId="7" fillId="0" fontId="123" numFmtId="0" xfId="0" applyAlignment="1" applyBorder="1" applyFont="1">
      <alignment readingOrder="0" shrinkToFit="0" vertical="bottom" wrapText="0"/>
    </xf>
    <xf borderId="8" fillId="0" fontId="124" numFmtId="0" xfId="0" applyAlignment="1" applyBorder="1" applyFont="1">
      <alignment readingOrder="0" shrinkToFit="0" vertical="bottom" wrapText="0"/>
    </xf>
    <xf borderId="8" fillId="8" fontId="4" numFmtId="0" xfId="0" applyAlignment="1" applyBorder="1" applyFont="1">
      <alignment shrinkToFit="0" vertical="bottom" wrapText="0"/>
    </xf>
    <xf borderId="6" fillId="9" fontId="11" numFmtId="0" xfId="0" applyAlignment="1" applyBorder="1" applyFont="1">
      <alignment readingOrder="0" shrinkToFit="0" vertical="bottom" wrapText="0"/>
    </xf>
    <xf borderId="8" fillId="9" fontId="11" numFmtId="0" xfId="0" applyAlignment="1" applyBorder="1" applyFont="1">
      <alignment horizontal="center" readingOrder="0" shrinkToFit="0" vertical="bottom" wrapText="0"/>
    </xf>
    <xf borderId="4" fillId="9" fontId="11" numFmtId="164" xfId="0" applyAlignment="1" applyBorder="1" applyFont="1" applyNumberFormat="1">
      <alignment horizontal="center" readingOrder="0" shrinkToFit="0" vertical="bottom" wrapText="0"/>
    </xf>
    <xf borderId="35" fillId="0" fontId="125" numFmtId="0" xfId="0" applyAlignment="1" applyBorder="1" applyFont="1">
      <alignment readingOrder="0" shrinkToFit="0" vertical="bottom" wrapText="0"/>
    </xf>
    <xf borderId="16" fillId="0" fontId="126" numFmtId="0" xfId="0" applyAlignment="1" applyBorder="1" applyFont="1">
      <alignment readingOrder="0" shrinkToFit="0" vertical="bottom" wrapText="0"/>
    </xf>
    <xf borderId="0" fillId="34" fontId="9" numFmtId="0" xfId="0" applyAlignment="1" applyFill="1" applyFont="1">
      <alignment horizontal="center" readingOrder="0" shrinkToFit="0" wrapText="0"/>
    </xf>
    <xf borderId="40" fillId="0" fontId="8" numFmtId="0" xfId="0" applyBorder="1" applyFont="1"/>
    <xf borderId="0" fillId="0" fontId="11" numFmtId="0" xfId="0" applyAlignment="1" applyFont="1">
      <alignment shrinkToFit="0" vertical="bottom" wrapText="0"/>
    </xf>
    <xf borderId="4" fillId="16" fontId="127" numFmtId="0" xfId="0" applyAlignment="1" applyBorder="1" applyFont="1">
      <alignment readingOrder="0" shrinkToFit="0" vertical="bottom" wrapText="0"/>
    </xf>
    <xf borderId="41" fillId="0" fontId="8" numFmtId="0" xfId="0" applyBorder="1" applyFont="1"/>
    <xf borderId="20" fillId="0" fontId="8" numFmtId="0" xfId="0" applyBorder="1" applyFont="1"/>
    <xf borderId="4" fillId="0" fontId="128" numFmtId="0" xfId="0" applyAlignment="1" applyBorder="1" applyFont="1">
      <alignment readingOrder="0" shrinkToFit="0" vertical="bottom" wrapText="0"/>
    </xf>
    <xf borderId="4" fillId="0" fontId="127" numFmtId="0" xfId="0" applyAlignment="1" applyBorder="1" applyFont="1">
      <alignment horizontal="right" readingOrder="0" shrinkToFit="0" vertical="bottom" wrapText="0"/>
    </xf>
    <xf borderId="4" fillId="0" fontId="127" numFmtId="0" xfId="0" applyAlignment="1" applyBorder="1" applyFont="1">
      <alignment readingOrder="0" shrinkToFit="0" vertical="bottom" wrapText="0"/>
    </xf>
    <xf borderId="1" fillId="16" fontId="129" numFmtId="0" xfId="0" applyAlignment="1" applyBorder="1" applyFont="1">
      <alignment horizontal="center" readingOrder="0" shrinkToFit="0" vertical="bottom" wrapText="0"/>
    </xf>
    <xf borderId="1" fillId="16" fontId="129" numFmtId="0" xfId="0" applyAlignment="1" applyBorder="1" applyFont="1">
      <alignment readingOrder="0" shrinkToFit="0" vertical="bottom" wrapText="0"/>
    </xf>
    <xf borderId="0" fillId="8" fontId="130" numFmtId="0" xfId="0" applyAlignment="1" applyFont="1">
      <alignment shrinkToFit="0" vertical="bottom" wrapText="0"/>
    </xf>
    <xf borderId="0" fillId="8" fontId="129" numFmtId="0" xfId="0" applyAlignment="1" applyFont="1">
      <alignment horizontal="center" shrinkToFit="0" vertical="bottom" wrapText="0"/>
    </xf>
    <xf borderId="14" fillId="8" fontId="11" numFmtId="0" xfId="0" applyAlignment="1" applyBorder="1" applyFont="1">
      <alignment readingOrder="0" shrinkToFit="0" vertical="bottom" wrapText="0"/>
    </xf>
    <xf borderId="1" fillId="0" fontId="130" numFmtId="0" xfId="0" applyAlignment="1" applyBorder="1" applyFont="1">
      <alignment readingOrder="0" shrinkToFit="0" vertical="bottom" wrapText="0"/>
    </xf>
    <xf borderId="1" fillId="0" fontId="129" numFmtId="0" xfId="0" applyAlignment="1" applyBorder="1" applyFont="1">
      <alignment readingOrder="0" shrinkToFit="0" vertical="bottom" wrapText="0"/>
    </xf>
    <xf borderId="0" fillId="8" fontId="11" numFmtId="0" xfId="0" applyAlignment="1" applyFont="1">
      <alignment shrinkToFit="0" vertical="bottom" wrapText="0"/>
    </xf>
    <xf borderId="1" fillId="35" fontId="131" numFmtId="0" xfId="0" applyAlignment="1" applyBorder="1" applyFill="1" applyFont="1">
      <alignment horizontal="center" readingOrder="0"/>
    </xf>
    <xf borderId="35" fillId="0" fontId="132" numFmtId="0" xfId="0" applyAlignment="1" applyBorder="1" applyFont="1">
      <alignment readingOrder="0" shrinkToFit="0" vertical="bottom" wrapText="0"/>
    </xf>
    <xf borderId="1" fillId="0" fontId="23" numFmtId="0" xfId="0" applyAlignment="1" applyBorder="1" applyFont="1">
      <alignment readingOrder="0"/>
    </xf>
    <xf borderId="16" fillId="0" fontId="133" numFmtId="0" xfId="0" applyAlignment="1" applyBorder="1" applyFont="1">
      <alignment readingOrder="0" shrinkToFit="0" vertical="bottom" wrapText="0"/>
    </xf>
    <xf borderId="4" fillId="9" fontId="11" numFmtId="0" xfId="0" applyAlignment="1" applyBorder="1" applyFont="1">
      <alignment readingOrder="0" shrinkToFit="0" vertical="bottom" wrapText="0"/>
    </xf>
    <xf borderId="4" fillId="36" fontId="134" numFmtId="0" xfId="0" applyAlignment="1" applyBorder="1" applyFill="1" applyFont="1">
      <alignment horizontal="center" readingOrder="0"/>
    </xf>
    <xf borderId="0" fillId="0" fontId="135" numFmtId="0" xfId="0" applyAlignment="1" applyFont="1">
      <alignment shrinkToFit="0" vertical="bottom" wrapText="0"/>
    </xf>
    <xf borderId="4" fillId="0" fontId="23" numFmtId="0" xfId="0" applyAlignment="1" applyBorder="1" applyFont="1">
      <alignment readingOrder="0"/>
    </xf>
    <xf borderId="4" fillId="0" fontId="109" numFmtId="0" xfId="0" applyAlignment="1" applyBorder="1" applyFont="1">
      <alignment horizontal="center" readingOrder="0"/>
    </xf>
    <xf borderId="4" fillId="36" fontId="115" numFmtId="0" xfId="0" applyAlignment="1" applyBorder="1" applyFont="1">
      <alignment readingOrder="0" shrinkToFit="0" vertical="bottom" wrapText="0"/>
    </xf>
    <xf borderId="4" fillId="36" fontId="4" numFmtId="0" xfId="0" applyAlignment="1" applyBorder="1" applyFont="1">
      <alignment horizontal="right" readingOrder="0" shrinkToFit="0" vertical="bottom" wrapText="0"/>
    </xf>
    <xf borderId="4" fillId="36" fontId="4" numFmtId="0" xfId="0" applyAlignment="1" applyBorder="1" applyFont="1">
      <alignment shrinkToFit="0" vertical="bottom" wrapText="0"/>
    </xf>
    <xf borderId="4" fillId="36" fontId="115" numFmtId="168" xfId="0" applyAlignment="1" applyBorder="1" applyFont="1" applyNumberFormat="1">
      <alignment horizontal="right" readingOrder="0" shrinkToFit="0" vertical="bottom" wrapText="0"/>
    </xf>
    <xf borderId="4" fillId="0" fontId="4" numFmtId="0" xfId="0" applyAlignment="1" applyBorder="1" applyFont="1">
      <alignment shrinkToFit="0" vertical="bottom" wrapText="0"/>
    </xf>
    <xf borderId="4" fillId="37" fontId="109" numFmtId="0" xfId="0" applyAlignment="1" applyBorder="1" applyFill="1" applyFont="1">
      <alignment horizontal="center" readingOrder="0"/>
    </xf>
    <xf borderId="4" fillId="37" fontId="109" numFmtId="0" xfId="0" applyAlignment="1" applyBorder="1" applyFont="1">
      <alignment horizontal="center"/>
    </xf>
    <xf borderId="4" fillId="0" fontId="12" numFmtId="0" xfId="0" applyAlignment="1" applyBorder="1" applyFont="1">
      <alignment horizontal="center" readingOrder="0" shrinkToFit="0" vertical="center" wrapText="0"/>
    </xf>
    <xf borderId="4" fillId="24" fontId="5" numFmtId="168" xfId="0" applyBorder="1" applyFont="1" applyNumberFormat="1"/>
    <xf borderId="0" fillId="8" fontId="9" numFmtId="0" xfId="0" applyAlignment="1" applyFont="1">
      <alignment horizontal="center" shrinkToFit="0" vertical="bottom" wrapText="0"/>
    </xf>
    <xf borderId="4" fillId="7" fontId="136" numFmtId="0" xfId="0" applyAlignment="1" applyBorder="1" applyFont="1">
      <alignment horizontal="center" readingOrder="0" shrinkToFit="0" vertical="center" wrapText="0"/>
    </xf>
    <xf borderId="4" fillId="38" fontId="137" numFmtId="0" xfId="0" applyAlignment="1" applyBorder="1" applyFill="1" applyFont="1">
      <alignment horizontal="center" readingOrder="0" shrinkToFit="0" vertical="center" wrapText="0"/>
    </xf>
    <xf borderId="4" fillId="8" fontId="138" numFmtId="164" xfId="0" applyAlignment="1" applyBorder="1" applyFont="1" applyNumberFormat="1">
      <alignment horizontal="center" readingOrder="0" shrinkToFit="0" vertical="center" wrapText="0"/>
    </xf>
    <xf borderId="0" fillId="8" fontId="9" numFmtId="0" xfId="0" applyAlignment="1" applyFont="1">
      <alignment horizontal="center" shrinkToFit="0" vertical="bottom" wrapText="0"/>
    </xf>
    <xf borderId="0" fillId="8" fontId="11" numFmtId="0" xfId="0" applyAlignment="1" applyFont="1">
      <alignment shrinkToFit="0" vertical="bottom" wrapText="0"/>
    </xf>
    <xf borderId="1" fillId="39" fontId="130" numFmtId="0" xfId="0" applyAlignment="1" applyBorder="1" applyFill="1" applyFont="1">
      <alignment readingOrder="0" shrinkToFit="0" vertical="bottom" wrapText="0"/>
    </xf>
    <xf borderId="4" fillId="0" fontId="139" numFmtId="0" xfId="0" applyAlignment="1" applyBorder="1" applyFont="1">
      <alignment horizontal="center" readingOrder="0" shrinkToFit="0" vertical="center" wrapText="0"/>
    </xf>
    <xf borderId="1" fillId="39" fontId="129" numFmtId="0" xfId="0" applyAlignment="1" applyBorder="1" applyFont="1">
      <alignment readingOrder="0" shrinkToFit="0" vertical="bottom" wrapText="0"/>
    </xf>
    <xf borderId="4" fillId="8" fontId="138" numFmtId="0" xfId="0" applyAlignment="1" applyBorder="1" applyFont="1">
      <alignment horizontal="center" readingOrder="0" shrinkToFit="0" vertical="center" wrapText="0"/>
    </xf>
    <xf borderId="0" fillId="8" fontId="129" numFmtId="0" xfId="0" applyAlignment="1" applyFon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4" fillId="15" fontId="127" numFmtId="0" xfId="0" applyAlignment="1" applyBorder="1" applyFont="1">
      <alignment readingOrder="0" shrinkToFit="0" vertical="bottom" wrapText="0"/>
    </xf>
    <xf borderId="1" fillId="15" fontId="127" numFmtId="0" xfId="0" applyAlignment="1" applyBorder="1" applyFont="1">
      <alignment readingOrder="0" shrinkToFit="0" vertical="bottom" wrapText="0"/>
    </xf>
    <xf borderId="4" fillId="8" fontId="128" numFmtId="0" xfId="0" applyAlignment="1" applyBorder="1" applyFont="1">
      <alignment readingOrder="0" shrinkToFit="0" vertical="bottom" wrapText="0"/>
    </xf>
    <xf borderId="4" fillId="8" fontId="127" numFmtId="0" xfId="0" applyAlignment="1" applyBorder="1" applyFont="1">
      <alignment readingOrder="0" shrinkToFit="0" vertical="bottom" wrapText="0"/>
    </xf>
    <xf borderId="1" fillId="8" fontId="127" numFmtId="0" xfId="0" applyAlignment="1" applyBorder="1" applyFont="1">
      <alignment readingOrder="0" shrinkToFit="0" vertical="bottom" wrapText="0"/>
    </xf>
    <xf borderId="4" fillId="8" fontId="138" numFmtId="164" xfId="0" applyAlignment="1" applyBorder="1" applyFont="1" applyNumberFormat="1">
      <alignment horizontal="center" shrinkToFit="0" vertical="center" wrapText="0"/>
    </xf>
    <xf borderId="4" fillId="0" fontId="140" numFmtId="0" xfId="0" applyAlignment="1" applyBorder="1" applyFont="1">
      <alignment horizontal="center" readingOrder="0" shrinkToFit="0" vertical="center" wrapText="0"/>
    </xf>
    <xf borderId="1" fillId="40" fontId="141" numFmtId="0" xfId="0" applyAlignment="1" applyBorder="1" applyFill="1" applyFont="1">
      <alignment horizontal="center" readingOrder="0" shrinkToFit="0" vertical="bottom" wrapText="0"/>
    </xf>
    <xf borderId="2" fillId="40" fontId="141" numFmtId="0" xfId="0" applyAlignment="1" applyBorder="1" applyFont="1">
      <alignment horizontal="center" shrinkToFit="0" vertical="bottom" wrapText="0"/>
    </xf>
    <xf borderId="11" fillId="0" fontId="9" numFmtId="0" xfId="0" applyAlignment="1" applyBorder="1" applyFont="1">
      <alignment horizontal="left" shrinkToFit="0" vertical="bottom" wrapText="0"/>
    </xf>
    <xf borderId="11" fillId="0" fontId="8" numFmtId="0" xfId="0" applyBorder="1" applyFont="1"/>
    <xf borderId="4" fillId="40" fontId="141" numFmtId="0" xfId="0" applyAlignment="1" applyBorder="1" applyFon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4" fillId="8" fontId="138" numFmtId="164" xfId="0" applyAlignment="1" applyBorder="1" applyFont="1" applyNumberFormat="1">
      <alignment horizontal="center" readingOrder="0" shrinkToFit="0" vertical="center" wrapText="0"/>
    </xf>
    <xf borderId="4" fillId="0" fontId="142" numFmtId="0" xfId="0" applyAlignment="1" applyBorder="1" applyFont="1">
      <alignment horizontal="center" readingOrder="0" shrinkToFit="0" vertical="center" wrapText="0"/>
    </xf>
    <xf borderId="4" fillId="41" fontId="141" numFmtId="0" xfId="0" applyAlignment="1" applyBorder="1" applyFill="1" applyFont="1">
      <alignment horizontal="center" readingOrder="0" shrinkToFit="0" vertical="center" wrapText="1"/>
    </xf>
    <xf borderId="42" fillId="7" fontId="11" numFmtId="0" xfId="0" applyAlignment="1" applyBorder="1" applyFont="1">
      <alignment horizontal="left" readingOrder="0" shrinkToFit="0" vertical="bottom" wrapText="0"/>
    </xf>
    <xf borderId="43" fillId="7" fontId="11" numFmtId="0" xfId="0" applyAlignment="1" applyBorder="1" applyFont="1">
      <alignment horizontal="left" readingOrder="0" shrinkToFit="0" vertical="bottom" wrapText="0"/>
    </xf>
    <xf borderId="0" fillId="8" fontId="141" numFmtId="0" xfId="0" applyAlignment="1" applyFont="1">
      <alignment horizontal="center" readingOrder="0" shrinkToFit="0" wrapText="0"/>
    </xf>
    <xf borderId="44" fillId="7" fontId="11" numFmtId="0" xfId="0" applyAlignment="1" applyBorder="1" applyFont="1">
      <alignment horizontal="left" readingOrder="0" shrinkToFit="0" vertical="bottom" wrapText="0"/>
    </xf>
    <xf borderId="4" fillId="42" fontId="27" numFmtId="0" xfId="0" applyAlignment="1" applyBorder="1" applyFill="1" applyFont="1">
      <alignment horizontal="left" shrinkToFit="0" vertical="top" wrapText="1"/>
    </xf>
    <xf borderId="1" fillId="3" fontId="9" numFmtId="0" xfId="0" applyAlignment="1" applyBorder="1" applyFont="1">
      <alignment horizontal="left" readingOrder="0" shrinkToFit="0" vertical="bottom" wrapText="0"/>
    </xf>
    <xf borderId="4" fillId="0" fontId="143" numFmtId="0" xfId="0" applyAlignment="1" applyBorder="1" applyFont="1">
      <alignment horizontal="center" readingOrder="0" shrinkToFit="0" vertical="center" wrapText="1"/>
    </xf>
    <xf borderId="0" fillId="6" fontId="143" numFmtId="0" xfId="0" applyAlignment="1" applyFont="1">
      <alignment horizontal="center" shrinkToFit="0" wrapText="0"/>
    </xf>
    <xf borderId="4" fillId="4" fontId="9" numFmtId="0" xfId="0" applyAlignment="1" applyBorder="1" applyFont="1">
      <alignment horizontal="left" readingOrder="0" shrinkToFit="0" vertical="bottom" wrapText="0"/>
    </xf>
    <xf borderId="4" fillId="0" fontId="11" numFmtId="0" xfId="0" applyAlignment="1" applyBorder="1" applyFont="1">
      <alignment horizontal="right" readingOrder="0" shrinkToFit="0" vertical="bottom" wrapText="0"/>
    </xf>
    <xf borderId="4" fillId="0" fontId="130" numFmtId="0" xfId="0" applyAlignment="1" applyBorder="1" applyFont="1">
      <alignment readingOrder="0" shrinkToFit="0" vertical="bottom" wrapText="0"/>
    </xf>
    <xf borderId="1" fillId="9" fontId="11" numFmtId="0" xfId="0" applyAlignment="1" applyBorder="1" applyFont="1">
      <alignment horizontal="right" readingOrder="0" shrinkToFit="0" vertical="bottom" wrapText="0"/>
    </xf>
    <xf borderId="0" fillId="0" fontId="27" numFmtId="0" xfId="0" applyAlignment="1" applyFont="1">
      <alignment horizontal="center" shrinkToFit="0" vertical="top" wrapText="1"/>
    </xf>
    <xf borderId="0" fillId="8" fontId="9" numFmtId="0" xfId="0" applyAlignment="1" applyFont="1">
      <alignment horizontal="left" shrinkToFit="0" vertical="bottom" wrapText="0"/>
    </xf>
    <xf borderId="1" fillId="8" fontId="11" numFmtId="0" xfId="0" applyAlignment="1" applyBorder="1" applyFont="1">
      <alignment horizontal="right" readingOrder="0" shrinkToFit="0" vertical="bottom" wrapText="0"/>
    </xf>
    <xf borderId="0" fillId="0" fontId="4" numFmtId="0" xfId="0" applyAlignment="1" applyFont="1">
      <alignment horizontal="center" shrinkToFit="0" vertical="center" wrapText="1"/>
    </xf>
    <xf borderId="0" fillId="0" fontId="143" numFmtId="0" xfId="0" applyAlignment="1" applyFont="1">
      <alignment horizontal="center" readingOrder="0" shrinkToFit="0" vertical="center" wrapText="1"/>
    </xf>
    <xf borderId="7" fillId="0" fontId="143" numFmtId="0" xfId="0" applyAlignment="1" applyBorder="1" applyFont="1">
      <alignment horizontal="center" readingOrder="0" shrinkToFit="0" vertical="center" wrapText="1"/>
    </xf>
    <xf borderId="0" fillId="6" fontId="143" numFmtId="0" xfId="0" applyAlignment="1" applyFont="1">
      <alignment horizontal="center" readingOrder="0" shrinkToFit="0" wrapText="0"/>
    </xf>
    <xf borderId="4" fillId="43" fontId="27" numFmtId="0" xfId="0" applyAlignment="1" applyBorder="1" applyFill="1" applyFont="1">
      <alignment horizontal="left" shrinkToFit="0" vertical="top" wrapText="1"/>
    </xf>
    <xf borderId="4" fillId="0" fontId="27" numFmtId="0" xfId="0" applyBorder="1" applyFont="1"/>
    <xf borderId="4" fillId="0" fontId="141" numFmtId="0" xfId="0" applyAlignment="1" applyBorder="1" applyFont="1">
      <alignment horizontal="center" readingOrder="0" shrinkToFit="0" vertical="center" wrapText="1"/>
    </xf>
    <xf borderId="0" fillId="6" fontId="141" numFmtId="0" xfId="0" applyAlignment="1" applyFont="1">
      <alignment horizontal="center" readingOrder="0" shrinkToFit="0" wrapText="0"/>
    </xf>
    <xf borderId="4" fillId="39" fontId="130" numFmtId="0" xfId="0" applyAlignment="1" applyBorder="1" applyFont="1">
      <alignment readingOrder="0" shrinkToFit="0" vertical="bottom" wrapText="0"/>
    </xf>
    <xf borderId="15" fillId="8" fontId="11" numFmtId="0" xfId="0" applyAlignment="1" applyBorder="1" applyFont="1">
      <alignment shrinkToFit="0" vertical="bottom" wrapText="0"/>
    </xf>
    <xf borderId="0" fillId="0" fontId="11" numFmtId="0" xfId="0" applyAlignment="1" applyFont="1">
      <alignment horizontal="center" shrinkToFit="0" vertical="bottom" wrapText="0"/>
    </xf>
    <xf borderId="4" fillId="44" fontId="141" numFmtId="0" xfId="0" applyAlignment="1" applyBorder="1" applyFill="1" applyFont="1">
      <alignment horizontal="center" readingOrder="0" shrinkToFit="0" vertical="bottom" wrapText="0"/>
    </xf>
    <xf borderId="4" fillId="44" fontId="141" numFmtId="0" xfId="0" applyAlignment="1" applyBorder="1" applyFont="1">
      <alignment horizontal="center" readingOrder="0" vertical="bottom"/>
    </xf>
    <xf borderId="0" fillId="8" fontId="14" numFmtId="0" xfId="0" applyAlignment="1" applyFont="1">
      <alignment shrinkToFit="0" wrapText="0"/>
    </xf>
    <xf borderId="2" fillId="44" fontId="141" numFmtId="0" xfId="0" applyAlignment="1" applyBorder="1" applyFont="1">
      <alignment horizontal="center" readingOrder="0" shrinkToFit="0" vertical="bottom" wrapText="0"/>
    </xf>
    <xf borderId="0" fillId="8" fontId="14" numFmtId="0" xfId="0" applyAlignment="1" applyFont="1">
      <alignment shrinkToFit="0" vertical="bottom" wrapText="0"/>
    </xf>
    <xf borderId="3" fillId="44" fontId="141" numFmtId="0" xfId="0" applyAlignment="1" applyBorder="1" applyFont="1">
      <alignment horizontal="center" readingOrder="0" shrinkToFit="0" vertical="bottom" wrapText="0"/>
    </xf>
    <xf borderId="0" fillId="9" fontId="11" numFmtId="0" xfId="0" applyAlignment="1" applyFont="1">
      <alignment shrinkToFit="0" vertical="bottom" wrapText="0"/>
    </xf>
    <xf borderId="4" fillId="45" fontId="27" numFmtId="0" xfId="0" applyAlignment="1" applyBorder="1" applyFill="1" applyFont="1">
      <alignment horizontal="left" shrinkToFit="0" vertical="top" wrapText="1"/>
    </xf>
    <xf borderId="3" fillId="44" fontId="141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left" shrinkToFit="0" vertical="bottom" wrapText="0"/>
    </xf>
    <xf borderId="0" fillId="0" fontId="9" numFmtId="0" xfId="0" applyAlignment="1" applyFont="1">
      <alignment horizontal="left" shrinkToFit="0" vertical="bottom" wrapText="0"/>
    </xf>
    <xf borderId="0" fillId="8" fontId="11" numFmtId="0" xfId="0" applyAlignment="1" applyFont="1">
      <alignment horizontal="center" shrinkToFit="0" vertical="bottom" wrapText="0"/>
    </xf>
    <xf borderId="0" fillId="7" fontId="115" numFmtId="0" xfId="0" applyAlignment="1" applyFont="1">
      <alignment horizontal="left" readingOrder="0" shrinkToFit="0" wrapText="0"/>
    </xf>
    <xf borderId="0" fillId="7" fontId="14" numFmtId="0" xfId="0" applyAlignment="1" applyFont="1">
      <alignment horizontal="left" readingOrder="0" shrinkToFit="0" wrapText="0"/>
    </xf>
    <xf borderId="0" fillId="0" fontId="127" numFmtId="0" xfId="0" applyAlignment="1" applyFont="1">
      <alignment shrinkToFit="0" vertical="bottom" wrapText="0"/>
    </xf>
    <xf borderId="4" fillId="0" fontId="143" numFmtId="0" xfId="0" applyAlignment="1" applyBorder="1" applyFont="1">
      <alignment readingOrder="0" shrinkToFit="0" vertical="bottom" wrapText="0"/>
    </xf>
    <xf borderId="4" fillId="8" fontId="143" numFmtId="0" xfId="0" applyAlignment="1" applyBorder="1" applyFont="1">
      <alignment horizontal="right" readingOrder="0" shrinkToFit="0" vertical="bottom" wrapText="0"/>
    </xf>
    <xf borderId="0" fillId="0" fontId="127" numFmtId="0" xfId="0" applyAlignment="1" applyFont="1">
      <alignment shrinkToFit="0" vertical="bottom" wrapText="0"/>
    </xf>
    <xf borderId="0" fillId="8" fontId="11" numFmtId="0" xfId="0" applyAlignment="1" applyFont="1">
      <alignment horizontal="center" shrinkToFit="0" vertical="bottom" wrapText="0"/>
    </xf>
    <xf borderId="11" fillId="8" fontId="143" numFmtId="0" xfId="0" applyAlignment="1" applyBorder="1" applyFont="1">
      <alignment horizontal="right" readingOrder="0" shrinkToFit="0" vertical="bottom" wrapText="0"/>
    </xf>
    <xf borderId="8" fillId="8" fontId="143" numFmtId="0" xfId="0" applyAlignment="1" applyBorder="1" applyFont="1">
      <alignment horizontal="right" readingOrder="0" shrinkToFit="0" vertical="bottom" wrapText="0"/>
    </xf>
    <xf borderId="8" fillId="8" fontId="143" numFmtId="9" xfId="0" applyAlignment="1" applyBorder="1" applyFont="1" applyNumberFormat="1">
      <alignment horizontal="right" readingOrder="0" shrinkToFit="0" vertical="bottom" wrapText="0"/>
    </xf>
    <xf borderId="4" fillId="8" fontId="143" numFmtId="9" xfId="0" applyAlignment="1" applyBorder="1" applyFont="1" applyNumberFormat="1">
      <alignment horizontal="right" readingOrder="0" shrinkToFit="0" vertical="bottom" wrapText="0"/>
    </xf>
    <xf borderId="0" fillId="46" fontId="144" numFmtId="0" xfId="0" applyAlignment="1" applyFill="1" applyFont="1">
      <alignment horizontal="center" readingOrder="0" shrinkToFit="0" textRotation="0" vertical="center" wrapText="0"/>
    </xf>
    <xf borderId="11" fillId="8" fontId="143" numFmtId="9" xfId="0" applyAlignment="1" applyBorder="1" applyFont="1" applyNumberFormat="1">
      <alignment horizontal="right" readingOrder="0" shrinkToFit="0" vertical="bottom" wrapText="0"/>
    </xf>
    <xf borderId="4" fillId="8" fontId="4" numFmtId="9" xfId="0" applyAlignment="1" applyBorder="1" applyFont="1" applyNumberFormat="1">
      <alignment horizontal="right" readingOrder="0" shrinkToFit="0" vertical="bottom" wrapText="0"/>
    </xf>
    <xf borderId="0" fillId="47" fontId="145" numFmtId="0" xfId="0" applyAlignment="1" applyFill="1" applyFont="1">
      <alignment horizontal="center" readingOrder="0" vertical="center"/>
    </xf>
    <xf borderId="4" fillId="0" fontId="141" numFmtId="0" xfId="0" applyAlignment="1" applyBorder="1" applyFont="1">
      <alignment readingOrder="0" shrinkToFit="0" vertical="bottom" wrapText="0"/>
    </xf>
    <xf borderId="0" fillId="10" fontId="115" numFmtId="0" xfId="0" applyAlignment="1" applyFont="1">
      <alignment horizontal="left" readingOrder="0" shrinkToFit="0" vertical="center" wrapText="0"/>
    </xf>
    <xf borderId="0" fillId="24" fontId="145" numFmtId="0" xfId="0" applyAlignment="1" applyFont="1">
      <alignment horizontal="center" readingOrder="0" vertical="center"/>
    </xf>
    <xf borderId="4" fillId="4" fontId="146" numFmtId="49" xfId="0" applyAlignment="1" applyBorder="1" applyFont="1" applyNumberFormat="1">
      <alignment horizontal="left" readingOrder="0" shrinkToFit="0" vertical="center" wrapText="0"/>
    </xf>
    <xf borderId="0" fillId="10" fontId="14" numFmtId="0" xfId="0" applyAlignment="1" applyFont="1">
      <alignment horizontal="left" readingOrder="0" shrinkToFit="0" vertical="center" wrapText="0"/>
    </xf>
    <xf borderId="0" fillId="0" fontId="128" numFmtId="0" xfId="0" applyAlignment="1" applyFont="1">
      <alignment shrinkToFit="0" vertical="bottom" wrapText="0"/>
    </xf>
    <xf borderId="4" fillId="0" fontId="143" numFmtId="0" xfId="0" applyAlignment="1" applyBorder="1" applyFont="1">
      <alignment horizontal="right" readingOrder="0" shrinkToFit="0" vertical="bottom" wrapText="0"/>
    </xf>
    <xf borderId="11" fillId="0" fontId="143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horizontal="right" readingOrder="0" shrinkToFit="0" vertical="bottom" wrapText="0"/>
    </xf>
    <xf borderId="8" fillId="0" fontId="143" numFmtId="0" xfId="0" applyAlignment="1" applyBorder="1" applyFont="1">
      <alignment horizontal="right" readingOrder="0" shrinkToFit="0" vertical="bottom" wrapText="0"/>
    </xf>
    <xf borderId="4" fillId="4" fontId="12" numFmtId="0" xfId="0" applyAlignment="1" applyBorder="1" applyFont="1">
      <alignment horizontal="left" readingOrder="0" shrinkToFit="0" vertical="center" wrapText="0"/>
    </xf>
    <xf borderId="8" fillId="0" fontId="143" numFmtId="9" xfId="0" applyAlignment="1" applyBorder="1" applyFont="1" applyNumberFormat="1">
      <alignment horizontal="right" readingOrder="0" shrinkToFit="0" vertical="bottom" wrapText="0"/>
    </xf>
    <xf borderId="4" fillId="0" fontId="143" numFmtId="9" xfId="0" applyAlignment="1" applyBorder="1" applyFont="1" applyNumberFormat="1">
      <alignment horizontal="right" readingOrder="0" shrinkToFit="0" vertical="bottom" wrapText="0"/>
    </xf>
    <xf borderId="0" fillId="9" fontId="14" numFmtId="0" xfId="0" applyAlignment="1" applyFont="1">
      <alignment horizontal="left" readingOrder="0" shrinkToFit="0" vertical="center" wrapText="0"/>
    </xf>
    <xf borderId="11" fillId="0" fontId="143" numFmtId="9" xfId="0" applyAlignment="1" applyBorder="1" applyFont="1" applyNumberFormat="1">
      <alignment horizontal="right" readingOrder="0" shrinkToFit="0" vertical="bottom" wrapText="0"/>
    </xf>
    <xf borderId="0" fillId="9" fontId="14" numFmtId="0" xfId="0" applyAlignment="1" applyFont="1">
      <alignment horizontal="right" readingOrder="0" shrinkToFit="0" vertical="center" wrapText="0"/>
    </xf>
    <xf borderId="4" fillId="0" fontId="143" numFmtId="0" xfId="0" applyAlignment="1" applyBorder="1" applyFont="1">
      <alignment shrinkToFit="0" vertical="bottom" wrapText="0"/>
    </xf>
    <xf borderId="4" fillId="0" fontId="12" numFmtId="0" xfId="0" applyAlignment="1" applyBorder="1" applyFont="1">
      <alignment readingOrder="0" shrinkToFit="0" vertical="center" wrapText="0"/>
    </xf>
    <xf borderId="0" fillId="9" fontId="14" numFmtId="0" xfId="0" applyAlignment="1" applyFont="1">
      <alignment horizontal="left" readingOrder="0" shrinkToFit="0" vertical="center" wrapText="0"/>
    </xf>
    <xf borderId="4" fillId="0" fontId="12" numFmtId="0" xfId="0" applyAlignment="1" applyBorder="1" applyFont="1">
      <alignment horizontal="right" readingOrder="0" shrinkToFit="0" vertical="center" wrapText="0"/>
    </xf>
    <xf borderId="0" fillId="0" fontId="147" numFmtId="0" xfId="0" applyAlignment="1" applyFont="1">
      <alignment readingOrder="0" shrinkToFit="0" vertical="center" wrapText="0"/>
    </xf>
    <xf borderId="0" fillId="8" fontId="14" numFmtId="0" xfId="0" applyAlignment="1" applyFont="1">
      <alignment horizontal="right" readingOrder="0" shrinkToFit="0" vertical="center" wrapText="0"/>
    </xf>
    <xf borderId="0" fillId="48" fontId="27" numFmtId="0" xfId="0" applyFill="1" applyFont="1"/>
    <xf borderId="4" fillId="0" fontId="12" numFmtId="0" xfId="0" applyAlignment="1" applyBorder="1" applyFont="1">
      <alignment shrinkToFit="0" vertical="center" wrapText="0"/>
    </xf>
    <xf borderId="0" fillId="8" fontId="11" numFmtId="164" xfId="0" applyAlignment="1" applyFont="1" applyNumberFormat="1">
      <alignment horizontal="center" shrinkToFit="0" vertical="bottom" wrapText="0"/>
    </xf>
    <xf borderId="1" fillId="12" fontId="115" numFmtId="0" xfId="0" applyAlignment="1" applyBorder="1" applyFont="1">
      <alignment readingOrder="0" shrinkToFit="0" vertical="center" wrapText="0"/>
    </xf>
    <xf borderId="0" fillId="12" fontId="14" numFmtId="0" xfId="0" applyAlignment="1" applyFont="1">
      <alignment shrinkToFit="0" vertical="center" wrapText="0"/>
    </xf>
    <xf borderId="0" fillId="12" fontId="14" numFmtId="164" xfId="0" applyAlignment="1" applyFont="1" applyNumberFormat="1">
      <alignment shrinkToFit="0" vertical="center" wrapText="0"/>
    </xf>
    <xf borderId="0" fillId="12" fontId="14" numFmtId="0" xfId="0" applyAlignment="1" applyFont="1">
      <alignment shrinkToFit="0" vertical="center" wrapText="0"/>
    </xf>
    <xf borderId="0" fillId="14" fontId="115" numFmtId="0" xfId="0" applyAlignment="1" applyFont="1">
      <alignment horizontal="left" readingOrder="0" shrinkToFit="0" vertical="center" wrapText="0"/>
    </xf>
    <xf borderId="0" fillId="14" fontId="14" numFmtId="0" xfId="0" applyAlignment="1" applyFont="1">
      <alignment shrinkToFit="0" vertical="center" wrapText="0"/>
    </xf>
    <xf borderId="0" fillId="14" fontId="14" numFmtId="0" xfId="0" applyAlignment="1" applyFont="1">
      <alignment readingOrder="0" shrinkToFit="0" vertical="center" wrapText="0"/>
    </xf>
    <xf borderId="0" fillId="14" fontId="14" numFmtId="164" xfId="0" applyAlignment="1" applyFont="1" applyNumberFormat="1">
      <alignment readingOrder="0" shrinkToFit="0" vertical="center" wrapText="0"/>
    </xf>
    <xf borderId="0" fillId="0" fontId="127" numFmtId="0" xfId="0" applyAlignment="1" applyFont="1">
      <alignment shrinkToFit="0" vertical="bottom" wrapText="0"/>
    </xf>
    <xf borderId="0" fillId="8" fontId="128" numFmtId="0" xfId="0" applyAlignment="1" applyFont="1">
      <alignment readingOrder="0" shrinkToFit="0" vertical="center" wrapText="0"/>
    </xf>
    <xf borderId="0" fillId="8" fontId="127" numFmtId="0" xfId="0" applyAlignment="1" applyFont="1">
      <alignment horizontal="right" readingOrder="0" shrinkToFit="0" vertical="center" wrapText="0"/>
    </xf>
    <xf borderId="0" fillId="8" fontId="127" numFmtId="0" xfId="0" applyAlignment="1" applyFont="1">
      <alignment readingOrder="0" shrinkToFit="0" vertical="center" wrapText="0"/>
    </xf>
    <xf borderId="0" fillId="8" fontId="14" numFmtId="0" xfId="0" applyAlignment="1" applyFont="1">
      <alignment shrinkToFit="0" vertical="center" wrapText="0"/>
    </xf>
    <xf borderId="0" fillId="0" fontId="148" numFmtId="0" xfId="0" applyAlignment="1" applyFont="1">
      <alignment readingOrder="0" shrinkToFit="0" vertical="center" wrapText="0"/>
    </xf>
    <xf borderId="0" fillId="9" fontId="128" numFmtId="0" xfId="0" applyAlignment="1" applyFont="1">
      <alignment readingOrder="0" shrinkToFit="0" vertical="center" wrapText="0"/>
    </xf>
    <xf borderId="0" fillId="9" fontId="127" numFmtId="0" xfId="0" applyAlignment="1" applyFont="1">
      <alignment horizontal="right" readingOrder="0" shrinkToFit="0" vertical="center" wrapText="0"/>
    </xf>
    <xf borderId="0" fillId="9" fontId="127" numFmtId="0" xfId="0" applyAlignment="1" applyFont="1">
      <alignment readingOrder="0" shrinkToFit="0" vertical="center" wrapText="0"/>
    </xf>
    <xf borderId="0" fillId="9" fontId="14" numFmtId="164" xfId="0" applyAlignment="1" applyFont="1" applyNumberFormat="1">
      <alignment horizontal="right" readingOrder="0" shrinkToFit="0" vertical="center" wrapText="0"/>
    </xf>
    <xf borderId="0" fillId="0" fontId="127" numFmtId="164" xfId="0" applyAlignment="1" applyFont="1" applyNumberFormat="1">
      <alignment shrinkToFit="0" vertical="bottom" wrapText="0"/>
    </xf>
    <xf borderId="0" fillId="8" fontId="128" numFmtId="0" xfId="0" applyAlignment="1" applyFont="1">
      <alignment horizontal="right" readingOrder="0" shrinkToFit="0" vertical="center" wrapText="0"/>
    </xf>
    <xf borderId="0" fillId="8" fontId="127" numFmtId="164" xfId="0" applyAlignment="1" applyFont="1" applyNumberFormat="1">
      <alignment horizontal="right" readingOrder="0" shrinkToFit="0" vertical="center" wrapText="0"/>
    </xf>
    <xf borderId="0" fillId="0" fontId="11" numFmtId="164" xfId="0" applyAlignment="1" applyFont="1" applyNumberFormat="1">
      <alignment shrinkToFit="0" vertical="bottom" wrapText="0"/>
    </xf>
    <xf borderId="4" fillId="31" fontId="12" numFmtId="0" xfId="0" applyAlignment="1" applyBorder="1" applyFont="1">
      <alignment readingOrder="0" shrinkToFit="0" vertical="center" wrapText="0"/>
    </xf>
    <xf borderId="4" fillId="31" fontId="12" numFmtId="0" xfId="0" applyAlignment="1" applyBorder="1" applyFont="1">
      <alignment horizontal="right" shrinkToFit="0" vertical="center" wrapText="0"/>
    </xf>
    <xf borderId="0" fillId="8" fontId="14" numFmtId="164" xfId="0" applyAlignment="1" applyFont="1" applyNumberFormat="1">
      <alignment shrinkToFit="0" vertical="center" wrapText="0"/>
    </xf>
    <xf borderId="6" fillId="48" fontId="27" numFmtId="0" xfId="0" applyBorder="1" applyFont="1"/>
    <xf borderId="4" fillId="31" fontId="12" numFmtId="0" xfId="0" applyAlignment="1" applyBorder="1" applyFont="1">
      <alignment horizontal="right" readingOrder="0" shrinkToFit="0" vertical="center" wrapText="0"/>
    </xf>
    <xf borderId="4" fillId="0" fontId="12" numFmtId="0" xfId="0" applyAlignment="1" applyBorder="1" applyFont="1">
      <alignment horizontal="right" shrinkToFit="0" vertical="center" wrapText="0"/>
    </xf>
    <xf borderId="0" fillId="8" fontId="14" numFmtId="0" xfId="0" applyAlignment="1" applyFont="1">
      <alignment shrinkToFit="0" vertical="center" wrapText="0"/>
    </xf>
    <xf borderId="0" fillId="8" fontId="14" numFmtId="164" xfId="0" applyAlignment="1" applyFont="1" applyNumberFormat="1">
      <alignment horizontal="right" readingOrder="0" shrinkToFit="0" vertical="center" wrapText="0"/>
    </xf>
    <xf borderId="0" fillId="15" fontId="115" numFmtId="0" xfId="0" applyAlignment="1" applyFont="1">
      <alignment readingOrder="0" shrinkToFit="0" vertical="center" wrapText="0"/>
    </xf>
    <xf borderId="0" fillId="15" fontId="14" numFmtId="0" xfId="0" applyAlignment="1" applyFont="1">
      <alignment shrinkToFit="0" vertical="center" wrapText="0"/>
    </xf>
    <xf borderId="0" fillId="15" fontId="14" numFmtId="0" xfId="0" applyAlignment="1" applyFont="1">
      <alignment shrinkToFit="0" vertical="center" wrapText="0"/>
    </xf>
    <xf borderId="0" fillId="0" fontId="35" numFmtId="0" xfId="0" applyAlignment="1" applyFont="1">
      <alignment readingOrder="0"/>
    </xf>
    <xf borderId="0" fillId="15" fontId="14" numFmtId="164" xfId="0" applyAlignment="1" applyFont="1" applyNumberFormat="1">
      <alignment shrinkToFit="0" vertical="center" wrapText="0"/>
    </xf>
    <xf borderId="0" fillId="9" fontId="11" numFmtId="0" xfId="0" applyAlignment="1" applyFont="1">
      <alignment shrinkToFit="0" vertical="bottom" wrapText="0"/>
    </xf>
    <xf borderId="0" fillId="16" fontId="115" numFmtId="0" xfId="0" applyAlignment="1" applyFont="1">
      <alignment horizontal="center" readingOrder="0" shrinkToFit="0" vertical="center" wrapText="0"/>
    </xf>
    <xf borderId="0" fillId="16" fontId="14" numFmtId="0" xfId="0" applyAlignment="1" applyFont="1">
      <alignment shrinkToFit="0" vertical="center" wrapText="0"/>
    </xf>
    <xf borderId="0" fillId="16" fontId="14" numFmtId="0" xfId="0" applyAlignment="1" applyFont="1">
      <alignment readingOrder="0" shrinkToFit="0" vertical="center" wrapText="0"/>
    </xf>
    <xf borderId="0" fillId="16" fontId="14" numFmtId="164" xfId="0" applyAlignment="1" applyFont="1" applyNumberFormat="1">
      <alignment readingOrder="0" shrinkToFit="0" vertical="center" wrapText="0"/>
    </xf>
    <xf borderId="4" fillId="31" fontId="12" numFmtId="0" xfId="0" applyAlignment="1" applyBorder="1" applyFont="1">
      <alignment shrinkToFit="0" vertical="center" wrapText="0"/>
    </xf>
    <xf borderId="0" fillId="8" fontId="14" numFmtId="0" xfId="0" applyAlignment="1" applyFont="1">
      <alignment readingOrder="0" shrinkToFit="0" vertical="center" wrapText="0"/>
    </xf>
    <xf borderId="0" fillId="8" fontId="11" numFmtId="0" xfId="0" applyAlignment="1" applyFont="1">
      <alignment readingOrder="0" shrinkToFit="0" vertical="center" wrapText="0"/>
    </xf>
    <xf borderId="0" fillId="9" fontId="14" numFmtId="0" xfId="0" applyAlignment="1" applyFont="1">
      <alignment readingOrder="0" shrinkToFit="0" vertical="center" wrapText="0"/>
    </xf>
    <xf borderId="0" fillId="8" fontId="14" numFmtId="0" xfId="0" applyAlignment="1" applyFont="1">
      <alignment readingOrder="0" shrinkToFit="0" vertical="center" wrapText="0"/>
    </xf>
    <xf borderId="0" fillId="0" fontId="27" numFmtId="0" xfId="0" applyAlignment="1" applyFont="1">
      <alignment horizontal="left"/>
    </xf>
    <xf borderId="0" fillId="8" fontId="14" numFmtId="0" xfId="0" applyAlignment="1" applyFont="1">
      <alignment shrinkToFit="0" vertical="center" wrapText="0"/>
    </xf>
    <xf borderId="0" fillId="20" fontId="14" numFmtId="164" xfId="0" applyAlignment="1" applyFont="1" applyNumberFormat="1">
      <alignment readingOrder="0" shrinkToFit="0" vertical="center" wrapText="0"/>
    </xf>
    <xf borderId="0" fillId="20" fontId="14" numFmtId="0" xfId="0" applyAlignment="1" applyFont="1">
      <alignment horizontal="right" readingOrder="0" shrinkToFit="0" vertical="center" wrapText="0"/>
    </xf>
    <xf borderId="37" fillId="18" fontId="30" numFmtId="0" xfId="0" applyAlignment="1" applyBorder="1" applyFont="1">
      <alignment horizontal="left" shrinkToFit="0" vertical="center" wrapText="1"/>
    </xf>
    <xf borderId="0" fillId="7" fontId="11" numFmtId="0" xfId="0" applyAlignment="1" applyFont="1">
      <alignment horizontal="center" readingOrder="0" shrinkToFit="0" vertical="bottom" wrapText="0"/>
    </xf>
    <xf borderId="4" fillId="18" fontId="11" numFmtId="0" xfId="0" applyAlignment="1" applyBorder="1" applyFont="1">
      <alignment horizontal="left"/>
    </xf>
    <xf borderId="16" fillId="7" fontId="11" numFmtId="0" xfId="0" applyAlignment="1" applyBorder="1" applyFont="1">
      <alignment horizontal="center" readingOrder="0" shrinkToFit="0" vertical="bottom" wrapText="0"/>
    </xf>
    <xf borderId="12" fillId="7" fontId="11" numFmtId="0" xfId="0" applyAlignment="1" applyBorder="1" applyFont="1">
      <alignment horizontal="left" readingOrder="0" shrinkToFit="0" vertical="bottom" wrapText="0"/>
    </xf>
    <xf borderId="12" fillId="7" fontId="3" numFmtId="0" xfId="0" applyAlignment="1" applyBorder="1" applyFont="1">
      <alignment horizontal="center" readingOrder="0" shrinkToFit="0" wrapText="0"/>
    </xf>
    <xf borderId="4" fillId="49" fontId="27" numFmtId="0" xfId="0" applyAlignment="1" applyBorder="1" applyFill="1" applyFont="1">
      <alignment horizontal="left" shrinkToFit="0" vertical="top" wrapText="1"/>
    </xf>
    <xf borderId="12" fillId="7" fontId="11" numFmtId="0" xfId="0" applyAlignment="1" applyBorder="1" applyFont="1">
      <alignment horizontal="center" readingOrder="0" shrinkToFit="0" vertical="bottom" wrapText="0"/>
    </xf>
    <xf borderId="4" fillId="7" fontId="11" numFmtId="0" xfId="0" applyAlignment="1" applyBorder="1" applyFont="1">
      <alignment horizontal="left" readingOrder="0" shrinkToFit="0" vertical="bottom" wrapText="0"/>
    </xf>
    <xf borderId="12" fillId="4" fontId="13" numFmtId="0" xfId="0" applyAlignment="1" applyBorder="1" applyFont="1">
      <alignment readingOrder="0" shrinkToFit="0" vertical="bottom" wrapText="0"/>
    </xf>
    <xf borderId="12" fillId="4" fontId="13" numFmtId="0" xfId="0" applyAlignment="1" applyBorder="1" applyFont="1">
      <alignment horizontal="right" readingOrder="0" shrinkToFit="0" vertical="bottom" wrapText="0"/>
    </xf>
    <xf borderId="5" fillId="0" fontId="149" numFmtId="0" xfId="0" applyAlignment="1" applyBorder="1" applyFont="1">
      <alignment horizontal="center" readingOrder="0" shrinkToFit="0" wrapText="0"/>
    </xf>
    <xf borderId="0" fillId="0" fontId="150" numFmtId="0" xfId="0" applyAlignment="1" applyFont="1">
      <alignment readingOrder="0" shrinkToFit="0" wrapText="1"/>
    </xf>
    <xf borderId="12" fillId="9" fontId="11" numFmtId="0" xfId="0" applyAlignment="1" applyBorder="1" applyFont="1">
      <alignment horizontal="right" readingOrder="0" shrinkToFit="0" vertical="bottom" wrapText="0"/>
    </xf>
    <xf borderId="4" fillId="8" fontId="12" numFmtId="0" xfId="0" applyAlignment="1" applyBorder="1" applyFont="1">
      <alignment readingOrder="0"/>
    </xf>
    <xf borderId="4" fillId="6" fontId="12" numFmtId="0" xfId="0" applyAlignment="1" applyBorder="1" applyFont="1">
      <alignment horizontal="left" readingOrder="0"/>
    </xf>
    <xf borderId="4" fillId="6" fontId="35" numFmtId="164" xfId="0" applyAlignment="1" applyBorder="1" applyFont="1" applyNumberFormat="1">
      <alignment horizontal="left" readingOrder="0"/>
    </xf>
    <xf borderId="12" fillId="8" fontId="11" numFmtId="0" xfId="0" applyAlignment="1" applyBorder="1" applyFont="1">
      <alignment horizontal="right" readingOrder="0" shrinkToFit="0" vertical="bottom" wrapText="0"/>
    </xf>
    <xf borderId="4" fillId="6" fontId="11" numFmtId="164" xfId="0" applyAlignment="1" applyBorder="1" applyFont="1" applyNumberFormat="1">
      <alignment horizontal="left" readingOrder="0" shrinkToFit="0" vertical="bottom" wrapText="0"/>
    </xf>
    <xf borderId="4" fillId="0" fontId="151" numFmtId="0" xfId="0" applyAlignment="1" applyBorder="1" applyFont="1">
      <alignment readingOrder="0" shrinkToFit="0" wrapText="0"/>
    </xf>
    <xf borderId="0" fillId="8" fontId="27" numFmtId="0" xfId="0" applyFont="1"/>
    <xf borderId="45" fillId="8" fontId="11" numFmtId="0" xfId="0" applyAlignment="1" applyBorder="1" applyFont="1">
      <alignment shrinkToFit="0" vertical="bottom" wrapText="0"/>
    </xf>
    <xf borderId="4" fillId="8" fontId="12" numFmtId="0" xfId="0" applyAlignment="1" applyBorder="1" applyFont="1">
      <alignment horizontal="left" readingOrder="0"/>
    </xf>
    <xf borderId="12" fillId="9" fontId="11" numFmtId="0" xfId="0" applyAlignment="1" applyBorder="1" applyFont="1">
      <alignment horizontal="right" shrinkToFit="0" vertical="bottom" wrapText="0"/>
    </xf>
    <xf borderId="4" fillId="4" fontId="12" numFmtId="0" xfId="0" applyAlignment="1" applyBorder="1" applyFont="1">
      <alignment horizontal="left" readingOrder="0" shrinkToFit="0" vertical="center" wrapText="0"/>
    </xf>
    <xf borderId="46" fillId="8" fontId="11" numFmtId="0" xfId="0" applyAlignment="1" applyBorder="1" applyFont="1">
      <alignment shrinkToFit="0" vertical="bottom" wrapText="0"/>
    </xf>
    <xf borderId="4" fillId="8" fontId="35" numFmtId="164" xfId="0" applyAlignment="1" applyBorder="1" applyFont="1" applyNumberFormat="1">
      <alignment horizontal="left" readingOrder="0"/>
    </xf>
    <xf borderId="46" fillId="8" fontId="11" numFmtId="0" xfId="0" applyAlignment="1" applyBorder="1" applyFont="1">
      <alignment shrinkToFit="0" vertical="bottom" wrapText="0"/>
    </xf>
    <xf borderId="4" fillId="8" fontId="11" numFmtId="164" xfId="0" applyAlignment="1" applyBorder="1" applyFont="1" applyNumberFormat="1">
      <alignment horizontal="left" readingOrder="0" shrinkToFit="0" vertical="bottom" wrapText="0"/>
    </xf>
    <xf borderId="46" fillId="0" fontId="8" numFmtId="0" xfId="0" applyBorder="1" applyFont="1"/>
    <xf borderId="47" fillId="0" fontId="8" numFmtId="0" xfId="0" applyBorder="1" applyFont="1"/>
    <xf borderId="4" fillId="8" fontId="152" numFmtId="0" xfId="0" applyAlignment="1" applyBorder="1" applyFont="1">
      <alignment readingOrder="0" shrinkToFit="0" wrapText="0"/>
    </xf>
    <xf borderId="25" fillId="8" fontId="11" numFmtId="0" xfId="0" applyAlignment="1" applyBorder="1" applyFont="1">
      <alignment shrinkToFit="0" vertical="bottom" wrapText="0"/>
    </xf>
    <xf borderId="12" fillId="7" fontId="13" numFmtId="0" xfId="0" applyAlignment="1" applyBorder="1" applyFont="1">
      <alignment readingOrder="0" shrinkToFit="0" vertical="bottom" wrapText="0"/>
    </xf>
    <xf borderId="12" fillId="9" fontId="11" numFmtId="0" xfId="0" applyAlignment="1" applyBorder="1" applyFont="1">
      <alignment shrinkToFit="0" vertical="bottom" wrapText="0"/>
    </xf>
    <xf borderId="4" fillId="9" fontId="11" numFmtId="0" xfId="0" applyAlignment="1" applyBorder="1" applyFont="1">
      <alignment shrinkToFit="0" vertical="bottom" wrapText="0"/>
    </xf>
    <xf borderId="10" fillId="9" fontId="11" numFmtId="0" xfId="0" applyAlignment="1" applyBorder="1" applyFont="1">
      <alignment horizontal="center" readingOrder="0" shrinkToFit="0" vertical="bottom" wrapText="0"/>
    </xf>
    <xf borderId="48" fillId="0" fontId="8" numFmtId="0" xfId="0" applyBorder="1" applyFont="1"/>
    <xf borderId="25" fillId="9" fontId="11" numFmtId="0" xfId="0" applyAlignment="1" applyBorder="1" applyFont="1">
      <alignment shrinkToFit="0" vertical="bottom" wrapText="0"/>
    </xf>
    <xf borderId="4" fillId="7" fontId="13" numFmtId="0" xfId="0" applyAlignment="1" applyBorder="1" applyFont="1">
      <alignment readingOrder="0" shrinkToFit="0" vertical="bottom" wrapText="0"/>
    </xf>
    <xf borderId="17" fillId="4" fontId="13" numFmtId="0" xfId="0" applyAlignment="1" applyBorder="1" applyFont="1">
      <alignment readingOrder="0" shrinkToFit="0" vertical="bottom" wrapText="0"/>
    </xf>
    <xf borderId="9" fillId="6" fontId="153" numFmtId="0" xfId="0" applyAlignment="1" applyBorder="1" applyFont="1">
      <alignment horizontal="left"/>
    </xf>
    <xf borderId="17" fillId="8" fontId="11" numFmtId="0" xfId="0" applyAlignment="1" applyBorder="1" applyFont="1">
      <alignment horizontal="right" readingOrder="0" shrinkToFit="0" vertical="bottom" wrapText="0"/>
    </xf>
    <xf borderId="17" fillId="8" fontId="11" numFmtId="0" xfId="0" applyAlignment="1" applyBorder="1" applyFont="1">
      <alignment shrinkToFit="0" vertical="bottom" wrapText="0"/>
    </xf>
    <xf borderId="37" fillId="6" fontId="35" numFmtId="0" xfId="0" applyAlignment="1" applyBorder="1" applyFont="1">
      <alignment horizontal="left" readingOrder="0" shrinkToFit="0" vertical="top" wrapText="1"/>
    </xf>
    <xf borderId="9" fillId="6" fontId="35" numFmtId="164" xfId="0" applyAlignment="1" applyBorder="1" applyFont="1" applyNumberFormat="1">
      <alignment horizontal="left"/>
    </xf>
    <xf borderId="25" fillId="8" fontId="11" numFmtId="0" xfId="0" applyAlignment="1" applyBorder="1" applyFont="1">
      <alignment shrinkToFit="0" vertical="bottom" wrapText="0"/>
    </xf>
    <xf borderId="9" fillId="8" fontId="35" numFmtId="164" xfId="0" applyAlignment="1" applyBorder="1" applyFont="1" applyNumberFormat="1">
      <alignment horizontal="left"/>
    </xf>
    <xf borderId="4" fillId="7" fontId="11" numFmtId="0" xfId="0" applyAlignment="1" applyBorder="1" applyFont="1">
      <alignment horizontal="center" readingOrder="0" shrinkToFit="0" vertical="bottom" wrapText="0"/>
    </xf>
    <xf borderId="12" fillId="0" fontId="154" numFmtId="0" xfId="0" applyAlignment="1" applyBorder="1" applyFont="1">
      <alignment horizontal="left" shrinkToFit="0" wrapText="0"/>
    </xf>
    <xf borderId="1" fillId="15" fontId="11" numFmtId="0" xfId="0" applyAlignment="1" applyBorder="1" applyFont="1">
      <alignment readingOrder="0" shrinkToFit="0" vertical="bottom" wrapText="0"/>
    </xf>
    <xf borderId="4" fillId="0" fontId="27" numFmtId="0" xfId="0" applyAlignment="1" applyBorder="1" applyFont="1">
      <alignment horizontal="left" shrinkToFit="0" wrapText="0"/>
    </xf>
    <xf borderId="49" fillId="0" fontId="8" numFmtId="0" xfId="0" applyBorder="1" applyFont="1"/>
    <xf borderId="12" fillId="8" fontId="11" numFmtId="0" xfId="0" applyAlignment="1" applyBorder="1" applyFont="1">
      <alignment readingOrder="0" shrinkToFit="0" vertical="bottom" wrapText="0"/>
    </xf>
    <xf borderId="4" fillId="8" fontId="11" numFmtId="167" xfId="0" applyAlignment="1" applyBorder="1" applyFont="1" applyNumberFormat="1">
      <alignment horizontal="center" readingOrder="0" shrinkToFit="0" vertical="bottom" wrapText="0"/>
    </xf>
    <xf borderId="41" fillId="0" fontId="11" numFmtId="0" xfId="0" applyAlignment="1" applyBorder="1" applyFont="1">
      <alignment horizontal="center" readingOrder="0" shrinkToFit="0" vertical="bottom" wrapText="0"/>
    </xf>
    <xf borderId="12" fillId="8" fontId="11" numFmtId="0" xfId="0" applyAlignment="1" applyBorder="1" applyFont="1">
      <alignment horizontal="center" readingOrder="0" shrinkToFit="0" vertical="bottom" wrapText="0"/>
    </xf>
    <xf borderId="12" fillId="8" fontId="11" numFmtId="0" xfId="0" applyAlignment="1" applyBorder="1" applyFont="1">
      <alignment horizontal="center" readingOrder="0" shrinkToFit="0" vertical="bottom" wrapText="0"/>
    </xf>
    <xf borderId="4" fillId="8" fontId="11" numFmtId="0" xfId="0" applyAlignment="1" applyBorder="1" applyFont="1">
      <alignment horizontal="center" readingOrder="0" shrinkToFit="0" vertical="bottom" wrapText="0"/>
    </xf>
    <xf borderId="9" fillId="6" fontId="11" numFmtId="0" xfId="0" applyAlignment="1" applyBorder="1" applyFont="1">
      <alignment horizontal="left" readingOrder="0"/>
    </xf>
    <xf borderId="12" fillId="9" fontId="11" numFmtId="0" xfId="0" applyAlignment="1" applyBorder="1" applyFont="1">
      <alignment readingOrder="0"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12" fillId="9" fontId="11" numFmtId="0" xfId="0" applyAlignment="1" applyBorder="1" applyFont="1">
      <alignment horizontal="center" readingOrder="0" shrinkToFit="0" vertical="bottom" wrapText="0"/>
    </xf>
    <xf borderId="12" fillId="9" fontId="11" numFmtId="0" xfId="0" applyAlignment="1" applyBorder="1" applyFont="1">
      <alignment horizontal="center" readingOrder="0" shrinkToFit="0" vertical="bottom" wrapText="0"/>
    </xf>
    <xf borderId="0" fillId="0" fontId="12" numFmtId="0" xfId="0" applyAlignment="1" applyFont="1">
      <alignment horizontal="left" shrinkToFit="0" wrapText="0"/>
    </xf>
    <xf borderId="4" fillId="40" fontId="27" numFmtId="0" xfId="0" applyAlignment="1" applyBorder="1" applyFont="1">
      <alignment horizontal="left" shrinkToFit="0" vertical="top" wrapText="1"/>
    </xf>
    <xf borderId="4" fillId="9" fontId="11" numFmtId="167" xfId="0" applyAlignment="1" applyBorder="1" applyFont="1" applyNumberFormat="1">
      <alignment horizontal="center" readingOrder="0" shrinkToFit="0" vertical="bottom" wrapText="0"/>
    </xf>
    <xf borderId="1" fillId="15" fontId="11" numFmtId="0" xfId="0" applyAlignment="1" applyBorder="1" applyFont="1">
      <alignment horizontal="center" readingOrder="0" shrinkToFit="0" vertical="bottom" wrapText="0"/>
    </xf>
    <xf borderId="9" fillId="6" fontId="11" numFmtId="0" xfId="0" applyAlignment="1" applyBorder="1" applyFont="1">
      <alignment horizontal="left"/>
    </xf>
    <xf borderId="0" fillId="50" fontId="145" numFmtId="0" xfId="0" applyAlignment="1" applyFill="1" applyFont="1">
      <alignment horizontal="center" readingOrder="0" vertical="center"/>
    </xf>
    <xf borderId="0" fillId="35" fontId="145" numFmtId="0" xfId="0" applyAlignment="1" applyFont="1">
      <alignment horizontal="center" readingOrder="0" vertical="center"/>
    </xf>
    <xf borderId="0" fillId="51" fontId="145" numFmtId="0" xfId="0" applyAlignment="1" applyFill="1" applyFont="1">
      <alignment horizontal="center" readingOrder="0" vertical="center"/>
    </xf>
    <xf borderId="0" fillId="52" fontId="145" numFmtId="0" xfId="0" applyAlignment="1" applyFill="1" applyFont="1">
      <alignment horizontal="center" readingOrder="0" vertical="center"/>
    </xf>
    <xf borderId="0" fillId="0" fontId="12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1" fillId="12" fontId="23" numFmtId="0" xfId="0" applyAlignment="1" applyBorder="1" applyFont="1">
      <alignment horizontal="left" readingOrder="0" shrinkToFit="0" vertical="center" wrapText="0"/>
    </xf>
    <xf borderId="0" fillId="12" fontId="12" numFmtId="0" xfId="0" applyAlignment="1" applyFont="1">
      <alignment horizontal="left" shrinkToFit="0" vertical="center" wrapText="0"/>
    </xf>
    <xf borderId="4" fillId="14" fontId="23" numFmtId="0" xfId="0" applyAlignment="1" applyBorder="1" applyFont="1">
      <alignment horizontal="left" readingOrder="0" shrinkToFit="0" vertical="center" wrapText="0"/>
    </xf>
    <xf borderId="4" fillId="53" fontId="23" numFmtId="0" xfId="0" applyAlignment="1" applyBorder="1" applyFill="1" applyFont="1">
      <alignment horizontal="center" readingOrder="0" shrinkToFit="0" vertical="center" wrapText="0"/>
    </xf>
    <xf borderId="31" fillId="8" fontId="11" numFmtId="0" xfId="0" applyAlignment="1" applyBorder="1" applyFont="1">
      <alignment horizontal="left" shrinkToFit="0" wrapText="0"/>
    </xf>
    <xf borderId="4" fillId="53" fontId="23" numFmtId="0" xfId="0" applyAlignment="1" applyBorder="1" applyFont="1">
      <alignment horizontal="right" readingOrder="0" shrinkToFit="0" vertical="center" wrapText="0"/>
    </xf>
    <xf borderId="1" fillId="25" fontId="23" numFmtId="0" xfId="0" applyAlignment="1" applyBorder="1" applyFont="1">
      <alignment horizontal="left" readingOrder="0" shrinkToFit="0" vertical="center" wrapText="0"/>
    </xf>
    <xf borderId="0" fillId="25" fontId="12" numFmtId="0" xfId="0" applyAlignment="1" applyFont="1">
      <alignment horizontal="left" shrinkToFit="0" vertical="center" wrapText="0"/>
    </xf>
    <xf borderId="4" fillId="14" fontId="12" numFmtId="0" xfId="0" applyAlignment="1" applyBorder="1" applyFont="1">
      <alignment horizontal="left" readingOrder="0" shrinkToFit="0" vertical="center" wrapText="0"/>
    </xf>
    <xf borderId="4" fillId="53" fontId="12" numFmtId="0" xfId="0" applyAlignment="1" applyBorder="1" applyFont="1">
      <alignment readingOrder="0" shrinkToFit="0" vertical="center" wrapText="0"/>
    </xf>
    <xf borderId="4" fillId="53" fontId="12" numFmtId="0" xfId="0" applyAlignment="1" applyBorder="1" applyFont="1">
      <alignment horizontal="right" readingOrder="0" shrinkToFit="0" vertical="center" wrapText="0"/>
    </xf>
    <xf borderId="0" fillId="54" fontId="23" numFmtId="0" xfId="0" applyAlignment="1" applyFill="1" applyFont="1">
      <alignment horizontal="left" readingOrder="0" shrinkToFit="0" vertical="center" wrapText="0"/>
    </xf>
    <xf borderId="37" fillId="9" fontId="5" numFmtId="0" xfId="0" applyAlignment="1" applyBorder="1" applyFont="1">
      <alignment horizontal="left" shrinkToFit="0" vertical="center" wrapText="1"/>
    </xf>
    <xf borderId="0" fillId="54" fontId="23" numFmtId="0" xfId="0" applyAlignment="1" applyFont="1">
      <alignment horizontal="left" shrinkToFit="0" vertical="center" wrapText="0"/>
    </xf>
    <xf borderId="9" fillId="6" fontId="35" numFmtId="164" xfId="0" applyAlignment="1" applyBorder="1" applyFont="1" applyNumberFormat="1">
      <alignment horizontal="left" readingOrder="0"/>
    </xf>
    <xf borderId="45" fillId="9" fontId="11" numFmtId="0" xfId="0" applyAlignment="1" applyBorder="1" applyFont="1">
      <alignment shrinkToFit="0" vertical="bottom" wrapText="0"/>
    </xf>
    <xf borderId="37" fillId="9" fontId="155" numFmtId="0" xfId="0" applyAlignment="1" applyBorder="1" applyFont="1">
      <alignment horizontal="left"/>
    </xf>
    <xf borderId="0" fillId="0" fontId="11" numFmtId="167" xfId="0" applyAlignment="1" applyFont="1" applyNumberFormat="1">
      <alignment shrinkToFit="0" vertical="bottom" wrapText="0"/>
    </xf>
    <xf borderId="37" fillId="9" fontId="156" numFmtId="0" xfId="0" applyAlignment="1" applyBorder="1" applyFont="1">
      <alignment horizontal="left" shrinkToFit="0" wrapText="0"/>
    </xf>
    <xf borderId="46" fillId="9" fontId="11" numFmtId="0" xfId="0" applyAlignment="1" applyBorder="1" applyFont="1">
      <alignment shrinkToFit="0" vertical="bottom" wrapText="0"/>
    </xf>
    <xf borderId="50" fillId="8" fontId="11" numFmtId="0" xfId="0" applyAlignment="1" applyBorder="1" applyFont="1">
      <alignment shrinkToFit="0" vertical="bottom" wrapText="0"/>
    </xf>
    <xf borderId="35" fillId="8" fontId="11" numFmtId="0" xfId="0" applyAlignment="1" applyBorder="1" applyFont="1">
      <alignment shrinkToFit="0" vertical="bottom" wrapText="0"/>
    </xf>
    <xf borderId="35" fillId="8" fontId="11" numFmtId="0" xfId="0" applyAlignment="1" applyBorder="1" applyFont="1">
      <alignment shrinkToFit="0" vertical="bottom" wrapText="0"/>
    </xf>
    <xf borderId="4" fillId="6" fontId="27" numFmtId="0" xfId="0" applyAlignment="1" applyBorder="1" applyFont="1">
      <alignment horizontal="left" shrinkToFit="0" vertical="top" wrapText="1"/>
    </xf>
    <xf borderId="37" fillId="6" fontId="11" numFmtId="0" xfId="0" applyAlignment="1" applyBorder="1" applyFont="1">
      <alignment horizontal="left" readingOrder="0"/>
    </xf>
    <xf borderId="37" fillId="6" fontId="35" numFmtId="164" xfId="0" applyAlignment="1" applyBorder="1" applyFont="1" applyNumberFormat="1">
      <alignment horizontal="left"/>
    </xf>
    <xf borderId="4" fillId="55" fontId="23" numFmtId="0" xfId="0" applyAlignment="1" applyBorder="1" applyFill="1" applyFont="1">
      <alignment horizontal="center" readingOrder="0" shrinkToFit="0" vertical="center" wrapText="0"/>
    </xf>
    <xf borderId="36" fillId="8" fontId="11" numFmtId="0" xfId="0" applyAlignment="1" applyBorder="1" applyFont="1">
      <alignment shrinkToFit="0" vertical="bottom" wrapText="0"/>
    </xf>
    <xf borderId="4" fillId="55" fontId="23" numFmtId="0" xfId="0" applyAlignment="1" applyBorder="1" applyFont="1">
      <alignment horizontal="right" readingOrder="0" shrinkToFit="0" vertical="center" wrapText="0"/>
    </xf>
    <xf borderId="37" fillId="9" fontId="157" numFmtId="0" xfId="0" applyAlignment="1" applyBorder="1" applyFont="1">
      <alignment horizontal="left" shrinkToFit="0" wrapText="0"/>
    </xf>
    <xf borderId="0" fillId="8" fontId="11" numFmtId="0" xfId="0" applyAlignment="1" applyFont="1">
      <alignment horizontal="left" shrinkToFit="0" vertical="bottom" wrapText="0"/>
    </xf>
    <xf borderId="0" fillId="8" fontId="11" numFmtId="0" xfId="0" applyAlignment="1" applyFont="1">
      <alignment readingOrder="0" shrinkToFit="0" vertical="bottom" wrapText="0"/>
    </xf>
    <xf borderId="4" fillId="17" fontId="23" numFmtId="0" xfId="0" applyAlignment="1" applyBorder="1" applyFont="1">
      <alignment horizontal="left" readingOrder="0" shrinkToFit="0" vertical="center" wrapText="0"/>
    </xf>
    <xf borderId="5" fillId="8" fontId="11" numFmtId="0" xfId="0" applyAlignment="1" applyBorder="1" applyFont="1">
      <alignment shrinkToFit="0" vertical="bottom" wrapText="0"/>
    </xf>
    <xf borderId="0" fillId="8" fontId="11" numFmtId="0" xfId="0" applyAlignment="1" applyFont="1">
      <alignment horizontal="right" shrinkToFit="0" vertical="bottom" wrapText="0"/>
    </xf>
    <xf borderId="4" fillId="31" fontId="11" numFmtId="164" xfId="0" applyAlignment="1" applyBorder="1" applyFont="1" applyNumberFormat="1">
      <alignment horizontal="right" readingOrder="0" shrinkToFit="0" vertical="bottom" wrapText="0"/>
    </xf>
    <xf borderId="4" fillId="55" fontId="12" numFmtId="0" xfId="0" applyAlignment="1" applyBorder="1" applyFont="1">
      <alignment readingOrder="0" shrinkToFit="0" vertical="center" wrapText="0"/>
    </xf>
    <xf borderId="4" fillId="8" fontId="11" numFmtId="164" xfId="0" applyAlignment="1" applyBorder="1" applyFont="1" applyNumberFormat="1">
      <alignment horizontal="right" readingOrder="0" shrinkToFit="0" vertical="bottom" wrapText="0"/>
    </xf>
    <xf borderId="4" fillId="55" fontId="12" numFmtId="0" xfId="0" applyAlignment="1" applyBorder="1" applyFont="1">
      <alignment horizontal="right" readingOrder="0" shrinkToFit="0" vertical="center" wrapText="0"/>
    </xf>
    <xf borderId="12" fillId="0" fontId="158" numFmtId="0" xfId="0" applyAlignment="1" applyBorder="1" applyFont="1">
      <alignment readingOrder="0" shrinkToFit="0" vertical="bottom" wrapText="0"/>
    </xf>
    <xf borderId="4" fillId="17" fontId="12" numFmtId="0" xfId="0" applyAlignment="1" applyBorder="1" applyFont="1">
      <alignment horizontal="left" readingOrder="0" shrinkToFit="0" vertical="center" wrapText="0"/>
    </xf>
    <xf borderId="12" fillId="0" fontId="159" numFmtId="0" xfId="0" applyAlignment="1" applyBorder="1" applyFont="1">
      <alignment readingOrder="0" shrinkToFit="0" vertical="bottom" wrapText="0"/>
    </xf>
    <xf borderId="51" fillId="6" fontId="35" numFmtId="164" xfId="0" applyAlignment="1" applyBorder="1" applyFont="1" applyNumberFormat="1">
      <alignment horizontal="left"/>
    </xf>
    <xf borderId="0" fillId="0" fontId="12" numFmtId="0" xfId="0" applyAlignment="1" applyFont="1">
      <alignment horizontal="right"/>
    </xf>
    <xf borderId="51" fillId="9" fontId="160" numFmtId="0" xfId="0" applyAlignment="1" applyBorder="1" applyFont="1">
      <alignment horizontal="left" shrinkToFit="0" wrapText="0"/>
    </xf>
    <xf borderId="4" fillId="9" fontId="11" numFmtId="164" xfId="0" applyAlignment="1" applyBorder="1" applyFont="1" applyNumberFormat="1">
      <alignment horizontal="right" readingOrder="0" shrinkToFit="0" vertical="bottom" wrapText="0"/>
    </xf>
    <xf borderId="0" fillId="0" fontId="161" numFmtId="0" xfId="0" applyAlignment="1" applyFont="1">
      <alignment readingOrder="0"/>
    </xf>
    <xf borderId="5" fillId="9" fontId="11" numFmtId="0" xfId="0" applyAlignment="1" applyBorder="1" applyFont="1">
      <alignment shrinkToFit="0" vertical="bottom" wrapText="0"/>
    </xf>
    <xf borderId="4" fillId="24" fontId="23" numFmtId="0" xfId="0" applyAlignment="1" applyBorder="1" applyFont="1">
      <alignment horizontal="center" readingOrder="0"/>
    </xf>
    <xf borderId="0" fillId="8" fontId="4" numFmtId="0" xfId="0" applyAlignment="1" applyFont="1">
      <alignment shrinkToFit="0" vertical="bottom" wrapText="0"/>
    </xf>
    <xf borderId="0" fillId="0" fontId="23" numFmtId="0" xfId="0" applyAlignment="1" applyFont="1">
      <alignment horizontal="center" readingOrder="0" shrinkToFit="0" vertical="center" wrapText="0"/>
    </xf>
    <xf borderId="0" fillId="24" fontId="23" numFmtId="0" xfId="0" applyAlignment="1" applyFont="1">
      <alignment horizontal="left" readingOrder="0" shrinkToFit="0" vertical="center" wrapText="0"/>
    </xf>
    <xf borderId="0" fillId="24" fontId="12" numFmtId="0" xfId="0" applyAlignment="1" applyFont="1">
      <alignment horizontal="left" shrinkToFit="0" vertical="center" wrapText="0"/>
    </xf>
    <xf borderId="0" fillId="0" fontId="23" numFmtId="0" xfId="0" applyAlignment="1" applyFont="1">
      <alignment horizontal="right" readingOrder="0" shrinkToFit="0" vertical="center" wrapText="0"/>
    </xf>
    <xf borderId="12" fillId="0" fontId="162" numFmtId="0" xfId="0" applyAlignment="1" applyBorder="1" applyFont="1">
      <alignment readingOrder="0" shrinkToFit="0" vertical="bottom" wrapText="0"/>
    </xf>
    <xf borderId="0" fillId="0" fontId="12" numFmtId="0" xfId="0" applyAlignment="1" applyFont="1">
      <alignment horizontal="right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12" fillId="9" fontId="11" numFmtId="164" xfId="0" applyAlignment="1" applyBorder="1" applyFont="1" applyNumberFormat="1">
      <alignment horizontal="center" readingOrder="0" vertical="bottom"/>
    </xf>
    <xf borderId="4" fillId="8" fontId="11" numFmtId="166" xfId="0" applyAlignment="1" applyBorder="1" applyFont="1" applyNumberFormat="1">
      <alignment horizontal="right" readingOrder="0" shrinkToFit="0" vertical="bottom" wrapText="0"/>
    </xf>
    <xf borderId="12" fillId="8" fontId="163" numFmtId="0" xfId="0" applyAlignment="1" applyBorder="1" applyFont="1">
      <alignment shrinkToFit="0" vertical="bottom" wrapText="0"/>
    </xf>
    <xf borderId="4" fillId="56" fontId="23" numFmtId="0" xfId="0" applyAlignment="1" applyBorder="1" applyFill="1" applyFont="1">
      <alignment horizontal="center" readingOrder="0" shrinkToFit="0" vertical="center" wrapText="0"/>
    </xf>
    <xf borderId="4" fillId="8" fontId="11" numFmtId="0" xfId="0" applyAlignment="1" applyBorder="1" applyFont="1">
      <alignment horizontal="left" readingOrder="0" shrinkToFit="0" vertical="bottom" wrapText="0"/>
    </xf>
    <xf borderId="4" fillId="0" fontId="11" numFmtId="164" xfId="0" applyAlignment="1" applyBorder="1" applyFont="1" applyNumberFormat="1">
      <alignment horizontal="right" readingOrder="0" shrinkToFit="0" vertical="bottom" wrapText="0"/>
    </xf>
    <xf borderId="12" fillId="8" fontId="11" numFmtId="164" xfId="0" applyAlignment="1" applyBorder="1" applyFont="1" applyNumberFormat="1">
      <alignment horizontal="right" readingOrder="0" shrinkToFit="0" vertical="bottom" wrapText="0"/>
    </xf>
    <xf borderId="4" fillId="56" fontId="23" numFmtId="0" xfId="0" applyAlignment="1" applyBorder="1" applyFont="1">
      <alignment horizontal="right" readingOrder="0" shrinkToFit="0" vertical="center" wrapText="0"/>
    </xf>
    <xf borderId="0" fillId="10" fontId="12" numFmtId="0" xfId="0" applyAlignment="1" applyFont="1">
      <alignment readingOrder="0" shrinkToFit="0" vertical="center" wrapText="0"/>
    </xf>
    <xf borderId="0" fillId="10" fontId="12" numFmtId="0" xfId="0" applyAlignment="1" applyFont="1">
      <alignment horizontal="right" readingOrder="0" shrinkToFit="0" vertical="center" wrapText="0"/>
    </xf>
    <xf borderId="0" fillId="24" fontId="12" numFmtId="0" xfId="0" applyAlignment="1" applyFont="1">
      <alignment readingOrder="0" shrinkToFit="0" vertical="center" wrapText="0"/>
    </xf>
    <xf borderId="0" fillId="24" fontId="12" numFmtId="0" xfId="0" applyAlignment="1" applyFont="1">
      <alignment horizontal="right" readingOrder="0" shrinkToFit="0" vertical="center" wrapText="0"/>
    </xf>
    <xf borderId="4" fillId="57" fontId="23" numFmtId="0" xfId="0" applyAlignment="1" applyBorder="1" applyFill="1" applyFont="1">
      <alignment horizontal="left" readingOrder="0" shrinkToFit="0" vertical="center" wrapText="0"/>
    </xf>
    <xf borderId="0" fillId="24" fontId="12" numFmtId="0" xfId="0" applyAlignment="1" applyFont="1">
      <alignment horizontal="center" readingOrder="0" shrinkToFit="0" vertical="center" wrapText="0"/>
    </xf>
    <xf borderId="4" fillId="0" fontId="11" numFmtId="164" xfId="0" applyAlignment="1" applyBorder="1" applyFont="1" applyNumberFormat="1">
      <alignment horizontal="right" readingOrder="0" shrinkToFit="0" vertical="bottom" wrapText="0"/>
    </xf>
    <xf borderId="4" fillId="6" fontId="35" numFmtId="0" xfId="0" applyAlignment="1" applyBorder="1" applyFont="1">
      <alignment horizontal="left"/>
    </xf>
    <xf borderId="4" fillId="9" fontId="35" numFmtId="0" xfId="0" applyAlignment="1" applyBorder="1" applyFont="1">
      <alignment horizontal="left"/>
    </xf>
    <xf borderId="4" fillId="0" fontId="164" numFmtId="0" xfId="0" applyAlignment="1" applyBorder="1" applyFont="1">
      <alignment horizontal="left" shrinkToFit="0" wrapText="0"/>
    </xf>
    <xf borderId="4" fillId="56" fontId="12" numFmtId="0" xfId="0" applyAlignment="1" applyBorder="1" applyFont="1">
      <alignment readingOrder="0" shrinkToFit="0" vertical="center" wrapText="0"/>
    </xf>
    <xf borderId="0" fillId="0" fontId="165" numFmtId="0" xfId="0" applyAlignment="1" applyFont="1">
      <alignment horizontal="left" shrinkToFit="0" wrapText="0"/>
    </xf>
    <xf borderId="4" fillId="56" fontId="12" numFmtId="0" xfId="0" applyAlignment="1" applyBorder="1" applyFont="1">
      <alignment horizontal="right" readingOrder="0" shrinkToFit="0" vertical="center" wrapText="0"/>
    </xf>
    <xf borderId="4" fillId="9" fontId="27" numFmtId="0" xfId="0" applyAlignment="1" applyBorder="1" applyFont="1">
      <alignment horizontal="left" shrinkToFit="0" wrapText="0"/>
    </xf>
    <xf borderId="4" fillId="58" fontId="27" numFmtId="0" xfId="0" applyAlignment="1" applyBorder="1" applyFill="1" applyFont="1">
      <alignment horizontal="left" shrinkToFit="0" vertical="top" wrapText="1"/>
    </xf>
    <xf borderId="4" fillId="9" fontId="11" numFmtId="164" xfId="0" applyAlignment="1" applyBorder="1" applyFont="1" applyNumberFormat="1">
      <alignment horizontal="right" readingOrder="0" shrinkToFit="0" vertical="bottom" wrapText="0"/>
    </xf>
    <xf borderId="4" fillId="57" fontId="12" numFmtId="0" xfId="0" applyAlignment="1" applyBorder="1" applyFont="1">
      <alignment horizontal="left" readingOrder="0" shrinkToFit="0" vertical="center" wrapText="0"/>
    </xf>
    <xf borderId="12" fillId="0" fontId="166" numFmtId="0" xfId="0" applyAlignment="1" applyBorder="1" applyFont="1">
      <alignment readingOrder="0" shrinkToFit="0" wrapText="0"/>
    </xf>
    <xf borderId="4" fillId="0" fontId="30" numFmtId="0" xfId="0" applyAlignment="1" applyBorder="1" applyFont="1">
      <alignment shrinkToFit="0" wrapText="1"/>
    </xf>
    <xf borderId="13" fillId="6" fontId="102" numFmtId="0" xfId="0" applyAlignment="1" applyBorder="1" applyFont="1">
      <alignment horizontal="left"/>
    </xf>
    <xf borderId="13" fillId="6" fontId="35" numFmtId="164" xfId="0" applyAlignment="1" applyBorder="1" applyFont="1" applyNumberFormat="1">
      <alignment horizontal="left"/>
    </xf>
    <xf borderId="13" fillId="8" fontId="35" numFmtId="164" xfId="0" applyAlignment="1" applyBorder="1" applyFont="1" applyNumberFormat="1">
      <alignment horizontal="left"/>
    </xf>
    <xf borderId="0" fillId="0" fontId="167" numFmtId="0" xfId="0" applyAlignment="1" applyFont="1">
      <alignment readingOrder="0" shrinkToFit="0" vertical="bottom" wrapText="0"/>
    </xf>
    <xf borderId="4" fillId="9" fontId="11" numFmtId="0" xfId="0" applyAlignment="1" applyBorder="1" applyFont="1">
      <alignment readingOrder="0" vertical="bottom"/>
    </xf>
    <xf borderId="4" fillId="9" fontId="11" numFmtId="0" xfId="0" applyAlignment="1" applyBorder="1" applyFont="1">
      <alignment horizontal="right" readingOrder="0" vertical="bottom"/>
    </xf>
    <xf borderId="4" fillId="9" fontId="11" numFmtId="164" xfId="0" applyAlignment="1" applyBorder="1" applyFont="1" applyNumberFormat="1">
      <alignment horizontal="right" readingOrder="0" vertical="bottom"/>
    </xf>
    <xf borderId="1" fillId="9" fontId="11" numFmtId="0" xfId="0" applyAlignment="1" applyBorder="1" applyFont="1">
      <alignment shrinkToFit="0" vertical="bottom" wrapText="0"/>
    </xf>
    <xf borderId="1" fillId="9" fontId="168" numFmtId="0" xfId="0" applyAlignment="1" applyBorder="1" applyFont="1">
      <alignment readingOrder="0" shrinkToFit="0" vertical="bottom" wrapText="0"/>
    </xf>
    <xf borderId="4" fillId="0" fontId="12" numFmtId="0" xfId="0" applyAlignment="1" applyBorder="1" applyFont="1">
      <alignment horizontal="left" shrinkToFit="0" wrapText="0"/>
    </xf>
    <xf borderId="4" fillId="0" fontId="11" numFmtId="0" xfId="0" applyAlignment="1" applyBorder="1" applyFont="1">
      <alignment readingOrder="0" vertical="bottom"/>
    </xf>
    <xf borderId="4" fillId="0" fontId="11" numFmtId="0" xfId="0" applyAlignment="1" applyBorder="1" applyFont="1">
      <alignment horizontal="right" readingOrder="0" vertical="bottom"/>
    </xf>
    <xf borderId="0" fillId="25" fontId="23" numFmtId="0" xfId="0" applyAlignment="1" applyFont="1">
      <alignment horizontal="left" readingOrder="0" shrinkToFit="0" vertical="center" wrapText="0"/>
    </xf>
    <xf borderId="1" fillId="5" fontId="23" numFmtId="0" xfId="0" applyAlignment="1" applyBorder="1" applyFont="1">
      <alignment horizontal="left" readingOrder="0" shrinkToFit="0" vertical="center" wrapText="0"/>
    </xf>
    <xf borderId="4" fillId="0" fontId="11" numFmtId="164" xfId="0" applyAlignment="1" applyBorder="1" applyFont="1" applyNumberFormat="1">
      <alignment horizontal="right" readingOrder="0" vertical="bottom"/>
    </xf>
    <xf borderId="0" fillId="5" fontId="12" numFmtId="0" xfId="0" applyAlignment="1" applyFont="1">
      <alignment horizontal="left" shrinkToFit="0" vertical="center" wrapText="0"/>
    </xf>
    <xf borderId="12" fillId="46" fontId="169" numFmtId="0" xfId="0" applyAlignment="1" applyBorder="1" applyFont="1">
      <alignment horizontal="center" readingOrder="0" vertical="center"/>
    </xf>
    <xf borderId="14" fillId="0" fontId="8" numFmtId="0" xfId="0" applyBorder="1" applyFont="1"/>
    <xf borderId="0" fillId="54" fontId="170" numFmtId="0" xfId="0" applyAlignment="1" applyFont="1">
      <alignment horizontal="center" readingOrder="0" vertical="center"/>
    </xf>
    <xf borderId="16" fillId="0" fontId="8" numFmtId="0" xfId="0" applyBorder="1" applyFont="1"/>
    <xf borderId="4" fillId="59" fontId="23" numFmtId="0" xfId="0" applyAlignment="1" applyBorder="1" applyFill="1" applyFont="1">
      <alignment horizontal="center" readingOrder="0" shrinkToFit="0" vertical="center" wrapText="0"/>
    </xf>
    <xf borderId="8" fillId="0" fontId="8" numFmtId="0" xfId="0" applyBorder="1" applyFont="1"/>
    <xf borderId="4" fillId="59" fontId="23" numFmtId="0" xfId="0" applyAlignment="1" applyBorder="1" applyFont="1">
      <alignment horizontal="right" readingOrder="0" shrinkToFit="0" vertical="center" wrapText="0"/>
    </xf>
    <xf borderId="0" fillId="0" fontId="135" numFmtId="0" xfId="0" applyAlignment="1" applyFont="1">
      <alignment horizontal="left" readingOrder="0" shrinkToFit="0" vertical="center" wrapText="0"/>
    </xf>
    <xf borderId="4" fillId="0" fontId="11" numFmtId="164" xfId="0" applyAlignment="1" applyBorder="1" applyFont="1" applyNumberFormat="1">
      <alignment horizontal="right" readingOrder="0" vertical="bottom"/>
    </xf>
    <xf borderId="0" fillId="0" fontId="171" numFmtId="0" xfId="0" applyAlignment="1" applyFont="1">
      <alignment horizontal="center" readingOrder="0" shrinkToFit="0" vertical="center" wrapText="0"/>
    </xf>
    <xf borderId="0" fillId="0" fontId="172" numFmtId="0" xfId="0" applyAlignment="1" applyFont="1">
      <alignment horizontal="left" readingOrder="0" shrinkToFit="0" vertical="center" wrapText="0"/>
    </xf>
    <xf borderId="4" fillId="60" fontId="23" numFmtId="0" xfId="0" applyAlignment="1" applyBorder="1" applyFill="1" applyFont="1">
      <alignment horizontal="left" readingOrder="0" shrinkToFit="0" vertical="center" wrapText="0"/>
    </xf>
    <xf borderId="4" fillId="8" fontId="11" numFmtId="164" xfId="0" applyAlignment="1" applyBorder="1" applyFont="1" applyNumberFormat="1">
      <alignment horizontal="right" readingOrder="0" shrinkToFit="0" vertical="bottom" wrapText="0"/>
    </xf>
    <xf borderId="4" fillId="60" fontId="12" numFmtId="0" xfId="0" applyAlignment="1" applyBorder="1" applyFont="1">
      <alignment horizontal="left" readingOrder="0" shrinkToFit="0" vertical="center" wrapText="0"/>
    </xf>
    <xf borderId="0" fillId="0" fontId="36" numFmtId="0" xfId="0" applyAlignment="1" applyFont="1">
      <alignment horizontal="left" readingOrder="0" shrinkToFit="0" vertical="center" wrapText="0"/>
    </xf>
    <xf borderId="0" fillId="54" fontId="12" numFmtId="0" xfId="0" applyAlignment="1" applyFont="1">
      <alignment horizontal="left" readingOrder="0" shrinkToFit="0" vertical="center" wrapText="0"/>
    </xf>
    <xf borderId="0" fillId="54" fontId="12" numFmtId="0" xfId="0" applyAlignment="1" applyFont="1">
      <alignment horizontal="left" shrinkToFit="0" vertical="center" wrapText="0"/>
    </xf>
    <xf borderId="0" fillId="0" fontId="172" numFmtId="0" xfId="0" applyAlignment="1" applyFont="1">
      <alignment horizontal="left" readingOrder="0" shrinkToFit="0" vertical="center" wrapText="0"/>
    </xf>
    <xf borderId="1" fillId="0" fontId="173" numFmtId="0" xfId="0" applyAlignment="1" applyBorder="1" applyFont="1">
      <alignment readingOrder="0" shrinkToFit="0" vertical="bottom" wrapText="0"/>
    </xf>
    <xf borderId="9" fillId="8" fontId="174" numFmtId="0" xfId="0" applyAlignment="1" applyBorder="1" applyFont="1">
      <alignment horizontal="left" vertical="center"/>
    </xf>
    <xf borderId="0" fillId="0" fontId="175" numFmtId="0" xfId="0" applyAlignment="1" applyFont="1">
      <alignment horizontal="center" readingOrder="0"/>
    </xf>
    <xf borderId="9" fillId="8" fontId="176" numFmtId="0" xfId="0" applyAlignment="1" applyBorder="1" applyFont="1">
      <alignment horizontal="left"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177" numFmtId="0" xfId="0" applyAlignment="1" applyFont="1">
      <alignment shrinkToFit="0" vertical="bottom" wrapText="0"/>
    </xf>
    <xf borderId="4" fillId="59" fontId="12" numFmtId="0" xfId="0" applyAlignment="1" applyBorder="1" applyFont="1">
      <alignment readingOrder="0" shrinkToFit="0" vertical="center" wrapText="0"/>
    </xf>
    <xf borderId="1" fillId="9" fontId="178" numFmtId="0" xfId="0" applyAlignment="1" applyBorder="1" applyFont="1">
      <alignment shrinkToFit="0" vertical="bottom" wrapText="0"/>
    </xf>
    <xf borderId="4" fillId="59" fontId="12" numFmtId="0" xfId="0" applyAlignment="1" applyBorder="1" applyFont="1">
      <alignment horizontal="right" readingOrder="0" shrinkToFit="0" vertical="center" wrapText="0"/>
    </xf>
    <xf borderId="1" fillId="0" fontId="179" numFmtId="0" xfId="0" applyAlignment="1" applyBorder="1" applyFont="1">
      <alignment readingOrder="0" shrinkToFit="0" vertical="bottom" wrapText="0"/>
    </xf>
    <xf borderId="7" fillId="0" fontId="177" numFmtId="0" xfId="0" applyAlignment="1" applyBorder="1" applyFont="1">
      <alignment horizontal="center" readingOrder="0" shrinkToFit="0" vertical="bottom" wrapText="0"/>
    </xf>
    <xf borderId="8" fillId="0" fontId="177" numFmtId="0" xfId="0" applyAlignment="1" applyBorder="1" applyFont="1">
      <alignment horizontal="center" readingOrder="0" shrinkToFit="0" vertical="bottom" wrapText="0"/>
    </xf>
    <xf borderId="4" fillId="0" fontId="180" numFmtId="0" xfId="0" applyAlignment="1" applyBorder="1" applyFont="1">
      <alignment horizontal="left" readingOrder="0" shrinkToFit="0" vertical="center" wrapText="0"/>
    </xf>
    <xf borderId="4" fillId="0" fontId="181" numFmtId="0" xfId="0" applyAlignment="1" applyBorder="1" applyFont="1">
      <alignment horizontal="left" readingOrder="0" shrinkToFit="0" vertical="center" wrapText="0"/>
    </xf>
    <xf borderId="4" fillId="0" fontId="182" numFmtId="0" xfId="0" applyAlignment="1" applyBorder="1" applyFont="1">
      <alignment horizontal="left" readingOrder="0" shrinkToFit="0" vertical="center" wrapText="0"/>
    </xf>
    <xf borderId="4" fillId="0" fontId="183" numFmtId="0" xfId="0" applyAlignment="1" applyBorder="1" applyFont="1">
      <alignment horizontal="left" readingOrder="0" shrinkToFit="0" vertical="center" wrapText="0"/>
    </xf>
    <xf borderId="4" fillId="0" fontId="130" numFmtId="0" xfId="0" applyAlignment="1" applyBorder="1" applyFont="1">
      <alignment horizontal="left" readingOrder="0" shrinkToFit="0" vertical="center" wrapText="0"/>
    </xf>
    <xf borderId="4" fillId="0" fontId="129" numFmtId="0" xfId="0" applyAlignment="1" applyBorder="1" applyFont="1">
      <alignment horizontal="left" readingOrder="0" shrinkToFit="0" vertical="center" wrapText="0"/>
    </xf>
    <xf borderId="9" fillId="9" fontId="184" numFmtId="0" xfId="0" applyAlignment="1" applyBorder="1" applyFont="1">
      <alignment horizontal="left" readingOrder="0" vertical="center"/>
    </xf>
    <xf borderId="9" fillId="9" fontId="185" numFmtId="0" xfId="0" applyAlignment="1" applyBorder="1" applyFont="1">
      <alignment horizontal="left" readingOrder="0" shrinkToFit="0" vertical="center" wrapText="0"/>
    </xf>
    <xf borderId="16" fillId="9" fontId="186" numFmtId="0" xfId="0" applyAlignment="1" applyBorder="1" applyFont="1">
      <alignment readingOrder="0" shrinkToFit="0" vertical="bottom" wrapText="0"/>
    </xf>
    <xf borderId="4" fillId="0" fontId="187" numFmtId="0" xfId="0" applyAlignment="1" applyBorder="1" applyFont="1">
      <alignment horizontal="left" readingOrder="0" shrinkToFit="0" vertical="center" wrapText="0"/>
    </xf>
    <xf borderId="4" fillId="0" fontId="177" numFmtId="0" xfId="0" applyAlignment="1" applyBorder="1" applyFont="1">
      <alignment horizontal="left" readingOrder="0" shrinkToFit="0" vertical="center" wrapText="0"/>
    </xf>
    <xf borderId="0" fillId="0" fontId="4" numFmtId="0" xfId="0" applyAlignment="1" applyFont="1">
      <alignment readingOrder="0"/>
    </xf>
    <xf borderId="4" fillId="0" fontId="130" numFmtId="0" xfId="0" applyAlignment="1" applyBorder="1" applyFont="1">
      <alignment horizontal="left" shrinkToFit="0" vertical="center" wrapText="0"/>
    </xf>
    <xf borderId="16" fillId="0" fontId="188" numFmtId="0" xfId="0" applyAlignment="1" applyBorder="1" applyFont="1">
      <alignment readingOrder="0" shrinkToFit="0" vertical="bottom" wrapText="0"/>
    </xf>
    <xf borderId="8" fillId="0" fontId="180" numFmtId="0" xfId="0" applyAlignment="1" applyBorder="1" applyFont="1">
      <alignment horizontal="left" readingOrder="0" shrinkToFit="0" vertical="center" wrapText="0"/>
    </xf>
    <xf borderId="4" fillId="60" fontId="12" numFmtId="0" xfId="0" applyAlignment="1" applyBorder="1" applyFont="1">
      <alignment horizontal="left" readingOrder="0" shrinkToFit="0" vertical="center" wrapText="0"/>
    </xf>
    <xf borderId="4" fillId="39" fontId="23" numFmtId="0" xfId="0" applyAlignment="1" applyBorder="1" applyFont="1">
      <alignment horizontal="center" readingOrder="0" shrinkToFit="0" vertical="center" wrapText="0"/>
    </xf>
    <xf borderId="4" fillId="61" fontId="130" numFmtId="0" xfId="0" applyAlignment="1" applyBorder="1" applyFill="1" applyFont="1">
      <alignment horizontal="left" readingOrder="0" shrinkToFit="0" vertical="bottom" wrapText="0"/>
    </xf>
    <xf borderId="4" fillId="61" fontId="180" numFmtId="0" xfId="0" applyAlignment="1" applyBorder="1" applyFont="1">
      <alignment horizontal="left" readingOrder="0" shrinkToFit="0" vertical="center" wrapText="0"/>
    </xf>
    <xf borderId="4" fillId="61" fontId="183" numFmtId="0" xfId="0" applyAlignment="1" applyBorder="1" applyFont="1">
      <alignment horizontal="left" readingOrder="0" shrinkToFit="0" vertical="center" wrapText="0"/>
    </xf>
    <xf borderId="4" fillId="61" fontId="182" numFmtId="0" xfId="0" applyAlignment="1" applyBorder="1" applyFont="1">
      <alignment horizontal="left" readingOrder="0" shrinkToFit="0" vertical="center" wrapText="0"/>
    </xf>
    <xf borderId="5" fillId="8" fontId="11" numFmtId="0" xfId="0" applyAlignment="1" applyBorder="1" applyFont="1">
      <alignment readingOrder="0" shrinkToFit="0" vertical="bottom" wrapText="0"/>
    </xf>
    <xf borderId="4" fillId="16" fontId="12" numFmtId="0" xfId="0" applyAlignment="1" applyBorder="1" applyFont="1">
      <alignment readingOrder="0" shrinkToFit="0" vertical="center" wrapText="0"/>
    </xf>
    <xf borderId="4" fillId="62" fontId="11" numFmtId="0" xfId="0" applyAlignment="1" applyBorder="1" applyFill="1" applyFont="1">
      <alignment readingOrder="0" shrinkToFit="0" vertical="bottom" wrapText="0"/>
    </xf>
    <xf borderId="4" fillId="63" fontId="187" numFmtId="0" xfId="0" applyAlignment="1" applyBorder="1" applyFill="1" applyFont="1">
      <alignment horizontal="left" readingOrder="0" shrinkToFit="0" vertical="center" wrapText="0"/>
    </xf>
    <xf borderId="4" fillId="63" fontId="177" numFmtId="0" xfId="0" applyAlignment="1" applyBorder="1" applyFont="1">
      <alignment horizontal="left" readingOrder="0" shrinkToFit="0" vertical="center" wrapText="0"/>
    </xf>
    <xf borderId="5" fillId="9" fontId="3" numFmtId="0" xfId="0" applyAlignment="1" applyBorder="1" applyFont="1">
      <alignment horizontal="left" shrinkToFit="0" vertical="bottom" wrapText="0"/>
    </xf>
    <xf borderId="0" fillId="8" fontId="4" numFmtId="0" xfId="0" applyAlignment="1" applyFont="1">
      <alignment readingOrder="0"/>
    </xf>
    <xf borderId="4" fillId="55" fontId="130" numFmtId="0" xfId="0" applyAlignment="1" applyBorder="1" applyFont="1">
      <alignment horizontal="left" readingOrder="0" shrinkToFit="0" vertical="bottom" wrapText="0"/>
    </xf>
    <xf borderId="4" fillId="55" fontId="180" numFmtId="0" xfId="0" applyAlignment="1" applyBorder="1" applyFont="1">
      <alignment horizontal="left" readingOrder="0" shrinkToFit="0" vertical="center" wrapText="0"/>
    </xf>
    <xf borderId="4" fillId="55" fontId="183" numFmtId="0" xfId="0" applyAlignment="1" applyBorder="1" applyFont="1">
      <alignment horizontal="left" readingOrder="0" shrinkToFit="0" vertical="center" wrapText="0"/>
    </xf>
    <xf borderId="4" fillId="55" fontId="182" numFmtId="0" xfId="0" applyAlignment="1" applyBorder="1" applyFont="1">
      <alignment horizontal="left" readingOrder="0" shrinkToFit="0" vertical="center" wrapText="0"/>
    </xf>
    <xf borderId="4" fillId="64" fontId="187" numFmtId="0" xfId="0" applyAlignment="1" applyBorder="1" applyFill="1" applyFont="1">
      <alignment horizontal="left" readingOrder="0" shrinkToFit="0" vertical="center" wrapText="0"/>
    </xf>
    <xf borderId="4" fillId="64" fontId="177" numFmtId="0" xfId="0" applyAlignment="1" applyBorder="1" applyFont="1">
      <alignment horizontal="left" readingOrder="0" shrinkToFit="0" vertical="center" wrapText="0"/>
    </xf>
    <xf borderId="4" fillId="0" fontId="130" numFmtId="0" xfId="0" applyAlignment="1" applyBorder="1" applyFont="1">
      <alignment horizontal="left" readingOrder="0" shrinkToFit="0" vertical="bottom" wrapText="0"/>
    </xf>
    <xf borderId="4" fillId="0" fontId="180" numFmtId="0" xfId="0" applyAlignment="1" applyBorder="1" applyFont="1">
      <alignment horizontal="left" readingOrder="0" shrinkToFit="0" vertical="center" wrapText="0"/>
    </xf>
    <xf borderId="4" fillId="0" fontId="183" numFmtId="0" xfId="0" applyAlignment="1" applyBorder="1" applyFont="1">
      <alignment horizontal="left" readingOrder="0" shrinkToFit="0" vertical="center" wrapText="0"/>
    </xf>
    <xf borderId="4" fillId="0" fontId="182" numFmtId="0" xfId="0" applyAlignment="1" applyBorder="1" applyFont="1">
      <alignment horizontal="left" readingOrder="0" shrinkToFit="0" vertical="center" wrapText="0"/>
    </xf>
    <xf borderId="4" fillId="0" fontId="189" numFmtId="0" xfId="0" applyAlignment="1" applyBorder="1" applyFont="1">
      <alignment horizontal="left" readingOrder="0" shrinkToFit="0" vertical="center" wrapText="0"/>
    </xf>
    <xf borderId="4" fillId="0" fontId="11" numFmtId="0" xfId="0" applyAlignment="1" applyBorder="1" applyFont="1">
      <alignment shrinkToFit="0" vertical="bottom" wrapText="0"/>
    </xf>
    <xf borderId="4" fillId="0" fontId="11" numFmtId="164" xfId="0" applyAlignment="1" applyBorder="1" applyFont="1" applyNumberFormat="1">
      <alignment shrinkToFit="0" vertical="bottom" wrapText="0"/>
    </xf>
    <xf borderId="4" fillId="65" fontId="187" numFmtId="0" xfId="0" applyAlignment="1" applyBorder="1" applyFill="1" applyFont="1">
      <alignment horizontal="left" readingOrder="0" shrinkToFit="0" vertical="center" wrapText="0"/>
    </xf>
    <xf borderId="4" fillId="24" fontId="115" numFmtId="0" xfId="0" applyAlignment="1" applyBorder="1" applyFont="1">
      <alignment readingOrder="0" shrinkToFit="0" vertical="bottom" wrapText="0"/>
    </xf>
    <xf borderId="4" fillId="24" fontId="14" numFmtId="0" xfId="0" applyAlignment="1" applyBorder="1" applyFont="1">
      <alignment shrinkToFit="0" vertical="bottom" wrapText="0"/>
    </xf>
    <xf borderId="4" fillId="65" fontId="177" numFmtId="0" xfId="0" applyAlignment="1" applyBorder="1" applyFont="1">
      <alignment horizontal="left" readingOrder="0" shrinkToFit="0" vertical="center" wrapText="0"/>
    </xf>
    <xf borderId="4" fillId="24" fontId="14" numFmtId="164" xfId="0" applyAlignment="1" applyBorder="1" applyFont="1" applyNumberFormat="1">
      <alignment horizontal="right" readingOrder="0" shrinkToFit="0" vertical="bottom" wrapText="0"/>
    </xf>
    <xf borderId="16" fillId="66" fontId="9" numFmtId="0" xfId="0" applyAlignment="1" applyBorder="1" applyFill="1" applyFont="1">
      <alignment horizontal="center" readingOrder="0" shrinkToFit="0" wrapText="0"/>
    </xf>
    <xf borderId="4" fillId="44" fontId="127" numFmtId="0" xfId="0" applyAlignment="1" applyBorder="1" applyFont="1">
      <alignment horizontal="center" readingOrder="0"/>
    </xf>
    <xf borderId="4" fillId="67" fontId="27" numFmtId="0" xfId="0" applyAlignment="1" applyBorder="1" applyFill="1" applyFont="1">
      <alignment horizontal="left" shrinkToFit="0" vertical="top" wrapText="1"/>
    </xf>
    <xf borderId="4" fillId="67" fontId="27" numFmtId="0" xfId="0" applyAlignment="1" applyBorder="1" applyFont="1">
      <alignment horizontal="left" shrinkToFit="0" wrapText="1"/>
    </xf>
    <xf borderId="4" fillId="10" fontId="127" numFmtId="0" xfId="0" applyAlignment="1" applyBorder="1" applyFont="1">
      <alignment horizontal="center" readingOrder="0"/>
    </xf>
    <xf borderId="4" fillId="0" fontId="128" numFmtId="0" xfId="0" applyAlignment="1" applyBorder="1" applyFont="1">
      <alignment horizontal="center" readingOrder="0"/>
    </xf>
    <xf borderId="0" fillId="0" fontId="177" numFmtId="0" xfId="0" applyAlignment="1" applyFont="1">
      <alignment horizontal="left" readingOrder="0" shrinkToFit="0" vertical="bottom" wrapText="0"/>
    </xf>
    <xf borderId="4" fillId="0" fontId="127" numFmtId="0" xfId="0" applyAlignment="1" applyBorder="1" applyFont="1">
      <alignment horizontal="center" readingOrder="0"/>
    </xf>
    <xf borderId="4" fillId="32" fontId="130" numFmtId="0" xfId="0" applyAlignment="1" applyBorder="1" applyFont="1">
      <alignment horizontal="left" readingOrder="0" shrinkToFit="0" vertical="bottom" wrapText="0"/>
    </xf>
    <xf borderId="4" fillId="32" fontId="180" numFmtId="0" xfId="0" applyAlignment="1" applyBorder="1" applyFont="1">
      <alignment horizontal="left" readingOrder="0" shrinkToFit="0" vertical="center" wrapText="0"/>
    </xf>
    <xf borderId="4" fillId="0" fontId="127" numFmtId="9" xfId="0" applyAlignment="1" applyBorder="1" applyFont="1" applyNumberFormat="1">
      <alignment horizontal="center" readingOrder="0"/>
    </xf>
    <xf borderId="37" fillId="6" fontId="11" numFmtId="0" xfId="0" applyAlignment="1" applyBorder="1" applyFont="1">
      <alignment horizontal="left"/>
    </xf>
    <xf borderId="4" fillId="32" fontId="183" numFmtId="0" xfId="0" applyAlignment="1" applyBorder="1" applyFont="1">
      <alignment horizontal="left" readingOrder="0" shrinkToFit="0" vertical="center" wrapText="0"/>
    </xf>
    <xf borderId="4" fillId="32" fontId="182" numFmtId="0" xfId="0" applyAlignment="1" applyBorder="1" applyFont="1">
      <alignment horizontal="left" readingOrder="0" shrinkToFit="0" vertical="center" wrapText="0"/>
    </xf>
    <xf borderId="4" fillId="55" fontId="187" numFmtId="0" xfId="0" applyAlignment="1" applyBorder="1" applyFont="1">
      <alignment horizontal="left" readingOrder="0" shrinkToFit="0" vertical="center" wrapText="0"/>
    </xf>
    <xf borderId="4" fillId="55" fontId="177" numFmtId="0" xfId="0" applyAlignment="1" applyBorder="1" applyFont="1">
      <alignment horizontal="left" readingOrder="0" shrinkToFit="0" vertical="center" wrapText="0"/>
    </xf>
    <xf borderId="4" fillId="68" fontId="130" numFmtId="0" xfId="0" applyAlignment="1" applyBorder="1" applyFill="1" applyFont="1">
      <alignment horizontal="left" readingOrder="0" shrinkToFit="0" vertical="bottom" wrapText="0"/>
    </xf>
    <xf borderId="4" fillId="68" fontId="180" numFmtId="0" xfId="0" applyAlignment="1" applyBorder="1" applyFont="1">
      <alignment horizontal="left" readingOrder="0" shrinkToFit="0" vertical="center" wrapText="0"/>
    </xf>
    <xf borderId="4" fillId="68" fontId="183" numFmtId="0" xfId="0" applyAlignment="1" applyBorder="1" applyFont="1">
      <alignment horizontal="left" readingOrder="0" shrinkToFit="0" vertical="center" wrapText="0"/>
    </xf>
    <xf borderId="4" fillId="68" fontId="182" numFmtId="0" xfId="0" applyAlignment="1" applyBorder="1" applyFont="1">
      <alignment horizontal="left" readingOrder="0" shrinkToFit="0" vertical="center" wrapText="0"/>
    </xf>
    <xf borderId="0" fillId="9" fontId="3" numFmtId="0" xfId="0" applyAlignment="1" applyFont="1">
      <alignment vertical="bottom"/>
    </xf>
    <xf borderId="4" fillId="69" fontId="130" numFmtId="0" xfId="0" applyAlignment="1" applyBorder="1" applyFill="1" applyFont="1">
      <alignment horizontal="left" readingOrder="0" shrinkToFit="0" vertical="bottom" wrapText="0"/>
    </xf>
    <xf borderId="4" fillId="69" fontId="180" numFmtId="0" xfId="0" applyAlignment="1" applyBorder="1" applyFont="1">
      <alignment horizontal="left" readingOrder="0" shrinkToFit="0" vertical="center" wrapText="0"/>
    </xf>
    <xf borderId="4" fillId="69" fontId="183" numFmtId="0" xfId="0" applyAlignment="1" applyBorder="1" applyFont="1">
      <alignment horizontal="left" readingOrder="0" shrinkToFit="0" vertical="center" wrapText="0"/>
    </xf>
    <xf borderId="4" fillId="69" fontId="182" numFmtId="0" xfId="0" applyAlignment="1" applyBorder="1" applyFont="1">
      <alignment horizontal="left" readingOrder="0" shrinkToFit="0" vertical="center" wrapText="0"/>
    </xf>
    <xf borderId="4" fillId="0" fontId="9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center" readingOrder="0"/>
    </xf>
    <xf borderId="0" fillId="70" fontId="23" numFmtId="0" xfId="0" applyAlignment="1" applyFill="1" applyFont="1">
      <alignment horizontal="left" readingOrder="0" shrinkToFit="0" vertical="center" wrapText="0"/>
    </xf>
    <xf borderId="4" fillId="0" fontId="11" numFmtId="9" xfId="0" applyAlignment="1" applyBorder="1" applyFont="1" applyNumberFormat="1">
      <alignment horizontal="center" readingOrder="0"/>
    </xf>
    <xf borderId="4" fillId="60" fontId="129" numFmtId="0" xfId="0" applyAlignment="1" applyBorder="1" applyFont="1">
      <alignment readingOrder="0" shrinkToFit="0" vertical="bottom" wrapText="0"/>
    </xf>
    <xf borderId="9" fillId="9" fontId="190" numFmtId="0" xfId="0" applyAlignment="1" applyBorder="1" applyFont="1">
      <alignment horizontal="left" shrinkToFit="0" wrapText="0"/>
    </xf>
    <xf borderId="4" fillId="71" fontId="23" numFmtId="0" xfId="0" applyAlignment="1" applyBorder="1" applyFill="1" applyFont="1">
      <alignment horizontal="center" readingOrder="0" shrinkToFit="0" vertical="center" wrapText="0"/>
    </xf>
    <xf borderId="4" fillId="0" fontId="129" numFmtId="0" xfId="0" applyAlignment="1" applyBorder="1" applyFont="1">
      <alignment horizontal="right" readingOrder="0" shrinkToFit="0" vertical="bottom" wrapText="0"/>
    </xf>
    <xf borderId="4" fillId="71" fontId="23" numFmtId="0" xfId="0" applyAlignment="1" applyBorder="1" applyFont="1">
      <alignment horizontal="right" readingOrder="0" shrinkToFit="0" vertical="center" wrapText="0"/>
    </xf>
    <xf borderId="0" fillId="8" fontId="3" numFmtId="0" xfId="0" applyFont="1"/>
    <xf borderId="4" fillId="0" fontId="127" numFmtId="9" xfId="0" applyAlignment="1" applyBorder="1" applyFont="1" applyNumberFormat="1">
      <alignment horizontal="right" readingOrder="0" shrinkToFit="0" vertical="bottom" wrapText="0"/>
    </xf>
    <xf borderId="4" fillId="0" fontId="128" numFmtId="0" xfId="0" applyAlignment="1" applyBorder="1" applyFont="1">
      <alignment horizontal="right" readingOrder="0" shrinkToFit="0" vertical="bottom" wrapText="0"/>
    </xf>
    <xf borderId="4" fillId="71" fontId="12" numFmtId="0" xfId="0" applyAlignment="1" applyBorder="1" applyFont="1">
      <alignment readingOrder="0" shrinkToFit="0" vertical="center" wrapText="0"/>
    </xf>
    <xf borderId="4" fillId="71" fontId="12" numFmtId="0" xfId="0" applyAlignment="1" applyBorder="1" applyFont="1">
      <alignment horizontal="right" readingOrder="0" shrinkToFit="0" vertical="center" wrapText="0"/>
    </xf>
    <xf borderId="9" fillId="8" fontId="191" numFmtId="0" xfId="0" applyAlignment="1" applyBorder="1" applyFont="1">
      <alignment horizontal="left" shrinkToFit="0" wrapText="0"/>
    </xf>
    <xf borderId="4" fillId="6" fontId="7" numFmtId="0" xfId="0" applyAlignment="1" applyBorder="1" applyFont="1">
      <alignment horizontal="left" readingOrder="0"/>
    </xf>
    <xf borderId="4" fillId="6" fontId="12" numFmtId="164" xfId="0" applyAlignment="1" applyBorder="1" applyFont="1" applyNumberFormat="1">
      <alignment horizontal="left" readingOrder="0"/>
    </xf>
    <xf borderId="4" fillId="21" fontId="23" numFmtId="0" xfId="0" applyAlignment="1" applyBorder="1" applyFont="1">
      <alignment horizontal="left" readingOrder="0" shrinkToFit="0" vertical="center" wrapText="0"/>
    </xf>
    <xf borderId="4" fillId="0" fontId="12" numFmtId="0" xfId="0" applyAlignment="1" applyBorder="1" applyFont="1">
      <alignment horizontal="left" readingOrder="0" shrinkToFit="0" vertical="center" wrapText="0"/>
    </xf>
    <xf borderId="4" fillId="0" fontId="192" numFmtId="0" xfId="0" applyAlignment="1" applyBorder="1" applyFont="1">
      <alignment horizontal="left" readingOrder="0" shrinkToFit="0" wrapText="0"/>
    </xf>
    <xf borderId="4" fillId="0" fontId="130" numFmtId="0" xfId="0" applyAlignment="1" applyBorder="1" applyFont="1">
      <alignment horizontal="left" readingOrder="0"/>
    </xf>
    <xf borderId="4" fillId="36" fontId="130" numFmtId="0" xfId="0" applyAlignment="1" applyBorder="1" applyFont="1">
      <alignment readingOrder="0" shrinkToFit="0" vertical="bottom" wrapText="0"/>
    </xf>
    <xf borderId="4" fillId="36" fontId="130" numFmtId="0" xfId="0" applyAlignment="1" applyBorder="1" applyFont="1">
      <alignment horizontal="right" readingOrder="0" shrinkToFit="0" vertical="bottom" wrapText="0"/>
    </xf>
    <xf borderId="4" fillId="36" fontId="127" numFmtId="0" xfId="0" applyAlignment="1" applyBorder="1" applyFont="1">
      <alignment readingOrder="0" shrinkToFit="0" vertical="bottom" wrapText="0"/>
    </xf>
    <xf borderId="4" fillId="36" fontId="128" numFmtId="0" xfId="0" applyAlignment="1" applyBorder="1" applyFont="1">
      <alignment horizontal="right" readingOrder="0" shrinkToFit="0" vertical="bottom" wrapText="0"/>
    </xf>
    <xf borderId="0" fillId="9" fontId="3" numFmtId="0" xfId="0" applyFont="1"/>
    <xf borderId="4" fillId="6" fontId="11" numFmtId="0" xfId="0" applyAlignment="1" applyBorder="1" applyFont="1">
      <alignment horizontal="left" readingOrder="0"/>
    </xf>
    <xf borderId="4" fillId="0" fontId="193" numFmtId="0" xfId="0" applyAlignment="1" applyBorder="1" applyFont="1">
      <alignment horizontal="left" readingOrder="0" shrinkToFit="0" wrapText="0"/>
    </xf>
    <xf borderId="0" fillId="0" fontId="11" numFmtId="0" xfId="0" applyFont="1"/>
    <xf borderId="0" fillId="9" fontId="145" numFmtId="0" xfId="0" applyAlignment="1" applyFont="1">
      <alignment horizontal="center" readingOrder="0" vertical="center"/>
    </xf>
    <xf borderId="4" fillId="21" fontId="23" numFmtId="0" xfId="0" applyAlignment="1" applyBorder="1" applyFont="1">
      <alignment horizontal="center" readingOrder="0" shrinkToFit="0" vertical="center" wrapText="0"/>
    </xf>
    <xf borderId="4" fillId="6" fontId="36" numFmtId="0" xfId="0" applyAlignment="1" applyBorder="1" applyFont="1">
      <alignment horizontal="left" readingOrder="0" shrinkToFit="0" vertical="center" wrapText="1"/>
    </xf>
    <xf borderId="4" fillId="6" fontId="7" numFmtId="164" xfId="0" applyAlignment="1" applyBorder="1" applyFont="1" applyNumberFormat="1">
      <alignment horizontal="left" readingOrder="0"/>
    </xf>
    <xf borderId="0" fillId="0" fontId="35" numFmtId="0" xfId="0" applyFont="1"/>
    <xf borderId="0" fillId="6" fontId="7" numFmtId="164" xfId="0" applyAlignment="1" applyFont="1" applyNumberFormat="1">
      <alignment horizontal="left" readingOrder="0"/>
    </xf>
    <xf borderId="4" fillId="6" fontId="35" numFmtId="164" xfId="0" applyAlignment="1" applyBorder="1" applyFont="1" applyNumberFormat="1">
      <alignment horizontal="left" readingOrder="0"/>
    </xf>
    <xf borderId="4" fillId="0" fontId="194" numFmtId="0" xfId="0" applyAlignment="1" applyBorder="1" applyFont="1">
      <alignment horizontal="left" readingOrder="0" shrinkToFit="0" wrapText="0"/>
    </xf>
    <xf borderId="37" fillId="6" fontId="27" numFmtId="0" xfId="0" applyAlignment="1" applyBorder="1" applyFont="1">
      <alignment horizontal="left" shrinkToFit="0" vertical="top" wrapText="1"/>
    </xf>
    <xf borderId="4" fillId="72" fontId="27" numFmtId="0" xfId="0" applyAlignment="1" applyBorder="1" applyFill="1" applyFont="1">
      <alignment horizontal="left" shrinkToFit="0" vertical="top" wrapText="1"/>
    </xf>
    <xf borderId="4" fillId="72" fontId="27" numFmtId="0" xfId="0" applyAlignment="1" applyBorder="1" applyFont="1">
      <alignment horizontal="left" shrinkToFit="0" wrapText="1"/>
    </xf>
    <xf borderId="4" fillId="6" fontId="27" numFmtId="0" xfId="0" applyAlignment="1" applyBorder="1" applyFont="1">
      <alignment horizontal="left"/>
    </xf>
    <xf borderId="4" fillId="72" fontId="35" numFmtId="0" xfId="0" applyAlignment="1" applyBorder="1" applyFont="1">
      <alignment horizontal="left" readingOrder="0" shrinkToFit="0" wrapText="1"/>
    </xf>
    <xf borderId="4" fillId="0" fontId="27" numFmtId="0" xfId="0" applyAlignment="1" applyBorder="1" applyFont="1">
      <alignment horizontal="left" shrinkToFit="0" wrapText="1"/>
    </xf>
    <xf borderId="0" fillId="8" fontId="27" numFmtId="0" xfId="0" applyAlignment="1" applyFont="1">
      <alignment shrinkToFit="0" wrapText="1"/>
    </xf>
    <xf borderId="4" fillId="6" fontId="35" numFmtId="0" xfId="0" applyAlignment="1" applyBorder="1" applyFont="1">
      <alignment horizontal="left" readingOrder="0"/>
    </xf>
    <xf borderId="0" fillId="8" fontId="35" numFmtId="0" xfId="0" applyAlignment="1" applyFont="1">
      <alignment readingOrder="0" shrinkToFit="0" wrapText="1"/>
    </xf>
    <xf borderId="4" fillId="6" fontId="35" numFmtId="0" xfId="0" applyAlignment="1" applyBorder="1" applyFont="1">
      <alignment horizontal="left" readingOrder="0" shrinkToFit="0" vertical="top" wrapText="1"/>
    </xf>
    <xf borderId="4" fillId="8" fontId="35" numFmtId="164" xfId="0" applyAlignment="1" applyBorder="1" applyFont="1" applyNumberFormat="1">
      <alignment horizontal="left"/>
    </xf>
    <xf borderId="4" fillId="62" fontId="11" numFmtId="0" xfId="0" applyAlignment="1" applyBorder="1" applyFont="1">
      <alignment horizontal="left"/>
    </xf>
    <xf borderId="0" fillId="0" fontId="12" numFmtId="0" xfId="0" applyAlignment="1" applyFont="1">
      <alignment horizontal="left" readingOrder="0"/>
    </xf>
    <xf borderId="4" fillId="8" fontId="11" numFmtId="164" xfId="0" applyAlignment="1" applyBorder="1" applyFont="1" applyNumberFormat="1">
      <alignment horizontal="left"/>
    </xf>
    <xf borderId="4" fillId="0" fontId="195" numFmtId="0" xfId="0" applyAlignment="1" applyBorder="1" applyFont="1">
      <alignment horizontal="left" shrinkToFit="0" wrapText="0"/>
    </xf>
    <xf borderId="0" fillId="6" fontId="27" numFmtId="0" xfId="0" applyFont="1"/>
    <xf borderId="4" fillId="24" fontId="27" numFmtId="0" xfId="0" applyAlignment="1" applyBorder="1" applyFont="1">
      <alignment horizontal="left"/>
    </xf>
    <xf borderId="4" fillId="24" fontId="27" numFmtId="164" xfId="0" applyAlignment="1" applyBorder="1" applyFont="1" applyNumberFormat="1">
      <alignment horizontal="left"/>
    </xf>
    <xf borderId="0" fillId="0" fontId="12" numFmtId="0" xfId="0" applyAlignment="1" applyFont="1">
      <alignment horizontal="left"/>
    </xf>
    <xf borderId="0" fillId="6" fontId="129" numFmtId="0" xfId="0" applyAlignment="1" applyFont="1">
      <alignment horizontal="center"/>
    </xf>
    <xf borderId="0" fillId="6" fontId="130" numFmtId="0" xfId="0" applyFont="1"/>
    <xf borderId="4" fillId="0" fontId="27" numFmtId="0" xfId="0" applyAlignment="1" applyBorder="1" applyFont="1">
      <alignment horizontal="left"/>
    </xf>
    <xf borderId="0" fillId="6" fontId="3" numFmtId="0" xfId="0" applyAlignment="1" applyFont="1">
      <alignment vertical="bottom"/>
    </xf>
    <xf borderId="0" fillId="6" fontId="7" numFmtId="0" xfId="0" applyAlignment="1" applyFont="1">
      <alignment readingOrder="0"/>
    </xf>
    <xf borderId="0" fillId="6" fontId="3" numFmtId="0" xfId="0" applyFont="1"/>
    <xf borderId="4" fillId="73" fontId="27" numFmtId="0" xfId="0" applyAlignment="1" applyBorder="1" applyFill="1" applyFont="1">
      <alignment horizontal="left" shrinkToFit="0" vertical="top" wrapText="1"/>
    </xf>
    <xf borderId="4" fillId="0" fontId="24" numFmtId="0" xfId="0" applyAlignment="1" applyBorder="1" applyFont="1">
      <alignment horizontal="left" readingOrder="0" shrinkToFit="0" vertical="center" wrapText="0"/>
    </xf>
    <xf borderId="4" fillId="0" fontId="5" numFmtId="0" xfId="0" applyAlignment="1" applyBorder="1" applyFont="1">
      <alignment horizontal="left" readingOrder="0" shrinkToFit="0" vertical="center" wrapText="0"/>
    </xf>
    <xf borderId="0" fillId="6" fontId="11" numFmtId="0" xfId="0" applyFont="1"/>
    <xf borderId="4" fillId="10" fontId="24" numFmtId="0" xfId="0" applyAlignment="1" applyBorder="1" applyFont="1">
      <alignment horizontal="left" readingOrder="0" shrinkToFit="0" vertical="center" wrapText="1"/>
    </xf>
    <xf borderId="4" fillId="10" fontId="5" numFmtId="0" xfId="0" applyAlignment="1" applyBorder="1" applyFont="1">
      <alignment horizontal="left" readingOrder="0" shrinkToFit="0" vertical="center" wrapText="1"/>
    </xf>
    <xf borderId="0" fillId="6" fontId="3" numFmtId="0" xfId="0" applyAlignment="1" applyFont="1">
      <alignment readingOrder="0"/>
    </xf>
    <xf borderId="4" fillId="8" fontId="196" numFmtId="0" xfId="0" applyAlignment="1" applyBorder="1" applyFont="1">
      <alignment horizontal="left" readingOrder="0" shrinkToFit="0" vertical="center" wrapText="1"/>
    </xf>
    <xf borderId="4" fillId="8" fontId="5" numFmtId="164" xfId="0" applyAlignment="1" applyBorder="1" applyFont="1" applyNumberFormat="1">
      <alignment horizontal="left" readingOrder="0" shrinkToFit="0" vertical="center" wrapText="1"/>
    </xf>
    <xf borderId="4" fillId="8" fontId="5" numFmtId="164" xfId="0" applyAlignment="1" applyBorder="1" applyFont="1" applyNumberFormat="1">
      <alignment horizontal="left" shrinkToFit="0" vertical="center" wrapText="1"/>
    </xf>
    <xf borderId="4" fillId="0" fontId="25" numFmtId="0" xfId="0" applyAlignment="1" applyBorder="1" applyFont="1">
      <alignment horizontal="left" shrinkToFit="0" vertical="center" wrapText="0"/>
    </xf>
    <xf borderId="4" fillId="0" fontId="197" numFmtId="0" xfId="0" applyAlignment="1" applyBorder="1" applyFont="1">
      <alignment horizontal="left" readingOrder="0" shrinkToFit="0" vertical="center" wrapText="0"/>
    </xf>
    <xf borderId="0" fillId="6" fontId="11" numFmtId="0" xfId="0" applyAlignment="1" applyFont="1">
      <alignment readingOrder="0" shrinkToFit="0" wrapText="0"/>
    </xf>
    <xf borderId="0" fillId="6" fontId="35" numFmtId="0" xfId="0" applyAlignment="1" applyFont="1">
      <alignment readingOrder="0"/>
    </xf>
    <xf borderId="4" fillId="74" fontId="27" numFmtId="0" xfId="0" applyAlignment="1" applyBorder="1" applyFill="1" applyFont="1">
      <alignment horizontal="left" shrinkToFit="0" vertical="top" wrapText="1"/>
    </xf>
    <xf borderId="52" fillId="24" fontId="27" numFmtId="0" xfId="0" applyAlignment="1" applyBorder="1" applyFont="1">
      <alignment horizontal="center" shrinkToFit="0" wrapText="1"/>
    </xf>
    <xf borderId="53" fillId="0" fontId="8" numFmtId="0" xfId="0" applyBorder="1" applyFont="1"/>
    <xf borderId="21" fillId="0" fontId="8" numFmtId="0" xfId="0" applyBorder="1" applyFont="1"/>
    <xf borderId="4" fillId="0" fontId="19" numFmtId="0" xfId="0" applyAlignment="1" applyBorder="1" applyFont="1">
      <alignment horizontal="left" readingOrder="0" shrinkToFit="0" vertical="center" wrapText="0"/>
    </xf>
    <xf borderId="4" fillId="0" fontId="19" numFmtId="164" xfId="0" applyAlignment="1" applyBorder="1" applyFont="1" applyNumberFormat="1">
      <alignment horizontal="left" readingOrder="0" shrinkToFit="0" vertical="center" wrapText="0"/>
    </xf>
    <xf borderId="4" fillId="8" fontId="198" numFmtId="0" xfId="0" applyAlignment="1" applyBorder="1" applyFont="1">
      <alignment horizontal="left" readingOrder="0" shrinkToFit="0" vertical="center" wrapText="0"/>
    </xf>
    <xf borderId="4" fillId="0" fontId="199" numFmtId="164" xfId="0" applyAlignment="1" applyBorder="1" applyFont="1" applyNumberFormat="1">
      <alignment horizontal="left" readingOrder="0" shrinkToFit="0" vertical="center" wrapText="0"/>
    </xf>
    <xf borderId="4" fillId="8" fontId="5" numFmtId="164" xfId="0" applyAlignment="1" applyBorder="1" applyFont="1" applyNumberFormat="1">
      <alignment horizontal="left" shrinkToFit="0" vertical="center" wrapText="0"/>
    </xf>
    <xf borderId="4" fillId="12" fontId="24" numFmtId="0" xfId="0" applyAlignment="1" applyBorder="1" applyFont="1">
      <alignment horizontal="left" readingOrder="0" shrinkToFit="0" vertical="center" wrapText="1"/>
    </xf>
    <xf borderId="4" fillId="12" fontId="25" numFmtId="0" xfId="0" applyAlignment="1" applyBorder="1" applyFont="1">
      <alignment horizontal="left" shrinkToFit="0" vertical="center" wrapText="1"/>
    </xf>
    <xf borderId="4" fillId="12" fontId="5" numFmtId="0" xfId="0" applyAlignment="1" applyBorder="1" applyFont="1">
      <alignment horizontal="left" shrinkToFit="0" vertical="center" wrapText="1"/>
    </xf>
    <xf borderId="4" fillId="12" fontId="5" numFmtId="164" xfId="0" applyAlignment="1" applyBorder="1" applyFont="1" applyNumberFormat="1">
      <alignment horizontal="left" shrinkToFit="0" vertical="center" wrapText="1"/>
    </xf>
    <xf borderId="4" fillId="75" fontId="27" numFmtId="0" xfId="0" applyAlignment="1" applyBorder="1" applyFill="1" applyFont="1">
      <alignment horizontal="left" shrinkToFit="0" vertical="top" wrapText="1"/>
    </xf>
    <xf borderId="4" fillId="14" fontId="24" numFmtId="0" xfId="0" applyAlignment="1" applyBorder="1" applyFont="1">
      <alignment horizontal="left" readingOrder="0" shrinkToFit="0" vertical="center" wrapText="1"/>
    </xf>
    <xf borderId="4" fillId="14" fontId="5" numFmtId="0" xfId="0" applyAlignment="1" applyBorder="1" applyFont="1">
      <alignment horizontal="left" shrinkToFit="0" vertical="center" wrapText="1"/>
    </xf>
    <xf borderId="4" fillId="14" fontId="5" numFmtId="0" xfId="0" applyAlignment="1" applyBorder="1" applyFont="1">
      <alignment horizontal="left" readingOrder="0" shrinkToFit="0" vertical="center" wrapText="1"/>
    </xf>
    <xf borderId="4" fillId="8" fontId="5" numFmtId="0" xfId="0" applyAlignment="1" applyBorder="1" applyFont="1">
      <alignment horizontal="left" shrinkToFit="0" vertical="center" wrapText="1"/>
    </xf>
    <xf borderId="4" fillId="0" fontId="200" numFmtId="0" xfId="0" applyAlignment="1" applyBorder="1" applyFont="1">
      <alignment horizontal="left" readingOrder="0" shrinkToFit="0" vertical="center" wrapText="1"/>
    </xf>
    <xf borderId="4" fillId="0" fontId="14" numFmtId="164" xfId="0" applyAlignment="1" applyBorder="1" applyFont="1" applyNumberFormat="1">
      <alignment horizontal="left" readingOrder="0" shrinkToFit="0" vertical="center" wrapText="1"/>
    </xf>
    <xf borderId="4" fillId="75" fontId="27" numFmtId="0" xfId="0" applyAlignment="1" applyBorder="1" applyFont="1">
      <alignment horizontal="left" shrinkToFit="0" wrapText="1"/>
    </xf>
    <xf borderId="4" fillId="0" fontId="12" numFmtId="0" xfId="0" applyAlignment="1" applyBorder="1" applyFont="1">
      <alignment horizontal="left" readingOrder="0" shrinkToFit="0" vertical="center" wrapText="1"/>
    </xf>
    <xf borderId="4" fillId="0" fontId="12" numFmtId="0" xfId="0" applyAlignment="1" applyBorder="1" applyFont="1">
      <alignment horizontal="left" shrinkToFit="0" vertical="center" wrapText="1"/>
    </xf>
    <xf borderId="4" fillId="75" fontId="35" numFmtId="0" xfId="0" applyAlignment="1" applyBorder="1" applyFont="1">
      <alignment horizontal="left" readingOrder="0" shrinkToFit="0" wrapText="1"/>
    </xf>
    <xf borderId="4" fillId="8" fontId="5" numFmtId="0" xfId="0" applyAlignment="1" applyBorder="1" applyFont="1">
      <alignment horizontal="left" shrinkToFit="0" vertical="center" wrapText="0"/>
    </xf>
    <xf borderId="4" fillId="0" fontId="14" numFmtId="164" xfId="0" applyAlignment="1" applyBorder="1" applyFont="1" applyNumberFormat="1">
      <alignment horizontal="left" readingOrder="0" shrinkToFit="0" vertical="center" wrapText="0"/>
    </xf>
    <xf borderId="4" fillId="15" fontId="24" numFmtId="0" xfId="0" applyAlignment="1" applyBorder="1" applyFont="1">
      <alignment horizontal="left" readingOrder="0"/>
    </xf>
    <xf borderId="4" fillId="15" fontId="5" numFmtId="0" xfId="0" applyAlignment="1" applyBorder="1" applyFont="1">
      <alignment horizontal="left" vertical="center"/>
    </xf>
    <xf borderId="4" fillId="15" fontId="5" numFmtId="164" xfId="0" applyAlignment="1" applyBorder="1" applyFont="1" applyNumberFormat="1">
      <alignment horizontal="left" vertical="center"/>
    </xf>
    <xf borderId="4" fillId="16" fontId="24" numFmtId="0" xfId="0" applyAlignment="1" applyBorder="1" applyFont="1">
      <alignment horizontal="left" readingOrder="0"/>
    </xf>
    <xf borderId="4" fillId="16" fontId="5" numFmtId="0" xfId="0" applyAlignment="1" applyBorder="1" applyFont="1">
      <alignment horizontal="left" vertical="center"/>
    </xf>
    <xf borderId="4" fillId="16" fontId="5" numFmtId="0" xfId="0" applyAlignment="1" applyBorder="1" applyFont="1">
      <alignment horizontal="left" readingOrder="0" vertical="center"/>
    </xf>
    <xf borderId="4" fillId="0" fontId="25" numFmtId="0" xfId="0" applyAlignment="1" applyBorder="1" applyFont="1">
      <alignment horizontal="left" readingOrder="0"/>
    </xf>
    <xf borderId="4" fillId="8" fontId="5" numFmtId="0" xfId="0" applyAlignment="1" applyBorder="1" applyFont="1">
      <alignment horizontal="left" vertical="center"/>
    </xf>
    <xf borderId="4" fillId="8" fontId="201" numFmtId="0" xfId="0" applyAlignment="1" applyBorder="1" applyFont="1">
      <alignment horizontal="left" readingOrder="0" vertical="center"/>
    </xf>
    <xf borderId="4" fillId="8" fontId="5" numFmtId="164" xfId="0" applyAlignment="1" applyBorder="1" applyFont="1" applyNumberFormat="1">
      <alignment horizontal="left" readingOrder="0" vertical="center"/>
    </xf>
    <xf borderId="4" fillId="8" fontId="5" numFmtId="164" xfId="0" applyAlignment="1" applyBorder="1" applyFont="1" applyNumberFormat="1">
      <alignment horizontal="left" vertical="center"/>
    </xf>
    <xf borderId="4" fillId="0" fontId="25" numFmtId="0" xfId="0" applyAlignment="1" applyBorder="1" applyFont="1">
      <alignment horizontal="left" readingOrder="0" shrinkToFit="0" wrapText="0"/>
    </xf>
    <xf borderId="4" fillId="8" fontId="5" numFmtId="0" xfId="0" applyAlignment="1" applyBorder="1" applyFont="1">
      <alignment horizontal="left" readingOrder="0" shrinkToFit="0" vertical="center" wrapText="1"/>
    </xf>
    <xf borderId="4" fillId="8" fontId="5" numFmtId="0" xfId="0" applyAlignment="1" applyBorder="1" applyFont="1">
      <alignment horizontal="left" readingOrder="0" vertical="center"/>
    </xf>
    <xf borderId="4" fillId="8" fontId="5" numFmtId="0" xfId="0" applyAlignment="1" applyBorder="1" applyFont="1">
      <alignment horizontal="left" readingOrder="0" vertical="center"/>
    </xf>
    <xf borderId="4" fillId="20" fontId="5" numFmtId="164" xfId="0" applyAlignment="1" applyBorder="1" applyFont="1" applyNumberFormat="1">
      <alignment horizontal="left" readingOrder="0" vertical="center"/>
    </xf>
    <xf borderId="4" fillId="20" fontId="5" numFmtId="164" xfId="0" applyAlignment="1" applyBorder="1" applyFont="1" applyNumberFormat="1">
      <alignment horizontal="left" vertical="center"/>
    </xf>
    <xf borderId="4" fillId="0" fontId="27" numFmtId="0" xfId="0" applyAlignment="1" applyBorder="1" applyFont="1">
      <alignment horizontal="center" shrinkToFit="0" wrapText="1"/>
    </xf>
    <xf borderId="1" fillId="44" fontId="12" numFmtId="0" xfId="0" applyAlignment="1" applyBorder="1" applyFont="1">
      <alignment horizontal="center" readingOrder="0" vertical="center"/>
    </xf>
    <xf borderId="4" fillId="66" fontId="19" numFmtId="0" xfId="0" applyAlignment="1" applyBorder="1" applyFont="1">
      <alignment readingOrder="0"/>
    </xf>
    <xf borderId="4" fillId="76" fontId="27" numFmtId="0" xfId="0" applyAlignment="1" applyBorder="1" applyFill="1" applyFont="1">
      <alignment horizontal="left" shrinkToFit="0" wrapText="1"/>
    </xf>
    <xf borderId="5" fillId="24" fontId="35" numFmtId="0" xfId="0" applyAlignment="1" applyBorder="1" applyFont="1">
      <alignment horizontal="left" readingOrder="0" shrinkToFit="0" wrapText="1"/>
    </xf>
    <xf borderId="5" fillId="5" fontId="35" numFmtId="0" xfId="0" applyAlignment="1" applyBorder="1" applyFont="1">
      <alignment horizontal="left" readingOrder="0" shrinkToFit="0" wrapText="1"/>
    </xf>
    <xf borderId="4" fillId="0" fontId="18" numFmtId="0" xfId="0" applyAlignment="1" applyBorder="1" applyFont="1">
      <alignment readingOrder="0"/>
    </xf>
    <xf borderId="4" fillId="0" fontId="19" numFmtId="0" xfId="0" applyAlignment="1" applyBorder="1" applyFont="1">
      <alignment readingOrder="0"/>
    </xf>
    <xf borderId="4" fillId="77" fontId="27" numFmtId="0" xfId="0" applyAlignment="1" applyBorder="1" applyFill="1" applyFont="1">
      <alignment horizontal="left" shrinkToFit="0" wrapText="1"/>
    </xf>
    <xf borderId="4" fillId="24" fontId="27" numFmtId="0" xfId="0" applyAlignment="1" applyBorder="1" applyFont="1">
      <alignment horizontal="left" shrinkToFit="0" wrapText="1"/>
    </xf>
    <xf borderId="4" fillId="25" fontId="27" numFmtId="0" xfId="0" applyAlignment="1" applyBorder="1" applyFont="1">
      <alignment horizontal="left" shrinkToFit="0" wrapText="1"/>
    </xf>
    <xf borderId="4" fillId="5" fontId="27" numFmtId="0" xfId="0" applyAlignment="1" applyBorder="1" applyFont="1">
      <alignment horizontal="left" shrinkToFit="0" wrapText="1"/>
    </xf>
    <xf borderId="4" fillId="5" fontId="35" numFmtId="0" xfId="0" applyAlignment="1" applyBorder="1" applyFont="1">
      <alignment horizontal="left" readingOrder="0" shrinkToFit="0" wrapText="1"/>
    </xf>
    <xf borderId="4" fillId="5" fontId="12" numFmtId="0" xfId="0" applyAlignment="1" applyBorder="1" applyFont="1">
      <alignment horizontal="left" readingOrder="0" shrinkToFit="0" wrapText="1"/>
    </xf>
    <xf borderId="4" fillId="78" fontId="27" numFmtId="0" xfId="0" applyAlignment="1" applyBorder="1" applyFill="1" applyFont="1">
      <alignment shrinkToFit="0" wrapText="1"/>
    </xf>
    <xf borderId="4" fillId="24" fontId="18" numFmtId="0" xfId="0" applyAlignment="1" applyBorder="1" applyFont="1">
      <alignment readingOrder="0"/>
    </xf>
    <xf borderId="0" fillId="0" fontId="12" numFmtId="0" xfId="0" applyAlignment="1" applyFont="1">
      <alignment shrinkToFit="0" wrapText="1"/>
    </xf>
    <xf borderId="0" fillId="6" fontId="12" numFmtId="0" xfId="0" applyFont="1"/>
    <xf borderId="4" fillId="12" fontId="19" numFmtId="0" xfId="0" applyAlignment="1" applyBorder="1" applyFont="1">
      <alignment readingOrder="0"/>
    </xf>
    <xf borderId="0" fillId="8" fontId="36" numFmtId="0" xfId="0" applyAlignment="1" applyFont="1">
      <alignment readingOrder="0" shrinkToFit="0" wrapText="1"/>
    </xf>
    <xf borderId="0" fillId="8" fontId="12" numFmtId="0" xfId="0" applyAlignment="1" applyFont="1">
      <alignment shrinkToFit="0" wrapText="1"/>
    </xf>
    <xf borderId="3" fillId="0" fontId="27" numFmtId="0" xfId="0" applyAlignment="1" applyBorder="1" applyFont="1">
      <alignment horizontal="center" shrinkToFit="0" wrapText="1"/>
    </xf>
    <xf borderId="0" fillId="6" fontId="27" numFmtId="0" xfId="0" applyAlignment="1" applyFont="1">
      <alignment shrinkToFit="0" vertical="top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</dxfs>
  <tableStyles count="35">
    <tableStyle count="3" pivot="0" name="PISO 1-style">
      <tableStyleElement dxfId="1" type="headerRow"/>
      <tableStyleElement dxfId="2" type="firstRowStripe"/>
      <tableStyleElement dxfId="3" type="secondRowStripe"/>
    </tableStyle>
    <tableStyle count="4" pivot="0" name="PISO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ISO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A GENER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ISO 2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ISO 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ISO 3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A GENERAL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ÁBRIC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CURS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UCURSAL-style 2">
      <tableStyleElement dxfId="3" type="firstRowStripe"/>
      <tableStyleElement dxfId="2" type="secondRowStripe"/>
    </tableStyle>
    <tableStyle count="4" pivot="0" name="BACK BO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VICIO INTERN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VICIO INTERNE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VICIO INTERNET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VICIO INTERNET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VICIO INTERNET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VICIO INTERNET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SERVICIO INTERNET-style 7">
      <tableStyleElement dxfId="1" type="headerRow"/>
      <tableStyleElement dxfId="2" type="firstRowStripe"/>
      <tableStyleElement dxfId="3" type="secondRowStripe"/>
      <tableStyleElement dxfId="6" type="totalRow"/>
      <tableStyleElement dxfId="4" size="0" type="wholeTable"/>
    </tableStyle>
    <tableStyle count="4" pivot="0" name="SERVICIO INTERNET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EXIONES SWITCH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EXIONES SWITCHE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EXIONES SWITCHE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EXIONES SWITCHE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EXIONES SWITCHES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EXIONES SWITCHES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EXIONES SWITCHES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EXIONES SWITCHES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EXIONES SWITCHES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EXIONES SWITCHES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EXIONES SWITCHES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BNETE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BNETE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BNETE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BNETEO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customschemas.google.com/relationships/workbookmetadata" Target="metadata"/><Relationship Id="rId14" Type="http://schemas.openxmlformats.org/officeDocument/2006/relationships/worksheet" Target="worksheets/sheet1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38</xdr:row>
      <xdr:rowOff>228600</xdr:rowOff>
    </xdr:from>
    <xdr:ext cx="3362325" cy="4210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0:E27" displayName="Tabla_1" name="Tabla_1" id="4">
  <tableColumns count="4">
    <tableColumn name="Tubería Comercial (Nombre)" id="1"/>
    <tableColumn name="Diámetro (mm)" id="2"/>
    <tableColumn name="Radio para SketchUp (m)" id="3"/>
    <tableColumn name="Capacidad Máx. (Cables 40%)" id="4"/>
  </tableColumns>
  <tableStyleInfo name="TABLA GENERAL-style" showColumnStripes="0" showFirstColumn="1" showLastColumn="1" showRowStripes="1"/>
</table>
</file>

<file path=xl/tables/table2.xml><?xml version="1.0" encoding="utf-8"?>
<table xmlns="http://schemas.openxmlformats.org/spreadsheetml/2006/main" ref="B32:E38" displayName="Tabla_2" name="Tabla_2" id="8">
  <tableColumns count="4">
    <tableColumn name="Dimensión Comercial (Ancho x Alto)" id="1"/>
    <tableColumn name="Área Total Aprox (mm2)" id="2"/>
    <tableColumn name="Espacio Permitido 40% (mm2)" id="3"/>
    <tableColumn name="Cables Máx. (8mm)" id="4"/>
  </tableColumns>
  <tableStyleInfo name="TABLA GENERAL-style 2" showColumnStripes="0" showFirstColumn="1" showLastColumn="1" showRowStripes="1"/>
</table>
</file>

<file path=xl/tables/table3.xml><?xml version="1.0" encoding="utf-8"?>
<table xmlns="http://schemas.openxmlformats.org/spreadsheetml/2006/main" ref="A14:L26" displayName="Table_1" name="Table_1" id="1">
  <tableColumns count="12">
    <tableColumn name="Área " id="1"/>
    <tableColumn name="Largo" id="2"/>
    <tableColumn name="Ancho" id="3"/>
    <tableColumn name="Altura" id="4"/>
    <tableColumn name="Trabajadores" id="5"/>
    <tableColumn name="Áreas de trabajo" id="6"/>
    <tableColumn name="PCs" id="7"/>
    <tableColumn name="Teléfonos" id="8"/>
    <tableColumn name="Impresoras" id="9"/>
    <tableColumn name="AccesPoint" id="10"/>
    <tableColumn name="Cámaras" id="11"/>
    <tableColumn name="Sensores/Varios" id="12"/>
  </tableColumns>
  <tableStyleInfo name="PISO 1-style" showColumnStripes="0" showFirstColumn="1" showLastColumn="1" showRowStripes="1"/>
</table>
</file>

<file path=xl/tables/table4.xml><?xml version="1.0" encoding="utf-8"?>
<table xmlns="http://schemas.openxmlformats.org/spreadsheetml/2006/main" ref="A41:J55" displayName="RACK_DE_PISO" name="RACK_DE_PISO" id="5">
  <tableColumns count="10">
    <tableColumn name="Switch de Acceso " id="1"/>
    <tableColumn name="Columna 1" id="2"/>
    <tableColumn name="Columna 2" id="3"/>
    <tableColumn name="Columna 3" id="4"/>
    <tableColumn name="Columna 4" id="5"/>
    <tableColumn name="Columna 5" id="6"/>
    <tableColumn name="Columna 6" id="7"/>
    <tableColumn name="Columna 7" id="8"/>
    <tableColumn name="Columna 8" id="9"/>
    <tableColumn name="Columna 9" id="10"/>
  </tableColumns>
  <tableStyleInfo name="PISO 1-style 2" showColumnStripes="0" showFirstColumn="1" showLastColumn="1" showRowStripes="1"/>
</table>
</file>

<file path=xl/tables/table5.xml><?xml version="1.0" encoding="utf-8"?>
<table xmlns="http://schemas.openxmlformats.org/spreadsheetml/2006/main" ref="A57:J72" displayName="Tabla_32" name="Tabla_32" id="2">
  <tableColumns count="10">
    <tableColumn name="Switch de Acceso " id="1"/>
    <tableColumn name="Columna 1" id="2"/>
    <tableColumn name="Columna 2" id="3"/>
    <tableColumn name="Columna 3" id="4"/>
    <tableColumn name="Columna 4" id="5"/>
    <tableColumn name="Columna 5" id="6"/>
    <tableColumn name="Columna 6" id="7"/>
    <tableColumn name="Columna 7" id="8"/>
    <tableColumn name="Columna 8" id="9"/>
    <tableColumn name="Columna 9" id="10"/>
  </tableColumns>
  <tableStyleInfo name="PISO 2-style" showColumnStripes="0" showFirstColumn="1" showLastColumn="1" showRowStripes="1"/>
</table>
</file>

<file path=xl/tables/table6.xml><?xml version="1.0" encoding="utf-8"?>
<table xmlns="http://schemas.openxmlformats.org/spreadsheetml/2006/main" ref="A75:J87" displayName="Tabla_33" name="Tabla_33" id="6">
  <tableColumns count="10">
    <tableColumn name="Switch de Acceso " id="1"/>
    <tableColumn name="Columna 1" id="2"/>
    <tableColumn name="Columna 2" id="3"/>
    <tableColumn name="Columna 3" id="4"/>
    <tableColumn name="Columna 4" id="5"/>
    <tableColumn name="Columna 5" id="6"/>
    <tableColumn name="Columna 6" id="7"/>
    <tableColumn name="Columna 7" id="8"/>
    <tableColumn name="Columna 8" id="9"/>
    <tableColumn name="Columna 9" id="10"/>
  </tableColumns>
  <tableStyleInfo name="PISO 2-style 2" showColumnStripes="0" showFirstColumn="1" showLastColumn="1" showRowStripes="1"/>
</table>
</file>

<file path=xl/tables/table7.xml><?xml version="1.0" encoding="utf-8"?>
<table xmlns="http://schemas.openxmlformats.org/spreadsheetml/2006/main" ref="B32:E40" displayName="Tabla_4" name="Tabla_4" id="3">
  <tableColumns count="4">
    <tableColumn name="Ítem / Concepto" id="1"/>
    <tableColumn name="Cantidad" id="2"/>
    <tableColumn name="Unidad" id="3"/>
    <tableColumn name="Descripción Técnica" id="4"/>
  </tableColumns>
  <tableStyleInfo name="PISO 3-style" showColumnStripes="0" showFirstColumn="1" showLastColumn="1" showRowStripes="1"/>
</table>
</file>

<file path=xl/tables/table8.xml><?xml version="1.0" encoding="utf-8"?>
<table xmlns="http://schemas.openxmlformats.org/spreadsheetml/2006/main" ref="B58:K72" displayName="Tabla_30" name="Tabla_30" id="7">
  <tableColumns count="10">
    <tableColumn name="Switch de Acceso " id="1"/>
    <tableColumn name="Columna 1" id="2"/>
    <tableColumn name="Columna 2" id="3"/>
    <tableColumn name="Columna 3" id="4"/>
    <tableColumn name="Columna 4" id="5"/>
    <tableColumn name="Columna 5" id="6"/>
    <tableColumn name="Columna 6" id="7"/>
    <tableColumn name="Columna 7" id="8"/>
    <tableColumn name="Columna 8" id="9"/>
    <tableColumn name="Columna 9" id="10"/>
  </tableColumns>
  <tableStyleInfo name="PISO 3-style 2" showColumnStripes="0" showFirstColumn="1" showLastColumn="1" showRowStripes="1"/>
</table>
</file>

<file path=xl/tables/table9.xml><?xml version="1.0" encoding="utf-8"?>
<table xmlns="http://schemas.openxmlformats.org/spreadsheetml/2006/main" ref="D92:M104" displayName="Tabla_31" name="Tabla_31" id="9">
  <tableColumns count="10">
    <tableColumn name="Switch de Acceso " id="1"/>
    <tableColumn name="Columna 1" id="2"/>
    <tableColumn name="Columna 2" id="3"/>
    <tableColumn name="Columna 3" id="4"/>
    <tableColumn name="Columna 4" id="5"/>
    <tableColumn name="Columna 5" id="6"/>
    <tableColumn name="Columna 6" id="7"/>
    <tableColumn name="Columna 7" id="8"/>
    <tableColumn name="Columna 8" id="9"/>
    <tableColumn name="Columna 9" id="10"/>
  </tableColumns>
  <tableStyleInfo name="FÁBRICA-style" showColumnStripes="0" showFirstColumn="1" showLastColumn="1" showRowStripes="1"/>
</table>
</file>

<file path=xl/tables/table10.xml><?xml version="1.0" encoding="utf-8"?>
<table xmlns="http://schemas.openxmlformats.org/spreadsheetml/2006/main" ref="A38:J53" displayName="Tabla_25" name="Tabla_25" id="10">
  <tableColumns count="10">
    <tableColumn name="Ítem / Concepto" id="1"/>
    <tableColumn name="Cantidad" id="2"/>
    <tableColumn name="Unidad" id="3"/>
    <tableColumn name="Modelo" id="4"/>
    <tableColumn name="Especificación Clave" id="5"/>
    <tableColumn name="Justificación Técnica" id="6"/>
    <tableColumn name="Link" id="7"/>
    <tableColumn name="Datashit" id="8"/>
    <tableColumn name="Precio Unitario" id="9"/>
    <tableColumn name="Precio Total" id="10"/>
  </tableColumns>
  <tableStyleInfo name="SUCURSAL-style" showColumnStripes="0" showFirstColumn="1" showLastColumn="1" showRowStripes="1"/>
</table>
</file>

<file path=xl/tables/table11.xml><?xml version="1.0" encoding="utf-8"?>
<table xmlns="http://schemas.openxmlformats.org/spreadsheetml/2006/main" headerRowCount="0" ref="E122:G122" displayName="Table_2" name="Table_2" id="11">
  <tableColumns count="3">
    <tableColumn name="Column1" id="1"/>
    <tableColumn name="Column2" id="2"/>
    <tableColumn name="Column3" id="3"/>
  </tableColumns>
  <tableStyleInfo name="SUCURSAL-style 2" showColumnStripes="0" showFirstColumn="1" showLastColumn="1" showRowStripes="1"/>
</table>
</file>

<file path=xl/tables/table12.xml><?xml version="1.0" encoding="utf-8"?>
<table xmlns="http://schemas.openxmlformats.org/spreadsheetml/2006/main" ref="B12:F15" displayName="Tabla_11" name="Tabla_11" id="12">
  <tableColumns count="5">
    <tableColumn name="PRECIO (3m)" id="1"/>
    <tableColumn name="LINK" id="2"/>
    <tableColumn name="FICHA TECNICA" id="3"/>
    <tableColumn name="CANTIDAD" id="4"/>
    <tableColumn name="TOTAL" id="5"/>
  </tableColumns>
  <tableStyleInfo name="BACK BONE-style" showColumnStripes="0" showFirstColumn="1" showLastColumn="1" showRowStripes="1"/>
</table>
</file>

<file path=xl/tables/table13.xml><?xml version="1.0" encoding="utf-8"?>
<table xmlns="http://schemas.openxmlformats.org/spreadsheetml/2006/main" ref="B4:E12" displayName="Tabla_5" name="Tabla_5" id="13">
  <tableColumns count="4">
    <tableColumn name="DISPOSITIVO (WAN)" id="1"/>
    <tableColumn name="Mbps" id="2"/>
    <tableColumn name="# equipos" id="3"/>
    <tableColumn name="CONSUMO TOTAL (Mbps)" id="4"/>
  </tableColumns>
  <tableStyleInfo name="SERVICIO INTERNET-style" showColumnStripes="0" showFirstColumn="1" showLastColumn="1" showRowStripes="1"/>
</table>
</file>

<file path=xl/tables/table14.xml><?xml version="1.0" encoding="utf-8"?>
<table xmlns="http://schemas.openxmlformats.org/spreadsheetml/2006/main" ref="G4:J12" displayName="Tabla_8" name="Tabla_8" id="14">
  <tableColumns count="4">
    <tableColumn name="DISPOSITIVO (WAN)" id="1"/>
    <tableColumn name="Mbps" id="2"/>
    <tableColumn name="# equipos" id="3"/>
    <tableColumn name="CONSUMO TOTAL (Mbps)" id="4"/>
  </tableColumns>
  <tableStyleInfo name="SERVICIO INTERNET-style 2" showColumnStripes="0" showFirstColumn="1" showLastColumn="1" showRowStripes="1"/>
</table>
</file>

<file path=xl/tables/table15.xml><?xml version="1.0" encoding="utf-8"?>
<table xmlns="http://schemas.openxmlformats.org/spreadsheetml/2006/main" ref="M4:P14" displayName="Tabla_12" name="Tabla_12" id="15">
  <tableColumns count="4">
    <tableColumn name="DISPOSITIVO (WAN)" id="1"/>
    <tableColumn name="Mbps" id="2"/>
    <tableColumn name="#equipos" id="3"/>
    <tableColumn name="CONSUMO TOTAL (Mbps)" id="4"/>
  </tableColumns>
  <tableStyleInfo name="SERVICIO INTERNET-style 3" showColumnStripes="0" showFirstColumn="1" showLastColumn="1" showRowStripes="1"/>
</table>
</file>

<file path=xl/tables/table16.xml><?xml version="1.0" encoding="utf-8"?>
<table xmlns="http://schemas.openxmlformats.org/spreadsheetml/2006/main" ref="B15:E20" displayName="Tabla_6" name="Tabla_6" id="16">
  <tableColumns count="4">
    <tableColumn name="DISPOSITIVO (LAN↔DTC)" id="1"/>
    <tableColumn name="Mbps" id="2"/>
    <tableColumn name="# equipos" id="3"/>
    <tableColumn name="CONSUMO TOTAL (Mbps)" id="4"/>
  </tableColumns>
  <tableStyleInfo name="SERVICIO INTERNET-style 4" showColumnStripes="0" showFirstColumn="1" showLastColumn="1" showRowStripes="1"/>
</table>
</file>

<file path=xl/tables/table17.xml><?xml version="1.0" encoding="utf-8"?>
<table xmlns="http://schemas.openxmlformats.org/spreadsheetml/2006/main" ref="G15:J20" displayName="Tabla_9" name="Tabla_9" id="17">
  <tableColumns count="4">
    <tableColumn name="DISPOSITIVO (LAN↔DTC)" id="1"/>
    <tableColumn name="Mbps" id="2"/>
    <tableColumn name="# equipos" id="3"/>
    <tableColumn name="CONSUMO TOTAL (Mbps)" id="4"/>
  </tableColumns>
  <tableStyleInfo name="SERVICIO INTERNET-style 5" showColumnStripes="0" showFirstColumn="1" showLastColumn="1" showRowStripes="1"/>
</table>
</file>

<file path=xl/tables/table18.xml><?xml version="1.0" encoding="utf-8"?>
<table xmlns="http://schemas.openxmlformats.org/spreadsheetml/2006/main" ref="M18:P23" displayName="Tabla_15" name="Tabla_15" id="18">
  <tableColumns count="4">
    <tableColumn name="DISPOSITIVO (LAN↔DTC)" id="1"/>
    <tableColumn name="Mbps" id="2"/>
    <tableColumn name="#equipos" id="3"/>
    <tableColumn name="CONSUMO TOTAL (Mbps)" id="4"/>
  </tableColumns>
  <tableStyleInfo name="SERVICIO INTERNET-style 6" showColumnStripes="0" showFirstColumn="1" showLastColumn="1" showRowStripes="1"/>
</table>
</file>

<file path=xl/tables/table19.xml><?xml version="1.0" encoding="utf-8"?>
<table xmlns="http://schemas.openxmlformats.org/spreadsheetml/2006/main" totalsRowCount="1" ref="B24:E31" displayName="Tabla_7" name="Tabla_7" id="19">
  <tableColumns count="4">
    <tableColumn totalsRowLabel="TOTAL Servidores" name="Servidor (en DTC)" id="1"/>
    <tableColumn totalsRowLabel="49" name="Escenario Bajo (Mbps)" id="2"/>
    <tableColumn totalsRowLabel="140" name="Escenario Típico (Mbps)" id="3"/>
    <tableColumn totalsRowLabel="455" name="Escenario Alto/Pico (Mbps)" id="4"/>
  </tableColumns>
  <tableStyleInfo name="SERVICIO INTERNET-style 7" showColumnStripes="0" showFirstColumn="1" showLastColumn="1" showRowStripes="1"/>
</table>
</file>

<file path=xl/tables/table20.xml><?xml version="1.0" encoding="utf-8"?>
<table xmlns="http://schemas.openxmlformats.org/spreadsheetml/2006/main" ref="G40:M47" displayName="Tabla_29" name="Tabla_29" id="20">
  <tableColumns count="7">
    <tableColumn name="Componente" id="1"/>
    <tableColumn name="Fuente (de tu Excel)" id="2"/>
    <tableColumn name="Valor (Mbps)" id="3"/>
    <tableColumn name="¿Cuenta para Internet?" id="4"/>
    <tableColumn name="Factor aplicado" id="5"/>
    <tableColumn name="Aporte a Internet (Mbps)" id="6"/>
    <tableColumn name="Nota" id="7"/>
  </tableColumns>
  <tableStyleInfo name="SERVICIO INTERNET-style 8" showColumnStripes="0" showFirstColumn="1" showLastColumn="1" showRowStripes="1"/>
</table>
</file>

<file path=xl/tables/table21.xml><?xml version="1.0" encoding="utf-8"?>
<table xmlns="http://schemas.openxmlformats.org/spreadsheetml/2006/main" ref="A2:F29" displayName="Tabla_13" name="Tabla_13" id="21">
  <tableColumns count="6">
    <tableColumn name="PISO 1" id="1"/>
    <tableColumn name="Columna 1" id="2"/>
    <tableColumn name="Columna 2" id="3"/>
    <tableColumn name="Columna 3" id="4"/>
    <tableColumn name="Columna 4" id="5"/>
    <tableColumn name="Columna 5" id="6"/>
  </tableColumns>
  <tableStyleInfo name="CONEXIONES SWITCHES-style" showColumnStripes="0" showFirstColumn="1" showLastColumn="1" showRowStripes="1"/>
</table>
</file>

<file path=xl/tables/table22.xml><?xml version="1.0" encoding="utf-8"?>
<table xmlns="http://schemas.openxmlformats.org/spreadsheetml/2006/main" ref="H2:M36" displayName="Tabla_27" name="Tabla_27" id="22">
  <tableColumns count="6">
    <tableColumn name="PISO 2" id="1"/>
    <tableColumn name="Columna 1" id="2"/>
    <tableColumn name="Columna 2" id="3"/>
    <tableColumn name="Columna 3" id="4"/>
    <tableColumn name="Columna 4" id="5"/>
    <tableColumn name="Columna 5" id="6"/>
  </tableColumns>
  <tableStyleInfo name="CONEXIONES SWITCHES-style 2" showColumnStripes="0" showFirstColumn="1" showLastColumn="1" showRowStripes="1"/>
</table>
</file>

<file path=xl/tables/table23.xml><?xml version="1.0" encoding="utf-8"?>
<table xmlns="http://schemas.openxmlformats.org/spreadsheetml/2006/main" ref="V2:AA37" displayName="Tabla_20" name="Tabla_20" id="23">
  <tableColumns count="6">
    <tableColumn name="PISO 4" id="1"/>
    <tableColumn name="Columna 1" id="2"/>
    <tableColumn name="Columna 2" id="3"/>
    <tableColumn name="Columna 3" id="4"/>
    <tableColumn name="Columna 4" id="5"/>
    <tableColumn name="Columna 5" id="6"/>
  </tableColumns>
  <tableStyleInfo name="CONEXIONES SWITCHES-style 3" showColumnStripes="0" showFirstColumn="1" showLastColumn="1" showRowStripes="1"/>
</table>
</file>

<file path=xl/tables/table24.xml><?xml version="1.0" encoding="utf-8"?>
<table xmlns="http://schemas.openxmlformats.org/spreadsheetml/2006/main" ref="O3:T28" displayName="Tabla_24" name="Tabla_24" id="24">
  <tableColumns count="6">
    <tableColumn name="PISO 3" id="1"/>
    <tableColumn name="Columna 1" id="2"/>
    <tableColumn name="Columna 2" id="3"/>
    <tableColumn name="Columna 3" id="4"/>
    <tableColumn name="Columna 4" id="5"/>
    <tableColumn name="Columna 5" id="6"/>
  </tableColumns>
  <tableStyleInfo name="CONEXIONES SWITCHES-style 4" showColumnStripes="0" showFirstColumn="1" showLastColumn="1" showRowStripes="1"/>
</table>
</file>

<file path=xl/tables/table25.xml><?xml version="1.0" encoding="utf-8"?>
<table xmlns="http://schemas.openxmlformats.org/spreadsheetml/2006/main" ref="AD3:AI31" displayName="Tabla_23" name="Tabla_23" id="25">
  <tableColumns count="6">
    <tableColumn name="Sucursal" id="1"/>
    <tableColumn name="Columna 1" id="2"/>
    <tableColumn name="Columna 2" id="3"/>
    <tableColumn name="Columna 3" id="4"/>
    <tableColumn name="Columna 4" id="5"/>
    <tableColumn name="Columna 5" id="6"/>
  </tableColumns>
  <tableStyleInfo name="CONEXIONES SWITCHES-style 5" showColumnStripes="0" showFirstColumn="1" showLastColumn="1" showRowStripes="1"/>
</table>
</file>

<file path=xl/tables/table26.xml><?xml version="1.0" encoding="utf-8"?>
<table xmlns="http://schemas.openxmlformats.org/spreadsheetml/2006/main" ref="O31:R35" displayName="Tabla_10" name="Tabla_10" id="26">
  <tableColumns count="4">
    <tableColumn name="SWITCH CORE" id="1"/>
    <tableColumn name="Columna 1" id="2"/>
    <tableColumn name="Columna 2" id="3"/>
    <tableColumn name="Columna 3" id="4"/>
  </tableColumns>
  <tableStyleInfo name="CONEXIONES SWITCHES-style 6" showColumnStripes="0" showFirstColumn="1" showLastColumn="1" showRowStripes="1"/>
</table>
</file>

<file path=xl/tables/table27.xml><?xml version="1.0" encoding="utf-8"?>
<table xmlns="http://schemas.openxmlformats.org/spreadsheetml/2006/main" ref="A32:D36" displayName="Tabla_14" name="Tabla_14" id="27">
  <tableColumns count="4">
    <tableColumn name="SWITCH CORE" id="1"/>
    <tableColumn name="Columna 1" id="2"/>
    <tableColumn name="Columna 2" id="3"/>
    <tableColumn name="Columna 3" id="4"/>
  </tableColumns>
  <tableStyleInfo name="CONEXIONES SWITCHES-style 7" showColumnStripes="0" showFirstColumn="1" showLastColumn="1" showRowStripes="1"/>
</table>
</file>

<file path=xl/tables/table28.xml><?xml version="1.0" encoding="utf-8"?>
<table xmlns="http://schemas.openxmlformats.org/spreadsheetml/2006/main" ref="AD34:AH36" displayName="Tabla_22" name="Tabla_22" id="28">
  <tableColumns count="5">
    <tableColumn name="SWITCH CORE" id="1"/>
    <tableColumn name="Columna 1" id="2"/>
    <tableColumn name="Columna 2" id="3"/>
    <tableColumn name="Columna 3" id="4"/>
    <tableColumn name="Columna 4" id="5"/>
  </tableColumns>
  <tableStyleInfo name="CONEXIONES SWITCHES-style 8" showColumnStripes="0" showFirstColumn="1" showLastColumn="1" showRowStripes="1"/>
</table>
</file>

<file path=xl/tables/table29.xml><?xml version="1.0" encoding="utf-8"?>
<table xmlns="http://schemas.openxmlformats.org/spreadsheetml/2006/main" headerRowCount="0" ref="H37:M37" displayName="Tabla_26" name="Tabla_26" id="2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ONEXIONES SWITCHES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.xml><?xml version="1.0" encoding="utf-8"?>
<table xmlns="http://schemas.openxmlformats.org/spreadsheetml/2006/main" ref="H41:K46" displayName="Tabla_28" name="Tabla_28" id="30">
  <tableColumns count="4">
    <tableColumn name="SWITCH CORE" id="1"/>
    <tableColumn name="Columna 1" id="2"/>
    <tableColumn name="Columna 2" id="3"/>
    <tableColumn name="Columna 3" id="4"/>
  </tableColumns>
  <tableStyleInfo name="CONEXIONES SWITCHES-style 10" showColumnStripes="0" showFirstColumn="1" showLastColumn="1" showRowStripes="1"/>
</table>
</file>

<file path=xl/tables/table31.xml><?xml version="1.0" encoding="utf-8"?>
<table xmlns="http://schemas.openxmlformats.org/spreadsheetml/2006/main" ref="V43:Y48" displayName="Tabla_21" name="Tabla_21" id="31">
  <tableColumns count="4">
    <tableColumn name="SWITCH CORE" id="1"/>
    <tableColumn name="Columna 1" id="2"/>
    <tableColumn name="Columna 2" id="3"/>
    <tableColumn name="Columna 3" id="4"/>
  </tableColumns>
  <tableStyleInfo name="CONEXIONES SWITCHES-style 11" showColumnStripes="0" showFirstColumn="1" showLastColumn="1" showRowStripes="1"/>
</table>
</file>

<file path=xl/tables/table32.xml><?xml version="1.0" encoding="utf-8"?>
<table xmlns="http://schemas.openxmlformats.org/spreadsheetml/2006/main" ref="B4:H16" displayName="Tabla_16" name="Tabla_16" id="32">
  <tableColumns count="7">
    <tableColumn name="Columna 1" id="1"/>
    <tableColumn name="Columna 2" id="2"/>
    <tableColumn name="Columna 3" id="3"/>
    <tableColumn name="Columna 4" id="4"/>
    <tableColumn name="Columna 5" id="5"/>
    <tableColumn name="DNS" id="6"/>
    <tableColumn name="Server IoT" id="7"/>
  </tableColumns>
  <tableStyleInfo name="SUBNETEO-style" showColumnStripes="0" showFirstColumn="1" showLastColumn="1" showRowStripes="1"/>
</table>
</file>

<file path=xl/tables/table33.xml><?xml version="1.0" encoding="utf-8"?>
<table xmlns="http://schemas.openxmlformats.org/spreadsheetml/2006/main" ref="K4:P9" displayName="Tabla_17" name="Tabla_17" id="33">
  <tableColumns count="6">
    <tableColumn name="Servidor" id="1"/>
    <tableColumn name="Dirección IP" id="2"/>
    <tableColumn name="Máscara de Subred" id="3"/>
    <tableColumn name="Default Gateway" id="4"/>
    <tableColumn name="DNS Server" id="5"/>
    <tableColumn name="Notas" id="6"/>
  </tableColumns>
  <tableStyleInfo name="SUBNETEO-style 2" showColumnStripes="0" showFirstColumn="1" showLastColumn="1" showRowStripes="1"/>
</table>
</file>

<file path=xl/tables/table34.xml><?xml version="1.0" encoding="utf-8"?>
<table xmlns="http://schemas.openxmlformats.org/spreadsheetml/2006/main" ref="S4:Y10" displayName="Tabla_18" name="Tabla_18" id="34">
  <tableColumns count="7">
    <tableColumn name="VLAN" id="1"/>
    <tableColumn name="Nombre" id="2"/>
    <tableColumn name="Hosts Reales" id="3"/>
    <tableColumn name="Tamaño Necesario" id="4"/>
    <tableColumn name="Máscara" id="5"/>
    <tableColumn name="Gateway (Router)" id="6"/>
    <tableColumn name="Rango de IPs" id="7"/>
  </tableColumns>
  <tableStyleInfo name="SUBNETEO-style 3" showColumnStripes="0" showFirstColumn="1" showLastColumn="1" showRowStripes="1"/>
</table>
</file>

<file path=xl/tables/table35.xml><?xml version="1.0" encoding="utf-8"?>
<table xmlns="http://schemas.openxmlformats.org/spreadsheetml/2006/main" ref="AB4:AH13" displayName="Tabla_19" name="Tabla_19" id="35">
  <tableColumns count="7">
    <tableColumn name="VLAN" id="1"/>
    <tableColumn name="Nombre" id="2"/>
    <tableColumn name="Hosts Reales" id="3"/>
    <tableColumn name="Tamaño Necesario" id="4"/>
    <tableColumn name="Máscara" id="5"/>
    <tableColumn name="Gateway (Router)" id="6"/>
    <tableColumn name="Rango de IPs" id="7"/>
  </tableColumns>
  <tableStyleInfo name="SUBNETEO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ecnit.com.ec/producto/rollo-de-cable-utp-owire-cat6-negro-cca-23awg-outdoor-doble-chaqueta-305mts/?srsltid=AfmBOoqHhcqW1HvdLImKP7uVIrqHKzuJlZgdUPA_IGm1fZIzJNsXN86c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ealink.com/es/product-detail/ip-phone-t31p" TargetMode="External"/><Relationship Id="rId42" Type="http://schemas.openxmlformats.org/officeDocument/2006/relationships/hyperlink" Target="https://www.hp.com/ec-es/products/printers/product-details/2100584485" TargetMode="External"/><Relationship Id="rId41" Type="http://schemas.openxmlformats.org/officeDocument/2006/relationships/hyperlink" Target="https://www.amazon.com/-/es/Tel%C3%A9fono-pulgadas-adaptador-corriente-SIP-T31P/dp/B093KTSMZ1" TargetMode="External"/><Relationship Id="rId44" Type="http://schemas.openxmlformats.org/officeDocument/2006/relationships/hyperlink" Target="https://www.hikvision.com/es-la/products/IP-Products/Network-Cameras/Pro-Series-EasyIP-/ds-2cd2t46g2-isu-sl/" TargetMode="External"/><Relationship Id="rId43" Type="http://schemas.openxmlformats.org/officeDocument/2006/relationships/hyperlink" Target="https://tecmanecuador.com/producto/hp-impresora-laserjet-pro-m428fdw/" TargetMode="External"/><Relationship Id="rId46" Type="http://schemas.openxmlformats.org/officeDocument/2006/relationships/hyperlink" Target="https://www.newegg.com/asus-nuc-14-essential-barebone-systems-mini-pc-intel-n150-processor-4-cores-4-threads-3-60-ghz-6w-tdp-6-mb-intel-smart-cache-rnuc14mnk1500000/p/2SW-000N-000A9?Item=9SIBM9SKG05866" TargetMode="External"/><Relationship Id="rId45" Type="http://schemas.openxmlformats.org/officeDocument/2006/relationships/hyperlink" Target="https://www.securame.com/ds-2cd2t46g2-isusl28mmc-camara-ip-hikvision-4mp-pro-ir60m-28mm-h265-poe-sd-wdr-acusense-p-4991.html" TargetMode="External"/><Relationship Id="rId1" Type="http://schemas.openxmlformats.org/officeDocument/2006/relationships/hyperlink" Target="https://www.cisco.com/c/en/us/products/collateral/switches/catalyst-2960-x-series-switches/datasheet_c78-728232.html?utm_source=chatgpt.com" TargetMode="External"/><Relationship Id="rId2" Type="http://schemas.openxmlformats.org/officeDocument/2006/relationships/hyperlink" Target="https://www.cisco.com/c/en/us/products/collateral/switches/catalyst-2960-x-series-switches/datasheet_c78-728232.html" TargetMode="External"/><Relationship Id="rId3" Type="http://schemas.openxmlformats.org/officeDocument/2006/relationships/hyperlink" Target="https://tripplite.eaton.com/18u-smartrack-deep-rack-enclosure-cabinet~SR18UB" TargetMode="External"/><Relationship Id="rId4" Type="http://schemas.openxmlformats.org/officeDocument/2006/relationships/hyperlink" Target="https://assets.tripplite.com/product-pdfs/en/sr18ub.pdf" TargetMode="External"/><Relationship Id="rId9" Type="http://schemas.openxmlformats.org/officeDocument/2006/relationships/hyperlink" Target="https://www.se.com/us/en/product/AP9565/apc-netshelter-basic-rack-pdu-1u-1-phase-3-7kw-230v-16a-or-3-3kw-208v-16a-12-c13-outlets-c20-cord/" TargetMode="External"/><Relationship Id="rId48" Type="http://schemas.openxmlformats.org/officeDocument/2006/relationships/hyperlink" Target="https://www.amazon.com/-/es/ASUS-Monitor-cuidado-ocular-VA279QG/dp/B0DM6S4FMH/ref=sr_1_6?__mk_es_US=%C3%85M%C3%85%C5%BD%C3%95%C3%91&amp;crid=252G5W7G9B21R&amp;dib=eyJ2IjoiMSJ9.2V6gusNE5rW28YE2hb3s5-DZ4_bZfymxmV6SLyGxqGVKZpPIN0wT3yNx2Khk_gZ1FqxbB6Gdyl6NrMX60aBTG91oxOxhAhd0eC8vIHwuyidQl34JlrKGK8P5LkhVlN-CnnD6IiIouxln45sHizd6hybZjRMLoccmUAAQpKaMF9ZTmNI5CIpUVru-NSrz_yey11oQDI9R-krSjARAhoOtxGTCINGy7ZDasCbPPERBa4I.CQ4eW-rms4YebCM5KLJncCBYt3WzrVbsbGEE7eq-4I8&amp;dib_tag=se&amp;keywords=asus%2Bmonitor&amp;qid=1754240333&amp;sprefix=asus%2Bmonito%2Caps%2C169&amp;sr=8-6&amp;th=1" TargetMode="External"/><Relationship Id="rId47" Type="http://schemas.openxmlformats.org/officeDocument/2006/relationships/hyperlink" Target="https://www.newegg.com/asus-nuc-14-essential-barebone-systems-mini-pc-intel-n150-processor-4-cores-4-threads-3-60-ghz-6w-tdp-6-mb-intel-smart-cache-rnuc14mnk1500000/p/2SW-000N-000A9?Item=9SIBM9SKG05866" TargetMode="External"/><Relationship Id="rId49" Type="http://schemas.openxmlformats.org/officeDocument/2006/relationships/hyperlink" Target="https://www.amazon.com/-/es/ASUS-Monitor-cuidado-ocular-VA279QG/dp/B0DM6S4FMH/ref=sr_1_6?__mk_es_US=%C3%85M%C3%85%C5%BD%C3%95%C3%91&amp;crid=252G5W7G9B21R&amp;dib=eyJ2IjoiMSJ9.2V6gusNE5rW28YE2hb3s5-DZ4_bZfymxmV6SLyGxqGVKZpPIN0wT3yNx2Khk_gZ1FqxbB6Gdyl6NrMX60aBTG91oxOxhAhd0eC8vIHwuyidQl34JlrKGK8P5LkhVlN-CnnD6IiIouxln45sHizd6hybZjRMLoccmUAAQpKaMF9ZTmNI5CIpUVru-NSrz_yey11oQDI9R-krSjARAhoOtxGTCINGy7ZDasCbPPERBa4I.CQ4eW-rms4YebCM5KLJncCBYt3WzrVbsbGEE7eq-4I8&amp;dib_tag=se&amp;keywords=asus%2Bmonitor&amp;qid=1754240333&amp;sprefix=asus%2Bmonito%2Caps%2C169&amp;sr=8-6&amp;th=1" TargetMode="External"/><Relationship Id="rId5" Type="http://schemas.openxmlformats.org/officeDocument/2006/relationships/hyperlink" Target="https://www.panduit.com/en/products/copper-systems/patch-panels-accessories/populated-patch-panels/p202123.html" TargetMode="External"/><Relationship Id="rId6" Type="http://schemas.openxmlformats.org/officeDocument/2006/relationships/hyperlink" Target="https://www.panduit.com/content/dam/panduit/en/products/media/2/02/202/102202.pdf" TargetMode="External"/><Relationship Id="rId7" Type="http://schemas.openxmlformats.org/officeDocument/2006/relationships/hyperlink" Target="https://www.panduit.com/en/products/cabinets-thermal-management-racks-enclosures/cable-managers-accessories/horizontal-cable-managers/p205019.html" TargetMode="External"/><Relationship Id="rId8" Type="http://schemas.openxmlformats.org/officeDocument/2006/relationships/hyperlink" Target="https://www.panduit.com/content/dam/panduit/en/products/media/2/02/202/102202.pdf" TargetMode="External"/><Relationship Id="rId31" Type="http://schemas.openxmlformats.org/officeDocument/2006/relationships/hyperlink" Target="https://suptelcom.com.ec/product/patch-cord-cat6-utp-3ft-blanco-panduit-netkey/" TargetMode="External"/><Relationship Id="rId30" Type="http://schemas.openxmlformats.org/officeDocument/2006/relationships/hyperlink" Target="https://suptelcom.com.ec/wp-content/uploads/2026/01/Ficha-Tenica-o-Data-Sheet-de-NK6PC3Y-Patch-Cord-en-Categoria-6-UTP-3ft-o-1-metro-de-color-Int-Gray-en-Panduit-NetKey.pdf" TargetMode="External"/><Relationship Id="rId33" Type="http://schemas.openxmlformats.org/officeDocument/2006/relationships/hyperlink" Target="https://www.fs.com/mx/products/63446.html" TargetMode="External"/><Relationship Id="rId32" Type="http://schemas.openxmlformats.org/officeDocument/2006/relationships/hyperlink" Target="https://www.fs.com/mx/products/63446.html" TargetMode="External"/><Relationship Id="rId35" Type="http://schemas.openxmlformats.org/officeDocument/2006/relationships/hyperlink" Target="https://ecuacomp.com/producto/cable-de-red-utp-patch-cord-nexxt-cat6-certificado-10-pies-azul-gris/" TargetMode="External"/><Relationship Id="rId34" Type="http://schemas.openxmlformats.org/officeDocument/2006/relationships/hyperlink" Target="https://ecuacomp.com/producto/cable-de-red-utp-patch-cord-nexxt-cat6-certificado-10-pies-azul-gris/" TargetMode="External"/><Relationship Id="rId37" Type="http://schemas.openxmlformats.org/officeDocument/2006/relationships/hyperlink" Target="https://www.dyprelec.com/producto/cajetin-rectangular-sobrepuesto-dexson-55mm/?srsltid=AfmBOoqQNy-prX1qQapc8JqJtL0j8ceU1ryxCEp37jtPlWcOVwzW-bnL" TargetMode="External"/><Relationship Id="rId36" Type="http://schemas.openxmlformats.org/officeDocument/2006/relationships/hyperlink" Target="https://www.se.com/co/es/product/download-pdf/DXN5002S?filename=Schneider+Electric_Dexson_DXN5002S.pdf" TargetMode="External"/><Relationship Id="rId39" Type="http://schemas.openxmlformats.org/officeDocument/2006/relationships/hyperlink" Target="https://articulo.mercadolibre.com.ec/MEC-581849574-conector-jack-rj45-commscope-hembra-cat6-tipo-110-_JM" TargetMode="External"/><Relationship Id="rId38" Type="http://schemas.openxmlformats.org/officeDocument/2006/relationships/hyperlink" Target="https://files.siemon.com/en/specsheet/siemon-z-max-6a-shielded-outlets_spec-sheet.pdf" TargetMode="External"/><Relationship Id="rId62" Type="http://schemas.openxmlformats.org/officeDocument/2006/relationships/hyperlink" Target="https://www.kywi.com.ec/caja-d-paso-20cm-x20cm-tol-galvanizado/p" TargetMode="External"/><Relationship Id="rId61" Type="http://schemas.openxmlformats.org/officeDocument/2006/relationships/hyperlink" Target="https://inselec.com.ec/wp-content/uploads/cajadepasocopia.pdf" TargetMode="External"/><Relationship Id="rId20" Type="http://schemas.openxmlformats.org/officeDocument/2006/relationships/hyperlink" Target="https://jmsecuritysystem.com/shop/lhd-25x15-kopos-lhd-25x15-canaleta-pvc-sin-adhesivo-blanco-2mt-4956?srsltid=AfmBOoqi6cD87f4y1TCtsmMMuuTKEDnD-y7y12uVt3YTye8fZvvLgJBx" TargetMode="External"/><Relationship Id="rId64" Type="http://schemas.openxmlformats.org/officeDocument/2006/relationships/hyperlink" Target="https://tecmanecuador.com/producto/epson-impresora-multifuncional-ecotank-l3250/" TargetMode="External"/><Relationship Id="rId63" Type="http://schemas.openxmlformats.org/officeDocument/2006/relationships/hyperlink" Target="https://h20195.www2.hp.com/v2/getpdf.aspx/c06500066.pdf" TargetMode="External"/><Relationship Id="rId22" Type="http://schemas.openxmlformats.org/officeDocument/2006/relationships/hyperlink" Target="https://www.kywi.com.ec/canaleta-lisa-40x25-blanca-sin-division-dexson-schneider/p" TargetMode="External"/><Relationship Id="rId21" Type="http://schemas.openxmlformats.org/officeDocument/2006/relationships/hyperlink" Target="https://jmsecuritysystem.com/shop/lhd-25x15-kopos-lhd-25x15-canaleta-pvc-sin-adhesivo-blanco-2mt-4956?srsltid=AfmBOoqi6cD87f4y1TCtsmMMuuTKEDnD-y7y12uVt3YTye8fZvvLgJBx" TargetMode="External"/><Relationship Id="rId65" Type="http://schemas.openxmlformats.org/officeDocument/2006/relationships/drawing" Target="../drawings/drawing2.xml"/><Relationship Id="rId24" Type="http://schemas.openxmlformats.org/officeDocument/2006/relationships/hyperlink" Target="https://tecnit.com.ec/producto/faceplate-de-1-puerto-panduit-nk1fiwy-blanco-tapa-para-caja-sobrepuesta/?srsltid=AfmBOorcF9rSoYi1W9-m_TUrB1wkmUPHpuoO9TwFjLlXdUwYUOEOZNgy" TargetMode="External"/><Relationship Id="rId68" Type="http://schemas.openxmlformats.org/officeDocument/2006/relationships/table" Target="../tables/table3.xml"/><Relationship Id="rId23" Type="http://schemas.openxmlformats.org/officeDocument/2006/relationships/hyperlink" Target="https://www.panduit.com/content/dam/panduit/en/products/media/0/10/310/4310/109894310.pdf" TargetMode="External"/><Relationship Id="rId60" Type="http://schemas.openxmlformats.org/officeDocument/2006/relationships/hyperlink" Target="https://www.promart.ec/caja-paso-15x15x10cm-c24-trossa/p" TargetMode="External"/><Relationship Id="rId26" Type="http://schemas.openxmlformats.org/officeDocument/2006/relationships/hyperlink" Target="https://tecnit.com.ec/producto/faceplate-de-2-puertos-panduit-nk2fiwy-blanco-tapa-para-caja-sobrepuesta/?srsltid=AfmBOoqQzZgmpmACDJJz05RWj3YBSQZACE4K6EoYcBW8cuFnzC_XBqQu" TargetMode="External"/><Relationship Id="rId25" Type="http://schemas.openxmlformats.org/officeDocument/2006/relationships/hyperlink" Target="https://www.panduit.com/content/dam/panduit/en/products/media/0/10/310/4310/109894310.pdf" TargetMode="External"/><Relationship Id="rId69" Type="http://schemas.openxmlformats.org/officeDocument/2006/relationships/table" Target="../tables/table4.xml"/><Relationship Id="rId28" Type="http://schemas.openxmlformats.org/officeDocument/2006/relationships/hyperlink" Target="https://connection-cs.com/?m=pn_product.php&amp;id=12&amp;sid=34&amp;pn=CPC-6201" TargetMode="External"/><Relationship Id="rId27" Type="http://schemas.openxmlformats.org/officeDocument/2006/relationships/hyperlink" Target="https://www.kywi.com.ec/canaleta-lisa-40x25-blanca-sin-division-dexson-schneider/p" TargetMode="External"/><Relationship Id="rId29" Type="http://schemas.openxmlformats.org/officeDocument/2006/relationships/hyperlink" Target="https://www.sincables.com.ec/product/cpc-6201-connection-patchcord-utp-100-cobre-23-awg-cat6-1ft-azul/?srsltid=AfmBOooe6YrHjlUSgWYo1MrgDyb3w4Jr05F0bq_R8T0gSHSJJ3ImsOOw" TargetMode="External"/><Relationship Id="rId51" Type="http://schemas.openxmlformats.org/officeDocument/2006/relationships/hyperlink" Target="https://www.cdw.com/product/cisco-catalyst-9115axi-wireless-access-point-bluetooth-wi-fi-6/5561861" TargetMode="External"/><Relationship Id="rId50" Type="http://schemas.openxmlformats.org/officeDocument/2006/relationships/hyperlink" Target="https://www.cdw.com/product/cisco-catalyst-9115axi-wireless-access-point-bluetooth-wi-fi-6/5561861" TargetMode="External"/><Relationship Id="rId53" Type="http://schemas.openxmlformats.org/officeDocument/2006/relationships/hyperlink" Target="https://mariorubio.com.ec/producto/tubo-conduit-pesada-3-4-x-3-mts/" TargetMode="External"/><Relationship Id="rId52" Type="http://schemas.openxmlformats.org/officeDocument/2006/relationships/hyperlink" Target="https://mariorubio.com.ec/producto/tubo-conduit-pesada-3-4-x-3-mts/" TargetMode="External"/><Relationship Id="rId11" Type="http://schemas.openxmlformats.org/officeDocument/2006/relationships/hyperlink" Target="https://download.schneider-electric.com/files?p_Doc_Ref=SPD_ASTE-6Z5Q3K_EN" TargetMode="External"/><Relationship Id="rId55" Type="http://schemas.openxmlformats.org/officeDocument/2006/relationships/hyperlink" Target="https://www.otece.com.ec/producto/tuberia-emt-1/" TargetMode="External"/><Relationship Id="rId10" Type="http://schemas.openxmlformats.org/officeDocument/2006/relationships/hyperlink" Target="https://www.apc.com/us/en/product/SMT1500RM2U/" TargetMode="External"/><Relationship Id="rId54" Type="http://schemas.openxmlformats.org/officeDocument/2006/relationships/hyperlink" Target="https://www.otece.com.ec/producto/tuberia-emt-1/" TargetMode="External"/><Relationship Id="rId13" Type="http://schemas.openxmlformats.org/officeDocument/2006/relationships/hyperlink" Target="https://www.panduit.com/content/dam/panduit/en/products/media/2/02/202/102202.pdf" TargetMode="External"/><Relationship Id="rId57" Type="http://schemas.openxmlformats.org/officeDocument/2006/relationships/hyperlink" Target="https://www.otece.com.ec/producto/tuberia-emt-1-14/" TargetMode="External"/><Relationship Id="rId12" Type="http://schemas.openxmlformats.org/officeDocument/2006/relationships/hyperlink" Target="http://www.panduit.com/en/search.html" TargetMode="External"/><Relationship Id="rId56" Type="http://schemas.openxmlformats.org/officeDocument/2006/relationships/hyperlink" Target="https://www.otece.com.ec/producto/tuberia-emt-1-12/" TargetMode="External"/><Relationship Id="rId15" Type="http://schemas.openxmlformats.org/officeDocument/2006/relationships/hyperlink" Target="https://www.amazon.com/dp/B00HEM61KA" TargetMode="External"/><Relationship Id="rId59" Type="http://schemas.openxmlformats.org/officeDocument/2006/relationships/hyperlink" Target="https://inselec.com.ec/wp-content/uploads/cajadepasocopia.pdf" TargetMode="External"/><Relationship Id="rId14" Type="http://schemas.openxmlformats.org/officeDocument/2006/relationships/hyperlink" Target="https://www.amazon.com/-/es/Cable-Matters-Ethernet-enganches-cable/dp/B0B57PDRS2/ref=sr_1_1?adgrpid=157068332094&amp;dib=eyJ2IjoiMSJ9.QiWYflJhi5f6NCPiCOs_q-JlpmY1wjiRXTw8843DUQB5sIcW6FkE5YdymgtjzU-psEWgKPSSQBW8sVMsVJ4-lLHocGd9w8GaZl5xn4hMfEoPxGdJ9Ab2SYAukoS4vTuoJdxuVWQsM937juZommTG6U9LVtDY_91vPDcloDSf-HmVAlZdHaTk4csmdf5J3BgFtPpCIrM1XwhvQsKJCMvr1tAFAfENKLlkZH6GmqCav_s.fc_da5fcDlEHoHT1Vn0x51i3Inh8OWq61EmcyA49JVM&amp;dib_tag=se&amp;hvadid=689405231718&amp;hvdev=c&amp;hvlocphy=9069516&amp;hvnetw=g&amp;hvqmt=b&amp;hvrand=410004265882181194&amp;hvtargid=kwd-2967232281&amp;hydadcr=20751_13501576&amp;keywords=ethernet%2Bcable%2B5&amp;mcid=d875082dfb8a39aeb78a35e65186538d&amp;qid=1770435774&amp;sr=8-1&amp;th=1" TargetMode="External"/><Relationship Id="rId58" Type="http://schemas.openxmlformats.org/officeDocument/2006/relationships/hyperlink" Target="https://www.otece.com.ec/producto/tuberia-emt-1-14/" TargetMode="External"/><Relationship Id="rId17" Type="http://schemas.openxmlformats.org/officeDocument/2006/relationships/hyperlink" Target="https://www.gruponovelec.com/p/ais_bmpz1010" TargetMode="External"/><Relationship Id="rId16" Type="http://schemas.openxmlformats.org/officeDocument/2006/relationships/hyperlink" Target="https://matmax-aiscan.s3.eu-west-1.amazonaws.com/akeneo_files/AISCAN%20BMPZ.pdf" TargetMode="External"/><Relationship Id="rId19" Type="http://schemas.openxmlformats.org/officeDocument/2006/relationships/hyperlink" Target="https://www.importadoraespinoza.com/wallplate-faceplate-de-4-puertos-rj45" TargetMode="External"/><Relationship Id="rId18" Type="http://schemas.openxmlformats.org/officeDocument/2006/relationships/hyperlink" Target="https://www.panduit.com/content/dam/panduit/en/products/media/0/10/310/4310/109894310.pdf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otece.com.ec/producto/tuberia-emt-1-14/" TargetMode="External"/><Relationship Id="rId42" Type="http://schemas.openxmlformats.org/officeDocument/2006/relationships/hyperlink" Target="https://assets.tramontina.com.br/upload/tramon/imagens/ELT/57300014FIE001.pdf" TargetMode="External"/><Relationship Id="rId41" Type="http://schemas.openxmlformats.org/officeDocument/2006/relationships/hyperlink" Target="https://www.otece.com.ec/producto/tuberia-emt-1-14/" TargetMode="External"/><Relationship Id="rId44" Type="http://schemas.openxmlformats.org/officeDocument/2006/relationships/hyperlink" Target="https://assets.tramontina.com.br/upload/tramon/imagens/ELT/57300014FIE001.pdf" TargetMode="External"/><Relationship Id="rId43" Type="http://schemas.openxmlformats.org/officeDocument/2006/relationships/hyperlink" Target="https://jmsecuritysystem.com/shop/lhd-25x15-kopos-lhd-25x15-canaleta-pvc-sin-adhesivo-blanco-2mt-4956?srsltid=AfmBOoqi6cD87f4y1TCtsmMMuuTKEDnD-y7y12uVt3YTye8fZvvLgJBx" TargetMode="External"/><Relationship Id="rId46" Type="http://schemas.openxmlformats.org/officeDocument/2006/relationships/hyperlink" Target="https://inselec.com.ec/wp-content/uploads/cajadepasocopia.pdf" TargetMode="External"/><Relationship Id="rId45" Type="http://schemas.openxmlformats.org/officeDocument/2006/relationships/hyperlink" Target="https://www.kywi.com.ec/canaleta-lisa-40x25-blanca-sin-division-dexson-schneider/p" TargetMode="External"/><Relationship Id="rId1" Type="http://schemas.openxmlformats.org/officeDocument/2006/relationships/hyperlink" Target="https://www.cisco.com/c/en/us/products/collateral/switches/catalyst-2960-x-series-switches/datasheet_c78-728232.html?utm_source=chatgpt.com" TargetMode="External"/><Relationship Id="rId2" Type="http://schemas.openxmlformats.org/officeDocument/2006/relationships/hyperlink" Target="https://www.cisco.com/c/en/us/products/collateral/switches/catalyst-2960-x-series-switches/datasheet_c78-728232.html" TargetMode="External"/><Relationship Id="rId3" Type="http://schemas.openxmlformats.org/officeDocument/2006/relationships/hyperlink" Target="https://tripplite.eaton.com/18u-smartrack-deep-rack-enclosure-cabinet~SR18UB" TargetMode="External"/><Relationship Id="rId4" Type="http://schemas.openxmlformats.org/officeDocument/2006/relationships/hyperlink" Target="https://assets.tripplite.com/product-pdfs/en/sr18ub.pdf" TargetMode="External"/><Relationship Id="rId9" Type="http://schemas.openxmlformats.org/officeDocument/2006/relationships/hyperlink" Target="https://www.se.com/us/en/product/AP9565/apc-netshelter-basic-rack-pdu-1u-1-phase-3-7kw-230v-16a-or-3-3kw-208v-16a-12-c13-outlets-c20-cord/" TargetMode="External"/><Relationship Id="rId48" Type="http://schemas.openxmlformats.org/officeDocument/2006/relationships/hyperlink" Target="https://inselec.com.ec/wp-content/uploads/cajadepasocopia.pdf" TargetMode="External"/><Relationship Id="rId47" Type="http://schemas.openxmlformats.org/officeDocument/2006/relationships/hyperlink" Target="https://www.promart.ec/caja-paso-100x100x55-ip55-500dg-dexson/p?srsltid=AfmBOopuPcDdlnk965r90GSNqBGTqBTfU2s4MrrEmlkDbxfSVxwr-YnW" TargetMode="External"/><Relationship Id="rId49" Type="http://schemas.openxmlformats.org/officeDocument/2006/relationships/hyperlink" Target="https://www.promart.ec/caja-paso-15x15x10cm-c24-trossa/p" TargetMode="External"/><Relationship Id="rId5" Type="http://schemas.openxmlformats.org/officeDocument/2006/relationships/hyperlink" Target="https://www.panduit.com/en/products/copper-systems/patch-panels-accessories/populated-patch-panels/p202123.html" TargetMode="External"/><Relationship Id="rId6" Type="http://schemas.openxmlformats.org/officeDocument/2006/relationships/hyperlink" Target="https://www.panduit.com/content/dam/panduit/en/products/media/2/02/202/102202.pdf" TargetMode="External"/><Relationship Id="rId7" Type="http://schemas.openxmlformats.org/officeDocument/2006/relationships/hyperlink" Target="https://www.panduit.com/en/products/cabinets-thermal-management-racks-enclosures/cable-managers-accessories/horizontal-cable-managers/p205019.html" TargetMode="External"/><Relationship Id="rId8" Type="http://schemas.openxmlformats.org/officeDocument/2006/relationships/hyperlink" Target="https://www.panduit.com/content/dam/panduit/en/products/media/2/02/202/102202.pdf" TargetMode="External"/><Relationship Id="rId72" Type="http://schemas.openxmlformats.org/officeDocument/2006/relationships/drawing" Target="../drawings/drawing3.xml"/><Relationship Id="rId31" Type="http://schemas.openxmlformats.org/officeDocument/2006/relationships/hyperlink" Target="https://connection-cs.com/?m=pn_product.php&amp;id=12&amp;sid=34&amp;pn=CPC-6201" TargetMode="External"/><Relationship Id="rId75" Type="http://schemas.openxmlformats.org/officeDocument/2006/relationships/table" Target="../tables/table5.xml"/><Relationship Id="rId30" Type="http://schemas.openxmlformats.org/officeDocument/2006/relationships/hyperlink" Target="https://articulo.mercadolibre.com.ec/MEC-581849574-conector-jack-rj45-commscope-hembra-cat6-tipo-110-_JM" TargetMode="External"/><Relationship Id="rId33" Type="http://schemas.openxmlformats.org/officeDocument/2006/relationships/hyperlink" Target="https://www.fs.com/mx/products/63446.html" TargetMode="External"/><Relationship Id="rId32" Type="http://schemas.openxmlformats.org/officeDocument/2006/relationships/hyperlink" Target="https://www.sincables.com.ec/product/cpc-6201-connection-patchcord-utp-100-cobre-23-awg-cat6-1ft-azul/?srsltid=AfmBOooe6YrHjlUSgWYo1MrgDyb3w4Jr05F0bq_R8T0gSHSJJ3ImsOOw" TargetMode="External"/><Relationship Id="rId76" Type="http://schemas.openxmlformats.org/officeDocument/2006/relationships/table" Target="../tables/table6.xml"/><Relationship Id="rId35" Type="http://schemas.openxmlformats.org/officeDocument/2006/relationships/hyperlink" Target="https://mariorubio.com.ec/producto/tubo-conduit-pesada-3-4-x-3-mts/" TargetMode="External"/><Relationship Id="rId34" Type="http://schemas.openxmlformats.org/officeDocument/2006/relationships/hyperlink" Target="https://www.fs.com/mx/products/63446.html" TargetMode="External"/><Relationship Id="rId71" Type="http://schemas.openxmlformats.org/officeDocument/2006/relationships/hyperlink" Target="https://www.cdw.com/product/cisco-catalyst-9115axi-wireless-access-point-bluetooth-wi-fi-6/5561861" TargetMode="External"/><Relationship Id="rId70" Type="http://schemas.openxmlformats.org/officeDocument/2006/relationships/hyperlink" Target="https://www.password.mx/wp-content/uploads/pdfs/Cisco-Catalyst-9115AX-Series-Access-Points-Data-Sheet.pdf" TargetMode="External"/><Relationship Id="rId37" Type="http://schemas.openxmlformats.org/officeDocument/2006/relationships/hyperlink" Target="https://www.otece.com.ec/producto/tuberia-emt-1/" TargetMode="External"/><Relationship Id="rId36" Type="http://schemas.openxmlformats.org/officeDocument/2006/relationships/hyperlink" Target="https://mariorubio.com.ec/producto/tubo-conduit-pesada-3-4-x-3-mts/" TargetMode="External"/><Relationship Id="rId39" Type="http://schemas.openxmlformats.org/officeDocument/2006/relationships/hyperlink" Target="https://www.otece.com.ec/producto/tuberia-emt-1-12/" TargetMode="External"/><Relationship Id="rId38" Type="http://schemas.openxmlformats.org/officeDocument/2006/relationships/hyperlink" Target="https://www.otece.com.ec/producto/tuberia-emt-1/" TargetMode="External"/><Relationship Id="rId62" Type="http://schemas.openxmlformats.org/officeDocument/2006/relationships/hyperlink" Target="https://h20195.www2.hp.com/v2/GetPDF.aspx/4aa7-5286spl.pdf" TargetMode="External"/><Relationship Id="rId61" Type="http://schemas.openxmlformats.org/officeDocument/2006/relationships/hyperlink" Target="https://www.senetic.es/product/7PS84A_B19" TargetMode="External"/><Relationship Id="rId20" Type="http://schemas.openxmlformats.org/officeDocument/2006/relationships/hyperlink" Target="https://tripplite.eaton.com/18u-smartrack-deep-rack-enclosure-cabinet~SR18UB" TargetMode="External"/><Relationship Id="rId64" Type="http://schemas.openxmlformats.org/officeDocument/2006/relationships/hyperlink" Target="https://www.amazon.com/Fire-TV-4-Series-50-pulgadas/dp/B0DFNFX2K7/ref=sr_1_1_ffob_sspa?adgrpid=168532895743&amp;dib=eyJ2IjoiMSJ9.bf-xjk8M2V1K4MKDwaRlOxB8P8oaKyIwZ0-MMyRN7MgiIiQ0VTr2xZFcBLPJrEtVxOm0O8YCtPsmD6eYKWrII4zviXwI9irZI544gtV-lMogzi7V3BfbrF3NsYCwPqstw-0g2Ax1wS4q_FU-iZRNVsCkWdXoowYZxAR_mvuLXdJuJjpQHg04gTpXePouZpZfVjwWS36jdnZwQ5Lsvqb-9mETWYQEv9rwumPzyvgVi4w.-wVFwXdMgaIgWbWWjksy6ri-L9uH0B8kiTMcSl6chuE&amp;dib_tag=se&amp;hvadid=719677620400&amp;hvdev=c&amp;hvlocphy=9077255&amp;hvnetw=g&amp;hvqmt=b&amp;hvrand=2017113633575097709&amp;hvtargid=kwd-305071938892&amp;hydadcr=1080_1015230978&amp;keywords=televisi%C3%B3n%2Bde%2B55%2Bpulgadas&amp;mcid=ddb0e284fcb83864937d888975d0f31c&amp;qid=1770662941&amp;sr=8-1-spons&amp;sp_csd=d2lkZ2V0TmFtZT1zcF9hdGY&amp;th=0" TargetMode="External"/><Relationship Id="rId63" Type="http://schemas.openxmlformats.org/officeDocument/2006/relationships/hyperlink" Target="https://www.amazon.com/gp/aw/d/B08VDS4Y5H/?_encoding=UTF8&amp;pd_rd_plhdr=t&amp;aaxitk=322a25b63defbd561704b89bc88071ea&amp;hsa_cr_id=0&amp;qid=1770662805&amp;sr=1-1-9e67e56a-6f64-441f-a281-df67fc737124&amp;ref_=sbx_s_sparkle_sbtcd_asin_0_img&amp;pd_rd_w=fBeCI&amp;content-id=amzn1.sym.9f2b2b9e-47e9-4764-a4dc-2be2f6fca36d%3Aamzn1.sym.9f2b2b9e-47e9-4764-a4dc-2be2f6fca36d&amp;pf_rd_p=9f2b2b9e-47e9-4764-a4dc-2be2f6fca36d&amp;pf_rd_r=50SJ2KA6F8SYP1WRNFWX&amp;pd_rd_wg=9ialY&amp;pd_rd_r=ef2d51fa-f63c-462e-95f7-bee8c81ae7bd" TargetMode="External"/><Relationship Id="rId22" Type="http://schemas.openxmlformats.org/officeDocument/2006/relationships/hyperlink" Target="https://www.se.com/us/en/product/AP9565/apc-netshelter-basic-rack-pdu-1u-1-phase-3-7kw-230v-16a-or-3-3kw-208v-16a-12-c13-outlets-c20-cord/" TargetMode="External"/><Relationship Id="rId66" Type="http://schemas.openxmlformats.org/officeDocument/2006/relationships/hyperlink" Target="https://www.gridconnect.com/products/ip-smoke-detector-sensor?srsltid=AfmBOopD1DXn2pPY-eBorY2pqBVcmkXDgOrHl9-rs4KGZ4HvfJTPA3rQ" TargetMode="External"/><Relationship Id="rId21" Type="http://schemas.openxmlformats.org/officeDocument/2006/relationships/hyperlink" Target="https://assets.tripplite.com/product-pdfs/en/sr18ub.pdf" TargetMode="External"/><Relationship Id="rId65" Type="http://schemas.openxmlformats.org/officeDocument/2006/relationships/hyperlink" Target="https://gridconnect.box.com/shared/static/ho56f6a9ki6kuy7zzvcdz3wlwwi02yod.pdf" TargetMode="External"/><Relationship Id="rId24" Type="http://schemas.openxmlformats.org/officeDocument/2006/relationships/hyperlink" Target="https://download.schneider-electric.com/files?p_Doc_Ref=SPD_ASTE-6Z5Q3K_EN" TargetMode="External"/><Relationship Id="rId68" Type="http://schemas.openxmlformats.org/officeDocument/2006/relationships/hyperlink" Target="https://www.hikvision.com/es-la/products/IP-Products/Network-Cameras/DeepinView-Series/ids-2cd7026g0-ep-ihsy/" TargetMode="External"/><Relationship Id="rId23" Type="http://schemas.openxmlformats.org/officeDocument/2006/relationships/hyperlink" Target="https://www.apc.com/us/en/product/SMT1500RM2U/" TargetMode="External"/><Relationship Id="rId67" Type="http://schemas.openxmlformats.org/officeDocument/2006/relationships/hyperlink" Target="https://assets.hikvision.com/prd/public/all/doc/m000031894/iDS-2CD7026G0_EP-IHSY-C_Datasheet_20231127.pdf" TargetMode="External"/><Relationship Id="rId60" Type="http://schemas.openxmlformats.org/officeDocument/2006/relationships/hyperlink" Target="https://www.hp.com/ec-es/products/printers/product-details/product-specifications/31570622" TargetMode="External"/><Relationship Id="rId26" Type="http://schemas.openxmlformats.org/officeDocument/2006/relationships/hyperlink" Target="https://www.amazon.com/dp/B00HEM61KA" TargetMode="External"/><Relationship Id="rId25" Type="http://schemas.openxmlformats.org/officeDocument/2006/relationships/hyperlink" Target="https://www.amazon.com/-/es/Cable-Matters-Ethernet-enganches-cable/dp/B0B57PDRS2/ref=sr_1_1?adgrpid=157068332094&amp;dib=eyJ2IjoiMSJ9.QiWYflJhi5f6NCPiCOs_q-JlpmY1wjiRXTw8843DUQB5sIcW6FkE5YdymgtjzU-psEWgKPSSQBW8sVMsVJ4-lLHocGd9w8GaZl5xn4hMfEoPxGdJ9Ab2SYAukoS4vTuoJdxuVWQsM937juZommTG6U9LVtDY_91vPDcloDSf-HmVAlZdHaTk4csmdf5J3BgFtPpCIrM1XwhvQsKJCMvr1tAFAfENKLlkZH6GmqCav_s.fc_da5fcDlEHoHT1Vn0x51i3Inh8OWq61EmcyA49JVM&amp;dib_tag=se&amp;hvadid=689405231718&amp;hvdev=c&amp;hvlocphy=9069516&amp;hvnetw=g&amp;hvqmt=b&amp;hvrand=410004265882181194&amp;hvtargid=kwd-2967232281&amp;hydadcr=20751_13501576&amp;keywords=ethernet%2Bcable%2B5&amp;mcid=d875082dfb8a39aeb78a35e65186538d&amp;qid=1770435774&amp;sr=8-1&amp;th=1" TargetMode="External"/><Relationship Id="rId69" Type="http://schemas.openxmlformats.org/officeDocument/2006/relationships/hyperlink" Target="https://www.syscom.mx/products/234491" TargetMode="External"/><Relationship Id="rId28" Type="http://schemas.openxmlformats.org/officeDocument/2006/relationships/hyperlink" Target="https://www.amazon.com/gp/aw/d/B0DF88MTJH/?_encoding=UTF8&amp;pd_rd_plhdr=t&amp;aaxitk=2ae7d8878aa1ce92478d1cd5db9648ee&amp;hsa_cr_id=0&amp;qid=1771289254&amp;sr=1-3-f02f01d6-adaf-4bef-9a7c-29308eff9043&amp;ref_=sbx__sbtcd2_asin_2_title&amp;pd_rd_w=BylJG&amp;content-id=amzn1.sym.e2c9099f-6964-4dbf-9ce9-8bc2c1a8ec1a%3Aamzn1.sym.e2c9099f-6964-4dbf-9ce9-8bc2c1a8ec1a&amp;pf_rd_p=e2c9099f-6964-4dbf-9ce9-8bc2c1a8ec1a&amp;pf_rd_r=555J5E9E11C5YXBYHE19&amp;pd_rd_wg=77ssM&amp;pd_rd_r=7eb3b24a-f3d2-4618-9697-571b826a867f&amp;th=1" TargetMode="External"/><Relationship Id="rId27" Type="http://schemas.openxmlformats.org/officeDocument/2006/relationships/hyperlink" Target="https://www.niedax.com/fileadmin/user_upload/Downloads/es/KAT_NX_KR_ES_2024_gesamt_28.03.24_web.pdf" TargetMode="External"/><Relationship Id="rId29" Type="http://schemas.openxmlformats.org/officeDocument/2006/relationships/hyperlink" Target="https://files.siemon.com/en/specsheet/siemon-z-max-6a-shielded-outlets_spec-sheet.pdf" TargetMode="External"/><Relationship Id="rId51" Type="http://schemas.openxmlformats.org/officeDocument/2006/relationships/hyperlink" Target="https://www.kywi.com.ec/caja-d-paso-20cm-x20cm-tol-galvanizado/p" TargetMode="External"/><Relationship Id="rId50" Type="http://schemas.openxmlformats.org/officeDocument/2006/relationships/hyperlink" Target="https://inselec.com.ec/wp-content/uploads/cajadepasocopia.pdf" TargetMode="External"/><Relationship Id="rId53" Type="http://schemas.openxmlformats.org/officeDocument/2006/relationships/hyperlink" Target="https://www.amazon.com/-/es/Tel%C3%A9fono-renovado-fuente-alimentaci%C3%B3n-incluida/dp/B07GG3L8T3/ref=sr_1_1?dib=eyJ2IjoiMSJ9.mrRfc72oeKoekpMmq6uOKjGMRTA00GT2B4JWLn7SV093oPdMSowF8Dg9Tf03UmdfBunHF2qbt61_aumKK0suLcQEyFpZqcf964YA8daPl2mv95SSbqvPdmRs_QyuvpK1a4NoHXqEf9pYydi2KB5_lSjQSrTGP2Uc9SPNmAuenE1w07UBInTCDNfqvByX9J5ge5iViMTaJsyQTSxDu4txPUjVY_NMaXHoNCYHCorVRgc.i8vHXnMBjvZBZQRlPy5iXkNGtkwsyCjqBjLSWqtsTWc&amp;dib_tag=se&amp;keywords=cisco+8841&amp;qid=1770660704&amp;sr=8-1" TargetMode="External"/><Relationship Id="rId52" Type="http://schemas.openxmlformats.org/officeDocument/2006/relationships/hyperlink" Target="https://www.cisco.com/c/en/us/products/collateral/collaboration-endpoints/unified-ip-phone-8800-series/datasheet-c78-731638.html" TargetMode="External"/><Relationship Id="rId11" Type="http://schemas.openxmlformats.org/officeDocument/2006/relationships/hyperlink" Target="https://download.schneider-electric.com/files?p_Doc_Ref=SPD_ASTE-6Z5Q3K_EN" TargetMode="External"/><Relationship Id="rId55" Type="http://schemas.openxmlformats.org/officeDocument/2006/relationships/hyperlink" Target="https://www.dell.com/en-us/shop/desktop-computers/optiplex-small-form-factor/spd/optiplex-7010-plus-small-ff" TargetMode="External"/><Relationship Id="rId10" Type="http://schemas.openxmlformats.org/officeDocument/2006/relationships/hyperlink" Target="https://www.apc.com/us/en/product/SMT1500RM2U/" TargetMode="External"/><Relationship Id="rId54" Type="http://schemas.openxmlformats.org/officeDocument/2006/relationships/hyperlink" Target="https://www.dell.com/en-us/shop/desktop-computers/optiplex-small-form-factor/spd/optiplex-7010-plus-small-ff" TargetMode="External"/><Relationship Id="rId13" Type="http://schemas.openxmlformats.org/officeDocument/2006/relationships/hyperlink" Target="https://www.panduit.com/content/dam/panduit/en/products/media/2/02/202/102202.pdf" TargetMode="External"/><Relationship Id="rId57" Type="http://schemas.openxmlformats.org/officeDocument/2006/relationships/hyperlink" Target="https://www.dell.com/en-us/shop/dell-laptops/latitude-5540-laptop/spd/latitude-15-5540-laptop" TargetMode="External"/><Relationship Id="rId12" Type="http://schemas.openxmlformats.org/officeDocument/2006/relationships/hyperlink" Target="http://www.panduit.com/en/search.html" TargetMode="External"/><Relationship Id="rId56" Type="http://schemas.openxmlformats.org/officeDocument/2006/relationships/hyperlink" Target="https://www.dell.com/es-es/shop/cty/pdp/spd/precision-3660-workstation" TargetMode="External"/><Relationship Id="rId15" Type="http://schemas.openxmlformats.org/officeDocument/2006/relationships/hyperlink" Target="https://www.amazon.com/dp/B00HEM61KA" TargetMode="External"/><Relationship Id="rId59" Type="http://schemas.openxmlformats.org/officeDocument/2006/relationships/hyperlink" Target="https://www.ubuy.ec/es/product/54CJEP744-matrox-c900-c-series-graphics-card-4-gb-gddr5-pcie-3-0-x16-9-x-mini-hdmi?srsltid=AfmBOopgi9TRBMcrDe7o3GZUQxBzEaM9VO5EoOtaKFRqkujHUS-ifiJF" TargetMode="External"/><Relationship Id="rId14" Type="http://schemas.openxmlformats.org/officeDocument/2006/relationships/hyperlink" Target="https://www.amazon.com/-/es/Cable-Matters-Ethernet-enganches-cable/dp/B0B57PDRS2/ref=sr_1_1?adgrpid=157068332094&amp;dib=eyJ2IjoiMSJ9.QiWYflJhi5f6NCPiCOs_q-JlpmY1wjiRXTw8843DUQB5sIcW6FkE5YdymgtjzU-psEWgKPSSQBW8sVMsVJ4-lLHocGd9w8GaZl5xn4hMfEoPxGdJ9Ab2SYAukoS4vTuoJdxuVWQsM937juZommTG6U9LVtDY_91vPDcloDSf-HmVAlZdHaTk4csmdf5J3BgFtPpCIrM1XwhvQsKJCMvr1tAFAfENKLlkZH6GmqCav_s.fc_da5fcDlEHoHT1Vn0x51i3Inh8OWq61EmcyA49JVM&amp;dib_tag=se&amp;hvadid=689405231718&amp;hvdev=c&amp;hvlocphy=9069516&amp;hvnetw=g&amp;hvqmt=b&amp;hvrand=410004265882181194&amp;hvtargid=kwd-2967232281&amp;hydadcr=20751_13501576&amp;keywords=ethernet%2Bcable%2B5&amp;mcid=d875082dfb8a39aeb78a35e65186538d&amp;qid=1770435774&amp;sr=8-1&amp;th=1" TargetMode="External"/><Relationship Id="rId58" Type="http://schemas.openxmlformats.org/officeDocument/2006/relationships/hyperlink" Target="https://www.amazon.com/-/es/Dell-UltraSharp-U3223QE-Monitor-plateado/dp/B09TVZHV4W/ref=sr_1_1?adgrpid=156365304377&amp;dib=eyJ2IjoiMSJ9.wUdy-aMNLkqVK5CIwa1b-PEXIx54OrAeomX3zFmBDNnu1G4AYD-fKQVgGeLbwk-tBvD57beBr3MhCnPhCJak0mRTyEB1jm3oZ-z8-MaJltyXLKEwMbrmkUVNlCEM-j1mYuipiTbzEDdAjo93L9H_uJU3q_PV2L1vtga5NhC_CMoLRolSbD8qiyZ2FzwdyNeB-3x-g6THhwfNytLGR7HybVt7B5FTqkwciX0S4NhwRhs.9GCewKGXrA5NUEGGyzzxZccB7Qw6t2DnN0r_usq4nFA&amp;dib_tag=se&amp;hvadid=689804566237&amp;hvdev=c&amp;hvlocphy=9077255&amp;hvnetw=g&amp;hvqmt=b&amp;hvrand=18247690896021869067&amp;hvtargid=kwd-1640123531747&amp;hydadcr=20973_13499326&amp;keywords=ultrasharp+u3223qe&amp;mcid=9b4627fcd94433338233556c7cc33544&amp;qid=1770662107&amp;sr=8-1" TargetMode="External"/><Relationship Id="rId17" Type="http://schemas.openxmlformats.org/officeDocument/2006/relationships/hyperlink" Target="https://www.panduit.com/content/dam/panduit/en/products/media/2/02/202/102202.pdf" TargetMode="External"/><Relationship Id="rId16" Type="http://schemas.openxmlformats.org/officeDocument/2006/relationships/hyperlink" Target="http://www.panduit.com/en/search.html" TargetMode="External"/><Relationship Id="rId19" Type="http://schemas.openxmlformats.org/officeDocument/2006/relationships/hyperlink" Target="https://www.cisco.com/c/en/us/products/collateral/switches/catalyst-2960-x-series-switches/datasheet_c78-728232.html" TargetMode="External"/><Relationship Id="rId18" Type="http://schemas.openxmlformats.org/officeDocument/2006/relationships/hyperlink" Target="https://www.cisco.com/c/en/us/products/collateral/switches/catalyst-2960-x-series-switches/datasheet_c78-728232.html?utm_source=chatgpt.com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p.com/ec-es/products/printers/product-details/2100584485" TargetMode="External"/><Relationship Id="rId42" Type="http://schemas.openxmlformats.org/officeDocument/2006/relationships/hyperlink" Target="https://www.hikvision.com/es-la/products/IP-Products/Network-Cameras/Pro-Series-EasyIP-/ds-2cd2t46g2-isu-sl/" TargetMode="External"/><Relationship Id="rId41" Type="http://schemas.openxmlformats.org/officeDocument/2006/relationships/hyperlink" Target="https://tecmanecuador.com/producto/hp-impresora-laserjet-pro-m428fdw/" TargetMode="External"/><Relationship Id="rId44" Type="http://schemas.openxmlformats.org/officeDocument/2006/relationships/hyperlink" Target="https://www.cdw.com/product/cisco-catalyst-9115axi-wireless-access-point-bluetooth-wi-fi-6/5561861" TargetMode="External"/><Relationship Id="rId43" Type="http://schemas.openxmlformats.org/officeDocument/2006/relationships/hyperlink" Target="https://www.securame.com/ds-2cd2t46g2-isusl28mmc-camara-ip-hikvision-4mp-pro-ir60m-28mm-h265-poe-sd-wdr-acusense-p-4991.html" TargetMode="External"/><Relationship Id="rId46" Type="http://schemas.openxmlformats.org/officeDocument/2006/relationships/hyperlink" Target="https://sylvania.com.ec/wp-content/uploads/2020/05/P23283-Sensor-de-Humo-DC9V.pdf" TargetMode="External"/><Relationship Id="rId45" Type="http://schemas.openxmlformats.org/officeDocument/2006/relationships/hyperlink" Target="https://www.cdw.com/product/cisco-catalyst-9115axi-wireless-access-point-bluetooth-wi-fi-6/5561861" TargetMode="External"/><Relationship Id="rId1" Type="http://schemas.openxmlformats.org/officeDocument/2006/relationships/hyperlink" Target="https://www.cisco.com/c/en/us/products/collateral/switches/catalyst-2960-x-series-switches/datasheet_c78-728232.html?utm_source=chatgpt.com" TargetMode="External"/><Relationship Id="rId2" Type="http://schemas.openxmlformats.org/officeDocument/2006/relationships/hyperlink" Target="https://www.cisco.com/c/en/us/products/collateral/switches/catalyst-2960-x-series-switches/datasheet_c78-728232.html" TargetMode="External"/><Relationship Id="rId3" Type="http://schemas.openxmlformats.org/officeDocument/2006/relationships/hyperlink" Target="https://tripplite.eaton.com/18u-smartrack-deep-rack-enclosure-cabinet~SR18UB" TargetMode="External"/><Relationship Id="rId4" Type="http://schemas.openxmlformats.org/officeDocument/2006/relationships/hyperlink" Target="https://assets.tripplite.com/product-pdfs/en/sr18ub.pdf" TargetMode="External"/><Relationship Id="rId9" Type="http://schemas.openxmlformats.org/officeDocument/2006/relationships/hyperlink" Target="https://www.se.com/us/en/product/AP9565/apc-netshelter-basic-rack-pdu-1u-1-phase-3-7kw-230v-16a-or-3-3kw-208v-16a-12-c13-outlets-c20-cord/" TargetMode="External"/><Relationship Id="rId48" Type="http://schemas.openxmlformats.org/officeDocument/2006/relationships/hyperlink" Target="https://www.promart.ec/tubo-emt-1-1-2x3m-1-65mm-galvanizado-luxar/p?srsltid=AfmBOopihlhZf2wc4nPCFsw_NiJCIYFIeQRUC71DKqHwDgySYXAv_pL-&amp;utm_source=chatgpt.com" TargetMode="External"/><Relationship Id="rId47" Type="http://schemas.openxmlformats.org/officeDocument/2006/relationships/hyperlink" Target="https://www.otece.com.ec/producto/tuberia-emt-12-095cm/" TargetMode="External"/><Relationship Id="rId49" Type="http://schemas.openxmlformats.org/officeDocument/2006/relationships/hyperlink" Target="https://www.otece.com.ec/producto/tuberia-emt-34/" TargetMode="External"/><Relationship Id="rId5" Type="http://schemas.openxmlformats.org/officeDocument/2006/relationships/hyperlink" Target="https://www.panduit.com/en/products/copper-systems/patch-panels-accessories/populated-patch-panels/p202123.html" TargetMode="External"/><Relationship Id="rId6" Type="http://schemas.openxmlformats.org/officeDocument/2006/relationships/hyperlink" Target="https://www.panduit.com/content/dam/panduit/en/products/media/2/02/202/102202.pdf" TargetMode="External"/><Relationship Id="rId7" Type="http://schemas.openxmlformats.org/officeDocument/2006/relationships/hyperlink" Target="https://www.panduit.com/en/products/cabinets-thermal-management-racks-enclosures/cable-managers-accessories/horizontal-cable-managers/p205019.html" TargetMode="External"/><Relationship Id="rId8" Type="http://schemas.openxmlformats.org/officeDocument/2006/relationships/hyperlink" Target="https://www.panduit.com/content/dam/panduit/en/products/media/2/02/202/102202.pdf" TargetMode="External"/><Relationship Id="rId31" Type="http://schemas.openxmlformats.org/officeDocument/2006/relationships/hyperlink" Target="https://www.dyprelec.com/producto/cajetin-rectangular-sobrepuesto-dexson-55mm/?srsltid=AfmBOoqQNy-prX1qQapc8JqJtL0j8ceU1ryxCEp37jtPlWcOVwzW-bnL" TargetMode="External"/><Relationship Id="rId30" Type="http://schemas.openxmlformats.org/officeDocument/2006/relationships/hyperlink" Target="https://www.se.com/co/es/product/download-pdf/DXN5002S?filename=Schneider+Electric_Dexson_DXN5002S.pdf" TargetMode="External"/><Relationship Id="rId33" Type="http://schemas.openxmlformats.org/officeDocument/2006/relationships/hyperlink" Target="https://www.sincables.com.ec/product/crj-8201-connection-jack-modular-apantallado-cat6a/" TargetMode="External"/><Relationship Id="rId32" Type="http://schemas.openxmlformats.org/officeDocument/2006/relationships/hyperlink" Target="https://files.siemon.com/en/specsheet/siemon-z-max-6a-shielded-outlets_spec-sheet.pdf" TargetMode="External"/><Relationship Id="rId35" Type="http://schemas.openxmlformats.org/officeDocument/2006/relationships/hyperlink" Target="https://www.amazon.com/-/es/Tel%C3%A9fono-pulgadas-adaptador-corriente-SIP-T31P/dp/B093KTSMZ1" TargetMode="External"/><Relationship Id="rId34" Type="http://schemas.openxmlformats.org/officeDocument/2006/relationships/hyperlink" Target="https://www.yealink.com/es/product-detail/ip-phone-t31p" TargetMode="External"/><Relationship Id="rId37" Type="http://schemas.openxmlformats.org/officeDocument/2006/relationships/hyperlink" Target="https://www.newegg.com/asus-nuc-14-essential-barebone-systems-mini-pc-intel-n150-processor-4-cores-4-threads-3-60-ghz-6w-tdp-6-mb-intel-smart-cache-rnuc14mnk1500000/p/2SW-000N-000A9?Item=9SIBM9SKG05866" TargetMode="External"/><Relationship Id="rId36" Type="http://schemas.openxmlformats.org/officeDocument/2006/relationships/hyperlink" Target="https://www.newegg.com/asus-nuc-14-essential-barebone-systems-mini-pc-intel-n150-processor-4-cores-4-threads-3-60-ghz-6w-tdp-6-mb-intel-smart-cache-rnuc14mnk1500000/p/2SW-000N-000A9?Item=9SIBM9SKG05866" TargetMode="External"/><Relationship Id="rId39" Type="http://schemas.openxmlformats.org/officeDocument/2006/relationships/hyperlink" Target="https://www.amazon.com/-/es/ASUS-Monitor-cuidado-ocular-VA279QG/dp/B0DM6S4FMH/ref=sr_1_6?__mk_es_US=%C3%85M%C3%85%C5%BD%C3%95%C3%91&amp;crid=252G5W7G9B21R&amp;dib=eyJ2IjoiMSJ9.2V6gusNE5rW28YE2hb3s5-DZ4_bZfymxmV6SLyGxqGVKZpPIN0wT3yNx2Khk_gZ1FqxbB6Gdyl6NrMX60aBTG91oxOxhAhd0eC8vIHwuyidQl34JlrKGK8P5LkhVlN-CnnD6IiIouxln45sHizd6hybZjRMLoccmUAAQpKaMF9ZTmNI5CIpUVru-NSrz_yey11oQDI9R-krSjARAhoOtxGTCINGy7ZDasCbPPERBa4I.CQ4eW-rms4YebCM5KLJncCBYt3WzrVbsbGEE7eq-4I8&amp;dib_tag=se&amp;keywords=asus%2Bmonitor&amp;qid=1754240333&amp;sprefix=asus%2Bmonito%2Caps%2C169&amp;sr=8-6&amp;th=1" TargetMode="External"/><Relationship Id="rId38" Type="http://schemas.openxmlformats.org/officeDocument/2006/relationships/hyperlink" Target="https://www.amazon.com/-/es/ASUS-Monitor-cuidado-ocular-VA279QG/dp/B0DM6S4FMH/ref=sr_1_6?__mk_es_US=%C3%85M%C3%85%C5%BD%C3%95%C3%91&amp;crid=252G5W7G9B21R&amp;dib=eyJ2IjoiMSJ9.2V6gusNE5rW28YE2hb3s5-DZ4_bZfymxmV6SLyGxqGVKZpPIN0wT3yNx2Khk_gZ1FqxbB6Gdyl6NrMX60aBTG91oxOxhAhd0eC8vIHwuyidQl34JlrKGK8P5LkhVlN-CnnD6IiIouxln45sHizd6hybZjRMLoccmUAAQpKaMF9ZTmNI5CIpUVru-NSrz_yey11oQDI9R-krSjARAhoOtxGTCINGy7ZDasCbPPERBa4I.CQ4eW-rms4YebCM5KLJncCBYt3WzrVbsbGEE7eq-4I8&amp;dib_tag=se&amp;keywords=asus%2Bmonitor&amp;qid=1754240333&amp;sprefix=asus%2Bmonito%2Caps%2C169&amp;sr=8-6&amp;th=1" TargetMode="External"/><Relationship Id="rId61" Type="http://schemas.openxmlformats.org/officeDocument/2006/relationships/drawing" Target="../drawings/drawing4.xml"/><Relationship Id="rId20" Type="http://schemas.openxmlformats.org/officeDocument/2006/relationships/hyperlink" Target="https://www.sincables.com.ec/product/wall2-ampxl-face-plate-para-2-jack-rj-45-color-blanco/" TargetMode="External"/><Relationship Id="rId64" Type="http://schemas.openxmlformats.org/officeDocument/2006/relationships/table" Target="../tables/table7.xml"/><Relationship Id="rId22" Type="http://schemas.openxmlformats.org/officeDocument/2006/relationships/hyperlink" Target="https://www.mercadolibre.com.ec/faceplate-placa-rj45-tipo-keystone-para-4-tomas-jack-redes/up/MECU2434255957" TargetMode="External"/><Relationship Id="rId21" Type="http://schemas.openxmlformats.org/officeDocument/2006/relationships/hyperlink" Target="https://tecnit.com.ec/producto/faceplate-de-2-puertos-panduit-nk2fiwy-blanco-tapa-para-caja-sobrepuesta/?srsltid=AfmBOoqQzZgmpmACDJJz05RWj3YBSQZACE4K6EoYcBW8cuFnzC_XBqQu" TargetMode="External"/><Relationship Id="rId65" Type="http://schemas.openxmlformats.org/officeDocument/2006/relationships/table" Target="../tables/table8.xml"/><Relationship Id="rId24" Type="http://schemas.openxmlformats.org/officeDocument/2006/relationships/hyperlink" Target="https://jmsecuritysystem.com/shop/lhd-25x15-kopos-lhd-25x15-canaleta-pvc-sin-adhesivo-blanco-2mt-4956?srsltid=AfmBOoqi6cD87f4y1TCtsmMMuuTKEDnD-y7y12uVt3YTye8fZvvLgJBx" TargetMode="External"/><Relationship Id="rId23" Type="http://schemas.openxmlformats.org/officeDocument/2006/relationships/hyperlink" Target="https://www.mercadolibre.com.ec/faceplate-placa-rj45-tipo-keystone-para-4-tomas-jack-redes/up/MECU2434255957" TargetMode="External"/><Relationship Id="rId60" Type="http://schemas.openxmlformats.org/officeDocument/2006/relationships/hyperlink" Target="https://www.kywi.com.ec/caja-d-paso-20cm-x20cm-tol-galvanizado/p" TargetMode="External"/><Relationship Id="rId26" Type="http://schemas.openxmlformats.org/officeDocument/2006/relationships/hyperlink" Target="https://connection-cs.com/?m=pn_product.php&amp;id=12&amp;sid=34&amp;pn=CPC-6201" TargetMode="External"/><Relationship Id="rId25" Type="http://schemas.openxmlformats.org/officeDocument/2006/relationships/hyperlink" Target="https://jmsecuritysystem.com/shop/lhd-25x15-kopos-lhd-25x15-canaleta-pvc-sin-adhesivo-blanco-2mt-4956?srsltid=AfmBOoqi6cD87f4y1TCtsmMMuuTKEDnD-y7y12uVt3YTye8fZvvLgJBx" TargetMode="External"/><Relationship Id="rId28" Type="http://schemas.openxmlformats.org/officeDocument/2006/relationships/hyperlink" Target="https://www.fs.com/mx/products/63446.html" TargetMode="External"/><Relationship Id="rId27" Type="http://schemas.openxmlformats.org/officeDocument/2006/relationships/hyperlink" Target="https://www.sincables.com.ec/product/cpc-6201-connection-patchcord-utp-100-cobre-23-awg-cat6-1ft-azul/?srsltid=AfmBOooe6YrHjlUSgWYo1MrgDyb3w4Jr05F0bq_R8T0gSHSJJ3ImsOOw" TargetMode="External"/><Relationship Id="rId29" Type="http://schemas.openxmlformats.org/officeDocument/2006/relationships/hyperlink" Target="https://www.fs.com/mx/products/63446.html" TargetMode="External"/><Relationship Id="rId51" Type="http://schemas.openxmlformats.org/officeDocument/2006/relationships/hyperlink" Target="https://www.otece.com.ec/producto/tuberia-emt-1/" TargetMode="External"/><Relationship Id="rId50" Type="http://schemas.openxmlformats.org/officeDocument/2006/relationships/hyperlink" Target="https://electrocenter.ec/producto/tubo-1-emt-galvanizado-pesado-1-45-mm-b1/?utm_source=chatgpt.com" TargetMode="External"/><Relationship Id="rId53" Type="http://schemas.openxmlformats.org/officeDocument/2006/relationships/hyperlink" Target="https://tienda.demaco.ec/tubo-pvc-conduit-1-1-4-40mm-3m-pesado-plastidor" TargetMode="External"/><Relationship Id="rId52" Type="http://schemas.openxmlformats.org/officeDocument/2006/relationships/hyperlink" Target="https://www.otece.com.ec/producto/tuberia-emt-12-095cm/" TargetMode="External"/><Relationship Id="rId11" Type="http://schemas.openxmlformats.org/officeDocument/2006/relationships/hyperlink" Target="https://download.schneider-electric.com/files?p_Doc_Ref=SPD_ASTE-6Z5Q3K_EN" TargetMode="External"/><Relationship Id="rId55" Type="http://schemas.openxmlformats.org/officeDocument/2006/relationships/hyperlink" Target="https://www.portaldisensa.com/imagens_cr/disensa/91030185_REVIEW.pdf" TargetMode="External"/><Relationship Id="rId10" Type="http://schemas.openxmlformats.org/officeDocument/2006/relationships/hyperlink" Target="https://www.apc.com/us/en/product/SMT1500RM2U/" TargetMode="External"/><Relationship Id="rId54" Type="http://schemas.openxmlformats.org/officeDocument/2006/relationships/hyperlink" Target="https://tienda.demaco.ec/tubo-pvc-conduit-1-1-4-40mm-3m-pesado-plastidor" TargetMode="External"/><Relationship Id="rId13" Type="http://schemas.openxmlformats.org/officeDocument/2006/relationships/hyperlink" Target="https://www.panduit.com/content/dam/panduit/en/products/media/2/02/202/102202.pdf" TargetMode="External"/><Relationship Id="rId57" Type="http://schemas.openxmlformats.org/officeDocument/2006/relationships/hyperlink" Target="https://inselec.com.ec/wp-content/uploads/cajadepasocopia.pdf" TargetMode="External"/><Relationship Id="rId12" Type="http://schemas.openxmlformats.org/officeDocument/2006/relationships/hyperlink" Target="http://www.panduit.com/en/search.html" TargetMode="External"/><Relationship Id="rId56" Type="http://schemas.openxmlformats.org/officeDocument/2006/relationships/hyperlink" Target="https://disensa.com.ec/producto/tubo-pvc-ec-2-x-6m-280psi-ced40-plastigama/" TargetMode="External"/><Relationship Id="rId15" Type="http://schemas.openxmlformats.org/officeDocument/2006/relationships/hyperlink" Target="https://www.amazon.com/dp/B00HEM61KA" TargetMode="External"/><Relationship Id="rId59" Type="http://schemas.openxmlformats.org/officeDocument/2006/relationships/hyperlink" Target="https://inselec.com.ec/wp-content/uploads/cajadepasocopia.pdf" TargetMode="External"/><Relationship Id="rId14" Type="http://schemas.openxmlformats.org/officeDocument/2006/relationships/hyperlink" Target="https://www.amazon.com/-/es/Cable-Matters-Ethernet-enganches-cable/dp/B0B57PDRS2/ref=sr_1_1?adgrpid=157068332094&amp;dib=eyJ2IjoiMSJ9.QiWYflJhi5f6NCPiCOs_q-JlpmY1wjiRXTw8843DUQB5sIcW6FkE5YdymgtjzU-psEWgKPSSQBW8sVMsVJ4-lLHocGd9w8GaZl5xn4hMfEoPxGdJ9Ab2SYAukoS4vTuoJdxuVWQsM937juZommTG6U9LVtDY_91vPDcloDSf-HmVAlZdHaTk4csmdf5J3BgFtPpCIrM1XwhvQsKJCMvr1tAFAfENKLlkZH6GmqCav_s.fc_da5fcDlEHoHT1Vn0x51i3Inh8OWq61EmcyA49JVM&amp;dib_tag=se&amp;hvadid=689405231718&amp;hvdev=c&amp;hvlocphy=9069516&amp;hvnetw=g&amp;hvqmt=b&amp;hvrand=410004265882181194&amp;hvtargid=kwd-2967232281&amp;hydadcr=20751_13501576&amp;keywords=ethernet%2Bcable%2B5&amp;mcid=d875082dfb8a39aeb78a35e65186538d&amp;qid=1770435774&amp;sr=8-1&amp;th=1" TargetMode="External"/><Relationship Id="rId58" Type="http://schemas.openxmlformats.org/officeDocument/2006/relationships/hyperlink" Target="https://www.promart.ec/caja-paso-15x15x10cm-c24-trossa/p" TargetMode="External"/><Relationship Id="rId17" Type="http://schemas.openxmlformats.org/officeDocument/2006/relationships/hyperlink" Target="https://electroenchufe.com/p/bandeja-de-rejilla-105x100x3000mm-g/?srsltid=AfmBOooMbFIylggUsMBV_u1oZXvf4-w4VbzPOzo-nXcqrCXVZlUA3V_s" TargetMode="External"/><Relationship Id="rId16" Type="http://schemas.openxmlformats.org/officeDocument/2006/relationships/hyperlink" Target="https://electroenchufe.com/wp-content/uploads/2023/07/Catalogo-Obo-Bettermann-2023.pdf" TargetMode="External"/><Relationship Id="rId19" Type="http://schemas.openxmlformats.org/officeDocument/2006/relationships/hyperlink" Target="https://www.kywi.com.ec/canaleta-de-pvc-de-2-m-x-20mm-x-12mm-de-ancho-diseno-de-1-compartimiento-con-fijacion-mediante-tornillo/p" TargetMode="External"/><Relationship Id="rId18" Type="http://schemas.openxmlformats.org/officeDocument/2006/relationships/hyperlink" Target="https://www.sincables.com.ec/product/connection-cfp-6118-face-plate-para-1-jacks-rj45-color-blanco/?srsltid=AfmBOoqL24EQ9g8sDeavXpNoO77aR2nrLdE27qDdZWK_R99dwP4uwWoT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-/es/Eaton-Tripp-Lite-profundidad-Co-Location/dp/B002J9HEV8/ref=sr_1_1?adgrpid=172349964906&amp;dib=eyJ2IjoiMSJ9.OcL7_u_LEiLV6WuMCXOkLpGDVfsq9vRqlQGFhXE-x8aMwTfdPv0FESB-BTUJxvMx6pGPdTy8GO32z2ogVM5v1rIHhQWkNIS_XyhexkLbkp99L8zC9A53h-FKoEujtd-fKqy--AKm3I1gpApkaeN6kUaxrZXNl9DkY3G1wwEHRQ-1oyoDyM_7boGY2GpqkXCwTYgwumeTYWQ_hVZAQCzUJFJkzRNTC9AkDCIusPAurDc.wTThJbqS0RwdH2dpifokeQYvXitEO1t9t7XY-H-LCMg&amp;dib_tag=se&amp;hvadid=727238111955&amp;hvdev=c&amp;hvlocphy=9069516&amp;hvnetw=g&amp;hvqmt=b&amp;hvrand=15525425930531610957&amp;hvtargid=kwd-3966075603&amp;hydadcr=20779_13331630&amp;keywords=42u+server+rack+cabinet&amp;mcid=c43aff6b40cd358187de1f62d3935dd0&amp;qid=1770752325&amp;sr=8-1" TargetMode="External"/><Relationship Id="rId2" Type="http://schemas.openxmlformats.org/officeDocument/2006/relationships/hyperlink" Target="https://www.mercadolibre.com.ec/organizador-vertical-para-rack-abierto-42ur-beaucoup-i-1159/p/MEC2060140598" TargetMode="External"/><Relationship Id="rId3" Type="http://schemas.openxmlformats.org/officeDocument/2006/relationships/hyperlink" Target="https://www.mercadolibre.com.ec/patch-panel-modular-nexxt-cat6-48-puerto-hd-certificado-rack/p/MEC2055800519" TargetMode="External"/><Relationship Id="rId4" Type="http://schemas.openxmlformats.org/officeDocument/2006/relationships/hyperlink" Target="https://www.mercadolibre.com.ec/organizador-vertical-para-rack-abierto-42ur-beaucoup-i-1159/p/MEC2060140598" TargetMode="External"/><Relationship Id="rId9" Type="http://schemas.openxmlformats.org/officeDocument/2006/relationships/hyperlink" Target="https://www.mercadolibre.com.ec/organizador-vertical-para-rack-abierto-42ur-beaucoup-i-1159/p/MEC2060140598" TargetMode="External"/><Relationship Id="rId5" Type="http://schemas.openxmlformats.org/officeDocument/2006/relationships/hyperlink" Target="https://www.sincables.com.ec/product/connection-bpa-0001-panel-ciego-para-rack-1u-19/?srsltid=AfmBOoowXewxcEyxiyFHPDZYXBJV84S6eBH3qBgmYHYOLUHEFyPhzoDf" TargetMode="External"/><Relationship Id="rId6" Type="http://schemas.openxmlformats.org/officeDocument/2006/relationships/hyperlink" Target="https://www.amazon.com/gp/aw/d/B081268J3Q/?_encoding=UTF8&amp;pd_rd_plhdr=t&amp;aaxitk=de83348d185ac3557550a5ea366686ac&amp;hsa_cr_id=0&amp;qid=1770748058&amp;sr=1-1-9e67e56a-6f64-441f-a281-df67fc737124&amp;ref_=sbx_s_sparkle_sbtcd_asin_0_img&amp;pd_rd_w=xUlfi&amp;content-id=amzn1.sym.9f2b2b9e-47e9-4764-a4dc-2be2f6fca36d%3Aamzn1.sym.9f2b2b9e-47e9-4764-a4dc-2be2f6fca36d&amp;pf_rd_p=9f2b2b9e-47e9-4764-a4dc-2be2f6fca36d&amp;pf_rd_r=5Y7K4XJ48G9F953PC67Z&amp;pd_rd_wg=ButQV&amp;pd_rd_r=dc991604-e2fc-4b87-8b28-a941f164e0a2&amp;th=1" TargetMode="External"/><Relationship Id="rId7" Type="http://schemas.openxmlformats.org/officeDocument/2006/relationships/hyperlink" Target="https://www.router-switch.com/cisco2911-k9-p-156.html" TargetMode="External"/><Relationship Id="rId8" Type="http://schemas.openxmlformats.org/officeDocument/2006/relationships/hyperlink" Target="https://www.amazon.es/Cisco-CATALYST-3650-24-PORT/dp/B01N0ZGJ66" TargetMode="External"/><Relationship Id="rId31" Type="http://schemas.openxmlformats.org/officeDocument/2006/relationships/hyperlink" Target="https://www.mercadolibre.com.ec/servidor-dell-poweredge-t160-xeon-6315p-4core-16gb-ram-1tb/up/MECU2438800678" TargetMode="External"/><Relationship Id="rId30" Type="http://schemas.openxmlformats.org/officeDocument/2006/relationships/hyperlink" Target="https://nanotroniconline.com/producto/servidor-dell-poweredge-r350-intel/" TargetMode="External"/><Relationship Id="rId33" Type="http://schemas.openxmlformats.org/officeDocument/2006/relationships/hyperlink" Target="https://www.ebay.com/itm/376868474298?chn=ps&amp;norover=1&amp;mkevt=1&amp;mkrid=711-166974-028196-7&amp;mkcid=2&amp;mkscid=101&amp;itemid=376868474298&amp;targetid=2274951440814&amp;device=c&amp;mktype=pla&amp;googleloc=9069516&amp;poi=&amp;campaignid=23498774567&amp;mkgroupid=192764049032&amp;rlsatarget=pla-2274951440814&amp;abcId=10593666&amp;merchantid=6578064&amp;geoid=9069516&amp;gad_source=1&amp;gad_campaignid=23498774567&amp;gbraid=0AAAAAD_QDh-PqTeOqsznj3TeokZ40gEms&amp;gclid=Cj0KCQiAy6vMBhDCARIsAK8rOgmSEIXIngu6Hd0P_6yaXX6Xj7nFPQxKPfxqvmVOlXBPB17kED8cnbUaAvujEALw_wcB" TargetMode="External"/><Relationship Id="rId32" Type="http://schemas.openxmlformats.org/officeDocument/2006/relationships/hyperlink" Target="https://www.ebay.com/itm/376868474298?chn=ps&amp;norover=1&amp;mkevt=1&amp;mkrid=711-166974-028196-7&amp;mkcid=2&amp;mkscid=101&amp;itemid=376868474298&amp;targetid=2274951440814&amp;device=c&amp;mktype=pla&amp;googleloc=9069516&amp;poi=&amp;campaignid=23498774567&amp;mkgroupid=192764049032&amp;rlsatarget=pla-2274951440814&amp;abcId=10593666&amp;merchantid=6578064&amp;geoid=9069516&amp;gad_source=1&amp;gad_campaignid=23498774567&amp;gbraid=0AAAAAD_QDh-PqTeOqsznj3TeokZ40gEms&amp;gclid=Cj0KCQiAy6vMBhDCARIsAK8rOgmSEIXIngu6Hd0P_6yaXX6Xj7nFPQxKPfxqvmVOlXBPB17kED8cnbUaAvujEALw_wcB" TargetMode="External"/><Relationship Id="rId35" Type="http://schemas.openxmlformats.org/officeDocument/2006/relationships/hyperlink" Target="https://www.sincables.com.ec/product/connection-bpa-0001-panel-ciego-para-rack-1u-19/?srsltid=AfmBOoowXewxcEyxiyFHPDZYXBJV84S6eBH3qBgmYHYOLUHEFyPhzoDf" TargetMode="External"/><Relationship Id="rId34" Type="http://schemas.openxmlformats.org/officeDocument/2006/relationships/hyperlink" Target="https://nanotroniconline.com/producto/servidor-dell-poweredge-r350-intel/" TargetMode="External"/><Relationship Id="rId37" Type="http://schemas.openxmlformats.org/officeDocument/2006/relationships/hyperlink" Target="https://www.amazon.com/SMART1500LCD-Respaldo-corriente-Senoidal-Profundidad/dp/B000DZRY9C/ref=sr_1_2_sspa?adgrpid=147231616930&amp;dib=eyJ2IjoiMSJ9.jnVTrrNz-T_wCEo3l_H0vK0NraPlWriG9-u3V9UIdpQN0Y6pAeZRBBC2fqrXfrmJaLq1oBh6Jpj1G1vJKiRcB0NGWI691-eDWFuimWfvdMq3n51WQ59aORwKI4K2jwxgQk8iRZSAJp5tAo7TPwujN8R5GrtS7kYZdMIeyqTPj6Yb8qAb64yvGYipGKGGJ7s7bn-ou1co8cuyA_3nvB6DuYFprxeIK8waXEs30mCyw2s.HzXqnQnf9CP3hg505aiWq6eB8bdkXaUvXbxFCTZVsuY&amp;dib_tag=se&amp;hvadid=668214457912&amp;hvdev=c&amp;hvlocphy=9069516&amp;hvnetw=g&amp;hvqmt=b&amp;hvrand=5044980437917770385&amp;hvtargid=kwd-297715708015&amp;hydadcr=20776_13331643&amp;keywords=apc%2Bsmart-ups%2B1500va&amp;mcid=fe430c3a9d3b3d5ba44326e7b2079bc4&amp;qid=1770750759&amp;sr=8-2-spons&amp;sp_csd=d2lkZ2V0TmFtZT1zcF9hdGY&amp;th=1" TargetMode="External"/><Relationship Id="rId36" Type="http://schemas.openxmlformats.org/officeDocument/2006/relationships/hyperlink" Target="https://www.sincables.com.ec/product/connection-bpa-0001-panel-ciego-para-rack-1u-19/?srsltid=AfmBOoowXewxcEyxiyFHPDZYXBJV84S6eBH3qBgmYHYOLUHEFyPhzoDf" TargetMode="External"/><Relationship Id="rId39" Type="http://schemas.openxmlformats.org/officeDocument/2006/relationships/drawing" Target="../drawings/drawing5.xml"/><Relationship Id="rId38" Type="http://schemas.openxmlformats.org/officeDocument/2006/relationships/hyperlink" Target="https://www.amazon.com/-/es/APC-SmartConnect-SMT3000RM2UC-alimentaci%C3%B3n-ininterrumpida/dp/B0785NCFMY/ref=sr_1_1?adgrpid=167396626719&amp;dib=eyJ2IjoiMSJ9.jRsdR4B01GnOFUcF-hXUTpSdQDWwnxMRx0T-9J_CWH-v3FIw_8kAUgHNlzH2CqcEjvM5fymM-Cqce_FW-rMd-lSC9OQKUH-bhXdngBYves-Rm_KqMuwsXLGVedVxoZx6u94RMyTPDQO4BQkUgsiEgzfSV4kyD52bNOn7pRxu3Vr9aGw-pU5KGI4W9an9sV-JVgQj6SJhw9yyztqsbHAK5t0KSzQzYqFt4mKMFjAKuRPpv304jdZV98okSZ2lU8dpNUJPUb1uega_AFnt6PrlNu86zv8CWfQw0aUTDR37DeI.l640mRUnAYLmUDWxYv54txhyMlMTUOdWuuSYWNijQBg&amp;dib_tag=se&amp;hvadid=715330665975&amp;hvdev=c&amp;hvlocphy=9069516&amp;hvnetw=g&amp;hvqmt=b&amp;hvrand=15486252816001185669&amp;hvtargid=kwd-361241923117&amp;hydadcr=2747_13713694&amp;keywords=ups%2Bapc%2B3000va&amp;mcid=331216f9688631e3b63885e01722b24c&amp;qid=1770750864&amp;s=electronics&amp;sr=1-1&amp;th=1" TargetMode="External"/><Relationship Id="rId20" Type="http://schemas.openxmlformats.org/officeDocument/2006/relationships/hyperlink" Target="https://www.amazon.com/-/es/APC-AP9565-Protector-contra-sobretensiones/dp/B0001JXAAW?th=1" TargetMode="External"/><Relationship Id="rId22" Type="http://schemas.openxmlformats.org/officeDocument/2006/relationships/hyperlink" Target="https://www.mercadolibre.com.ec/organizador-horizontal-panduit-patchlink-1ur-para-rack-19/up/MECU2434096431" TargetMode="External"/><Relationship Id="rId21" Type="http://schemas.openxmlformats.org/officeDocument/2006/relationships/hyperlink" Target="https://octopart.com/es/part/apc/SMT3000RM2U?gad_source=1&amp;gad_campaignid=20635219167&amp;gbraid=0AAAAADZKcp9xQALR5w_b0-P2SOOTc43Tz&amp;gclid=Cj0KCQiAy6vMBhDCARIsAK8rOgl8ykYNvhbaAvaGpHIs5hyRD339NcInHsXBfcG57DUEt804NetcOS0aAka2EALw_wcB" TargetMode="External"/><Relationship Id="rId24" Type="http://schemas.openxmlformats.org/officeDocument/2006/relationships/hyperlink" Target="https://www.mercadolibre.com.ec/organizador-vertical-para-rack-abierto-42ur-beaucoup-i-1159/p/MEC2060140598" TargetMode="External"/><Relationship Id="rId23" Type="http://schemas.openxmlformats.org/officeDocument/2006/relationships/hyperlink" Target="https://www.mercadolibre.com.ec/panel-de-parcheo-panduit-nkfp24y-negro/p/MEC29390544" TargetMode="External"/><Relationship Id="rId26" Type="http://schemas.openxmlformats.org/officeDocument/2006/relationships/hyperlink" Target="https://www.mercadolibre.com.ec/servidor-dell-poweredge-t160-xeon-6315p-4core-16gb-ram-1tb/up/MECU2438800678" TargetMode="External"/><Relationship Id="rId25" Type="http://schemas.openxmlformats.org/officeDocument/2006/relationships/hyperlink" Target="https://www.sincables.com.ec/product/connection-bpa-0001-panel-ciego-para-rack-1u-19/?srsltid=AfmBOoowXewxcEyxiyFHPDZYXBJV84S6eBH3qBgmYHYOLUHEFyPhzoDf" TargetMode="External"/><Relationship Id="rId28" Type="http://schemas.openxmlformats.org/officeDocument/2006/relationships/hyperlink" Target="https://www.sincables.com.ec/product/connection-bpa-0001-panel-ciego-para-rack-1u-19/?srsltid=AfmBOoowXewxcEyxiyFHPDZYXBJV84S6eBH3qBgmYHYOLUHEFyPhzoDf" TargetMode="External"/><Relationship Id="rId27" Type="http://schemas.openxmlformats.org/officeDocument/2006/relationships/hyperlink" Target="https://articulo.mercadolibre.com.ec/MEC-732316570-cable-kvm-45m-tripp-lite-pn-p780-015-_JM" TargetMode="External"/><Relationship Id="rId29" Type="http://schemas.openxmlformats.org/officeDocument/2006/relationships/hyperlink" Target="https://www.mercadolibre.com.ec/servidor-dell-poweredge-t160-xeon-6315p-4core-16gb-ram-1tb/up/MECU2438800678" TargetMode="External"/><Relationship Id="rId11" Type="http://schemas.openxmlformats.org/officeDocument/2006/relationships/hyperlink" Target="https://www.mercadolibre.com.ec/patch-panel-24-puertos-nexxt-cat6-con-jacks-certificado-rack/up/MECU2434096693" TargetMode="External"/><Relationship Id="rId10" Type="http://schemas.openxmlformats.org/officeDocument/2006/relationships/hyperlink" Target="https://www.sincables.com.ec/product/connection-bpa-0001-panel-ciego-para-rack-1u-19/?srsltid=AfmBOoowXewxcEyxiyFHPDZYXBJV84S6eBH3qBgmYHYOLUHEFyPhzoDf" TargetMode="External"/><Relationship Id="rId13" Type="http://schemas.openxmlformats.org/officeDocument/2006/relationships/hyperlink" Target="https://www.mercadolibre.com.ec/patch-panel-24-puertos-nexxt-cat6-con-jacks-certificado-rack/up/MECU2434096693" TargetMode="External"/><Relationship Id="rId12" Type="http://schemas.openxmlformats.org/officeDocument/2006/relationships/hyperlink" Target="https://ecuacomp.com/producto/switch-cisco-catalyst-c1000-24p-4g-l-administrable-l2-de-24-puertos-10-100-1000-poe-195w-4-puertos-gigabit-sfp/" TargetMode="External"/><Relationship Id="rId15" Type="http://schemas.openxmlformats.org/officeDocument/2006/relationships/hyperlink" Target="https://www.mercadolibre.com.ec/patch-panel-24-puertos-nexxt-cat6-con-jacks-certificado-rack/up/MECU2434096693" TargetMode="External"/><Relationship Id="rId14" Type="http://schemas.openxmlformats.org/officeDocument/2006/relationships/hyperlink" Target="https://ecuacomp.com/producto/switch-cisco-catalyst-c1000-24p-4g-l-administrable-l2-de-24-puertos-10-100-1000-poe-195w-4-puertos-gigabit-sfp/" TargetMode="External"/><Relationship Id="rId17" Type="http://schemas.openxmlformats.org/officeDocument/2006/relationships/hyperlink" Target="https://www.mercadolibre.com.ec/patch-panel-24-puertos-nexxt-cat6-con-jacks-certificado-rack/up/MECU2434096693" TargetMode="External"/><Relationship Id="rId16" Type="http://schemas.openxmlformats.org/officeDocument/2006/relationships/hyperlink" Target="https://ecuacomp.com/producto/switch-cisco-catalyst-c1000-24p-4g-l-administrable-l2-de-24-puertos-10-100-1000-poe-195w-4-puertos-gigabit-sfp/" TargetMode="External"/><Relationship Id="rId19" Type="http://schemas.openxmlformats.org/officeDocument/2006/relationships/hyperlink" Target="https://www.mercadolibre.com.ec/patch-panel-24-puertos-nexxt-cat6-con-jacks-certificado-rack/up/MECU2434096693" TargetMode="External"/><Relationship Id="rId18" Type="http://schemas.openxmlformats.org/officeDocument/2006/relationships/hyperlink" Target="https://ecuacomp.com/producto/switch-cisco-catalyst-c1000-24p-4g-l-administrable-l2-de-24-puertos-10-100-1000-poe-195w-4-puertos-gigabit-sfp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iverzu.com.ec/producto/205090" TargetMode="External"/><Relationship Id="rId84" Type="http://schemas.openxmlformats.org/officeDocument/2006/relationships/hyperlink" Target="https://www.panduit.com/content/dam/panduit/en/products/media/2/02/202/102202.pdf" TargetMode="External"/><Relationship Id="rId83" Type="http://schemas.openxmlformats.org/officeDocument/2006/relationships/hyperlink" Target="http://www.panduit.com/en/search.html" TargetMode="External"/><Relationship Id="rId42" Type="http://schemas.openxmlformats.org/officeDocument/2006/relationships/hyperlink" Target="https://www.riegoecuador.com/index.php/productos/codo-90-grados-pvc-pn16-?srsltid=AfmBOor4rdbefvgXjkWHsmQuD8Kcw3ZJHaQ8ekVTZ1pd9AneXakwUAef" TargetMode="External"/><Relationship Id="rId86" Type="http://schemas.openxmlformats.org/officeDocument/2006/relationships/hyperlink" Target="https://www.amazon.com/dp/B00HEM61KA" TargetMode="External"/><Relationship Id="rId41" Type="http://schemas.openxmlformats.org/officeDocument/2006/relationships/hyperlink" Target="https://www.riegoecuador.com/index.php/productos/codo-90-grados-pvc-pn16-?srsltid=AfmBOor4rdbefvgXjkWHsmQuD8Kcw3ZJHaQ8ekVTZ1pd9AneXakwUAef" TargetMode="External"/><Relationship Id="rId85" Type="http://schemas.openxmlformats.org/officeDocument/2006/relationships/hyperlink" Target="http://www.panduit.com/en/search.html" TargetMode="External"/><Relationship Id="rId44" Type="http://schemas.openxmlformats.org/officeDocument/2006/relationships/hyperlink" Target="https://www.mercadolibre.com.ec/televisor-indurama-43-uhd-4k-google-tv-43tikj5uhd/p/MEC63476074" TargetMode="External"/><Relationship Id="rId88" Type="http://schemas.openxmlformats.org/officeDocument/2006/relationships/hyperlink" Target="https://www.amazon.com/dp/B00HEM61KA" TargetMode="External"/><Relationship Id="rId43" Type="http://schemas.openxmlformats.org/officeDocument/2006/relationships/hyperlink" Target="https://www.mercadolibre.com.ec/televisor-indurama-43-uhd-4k-google-tv-43tikj5uhd/p/MEC63476074" TargetMode="External"/><Relationship Id="rId87" Type="http://schemas.openxmlformats.org/officeDocument/2006/relationships/hyperlink" Target="https://www.amazon.com/-/es/Cable-Matters-Ethernet-enganches-cable/dp/B0B57PDRS2/ref=sr_1_1?adgrpid=157068332094&amp;dib=eyJ2IjoiMSJ9.QiWYflJhi5f6NCPiCOs_q-JlpmY1wjiRXTw8843DUQB5sIcW6FkE5YdymgtjzU-psEWgKPSSQBW8sVMsVJ4-lLHocGd9w8GaZl5xn4hMfEoPxGdJ9Ab2SYAukoS4vTuoJdxuVWQsM937juZommTG6U9LVtDY_91vPDcloDSf-HmVAlZdHaTk4csmdf5J3BgFtPpCIrM1XwhvQsKJCMvr1tAFAfENKLlkZH6GmqCav_s.fc_da5fcDlEHoHT1Vn0x51i3Inh8OWq61EmcyA49JVM&amp;dib_tag=se&amp;hvadid=689405231718&amp;hvdev=c&amp;hvlocphy=9069516&amp;hvnetw=g&amp;hvqmt=b&amp;hvrand=410004265882181194&amp;hvtargid=kwd-2967232281&amp;hydadcr=20751_13501576&amp;keywords=ethernet%2Bcable%2B5&amp;mcid=d875082dfb8a39aeb78a35e65186538d&amp;qid=1770435774&amp;sr=8-1&amp;th=1" TargetMode="External"/><Relationship Id="rId46" Type="http://schemas.openxmlformats.org/officeDocument/2006/relationships/hyperlink" Target="https://tienda.ietres.com/acer-proyector-p5535-fhd-16-9-mr-jum11-001" TargetMode="External"/><Relationship Id="rId45" Type="http://schemas.openxmlformats.org/officeDocument/2006/relationships/hyperlink" Target="https://tienda.ietres.com/acer-proyector-p5535-fhd-16-9-mr-jum11-001" TargetMode="External"/><Relationship Id="rId89" Type="http://schemas.openxmlformats.org/officeDocument/2006/relationships/drawing" Target="../drawings/drawing6.xml"/><Relationship Id="rId80" Type="http://schemas.openxmlformats.org/officeDocument/2006/relationships/hyperlink" Target="https://www.se.com/us/en/product/AP9565/apc-netshelter-basic-rack-pdu-1u-1-phase-3-7kw-230v-16a-or-3-3kw-208v-16a-12-c13-outlets-c20-cord/" TargetMode="External"/><Relationship Id="rId82" Type="http://schemas.openxmlformats.org/officeDocument/2006/relationships/hyperlink" Target="https://download.schneider-electric.com/files?p_Doc_Ref=SPD_ASTE-6Z5Q3K_EN" TargetMode="External"/><Relationship Id="rId81" Type="http://schemas.openxmlformats.org/officeDocument/2006/relationships/hyperlink" Target="https://www.apc.com/us/en/product/SMT1500RM2U/" TargetMode="External"/><Relationship Id="rId1" Type="http://schemas.openxmlformats.org/officeDocument/2006/relationships/hyperlink" Target="https://www.gruponovelec.com/p/ais_bmpi610" TargetMode="External"/><Relationship Id="rId2" Type="http://schemas.openxmlformats.org/officeDocument/2006/relationships/hyperlink" Target="https://www.gruponovelec.com/p/ais_bmpi610" TargetMode="External"/><Relationship Id="rId3" Type="http://schemas.openxmlformats.org/officeDocument/2006/relationships/hyperlink" Target="https://www.mercadolibre.com.ec/bandeja-metalica-porta-cable--y-accesorios-varios--tamanos/up/MECU2433891609" TargetMode="External"/><Relationship Id="rId4" Type="http://schemas.openxmlformats.org/officeDocument/2006/relationships/hyperlink" Target="https://www.mercadolibre.com.ec/bandeja-metalica-porta-cable--y-accesorios-varios--tamanos/up/MECU2433891609" TargetMode="External"/><Relationship Id="rId9" Type="http://schemas.openxmlformats.org/officeDocument/2006/relationships/hyperlink" Target="https://www.yealink.com/es/product-detail/ip-phone-t31p" TargetMode="External"/><Relationship Id="rId48" Type="http://schemas.openxmlformats.org/officeDocument/2006/relationships/hyperlink" Target="https://spanish.alibaba.com/product-detail/Automatic-Loading-and-Unloading-Robot-for-1600979192643.html" TargetMode="External"/><Relationship Id="rId47" Type="http://schemas.openxmlformats.org/officeDocument/2006/relationships/hyperlink" Target="https://spanish.alibaba.com/product-detail/Automatic-Loading-and-Unloading-Robot-for-1600979192643.html" TargetMode="External"/><Relationship Id="rId49" Type="http://schemas.openxmlformats.org/officeDocument/2006/relationships/hyperlink" Target="https://www.plc-city.com/shop/es/industry-automation-plc-cpu-module/sie-6es7214-1bg40-0xb0-nss.html" TargetMode="External"/><Relationship Id="rId5" Type="http://schemas.openxmlformats.org/officeDocument/2006/relationships/hyperlink" Target="https://www.newegg.com/asus-nuc-14-essential-barebone-systems-mini-pc-intel-n150-processor-4-cores-4-threads-3-60-ghz-6w-tdp-6-mb-intel-smart-cache-rnuc14mnk1500000/p/2SW-000N-000A9?Item=9SIBM9SKG05866" TargetMode="External"/><Relationship Id="rId6" Type="http://schemas.openxmlformats.org/officeDocument/2006/relationships/hyperlink" Target="https://www.newegg.com/asus-nuc-14-essential-barebone-systems-mini-pc-intel-n150-processor-4-cores-4-threads-3-60-ghz-6w-tdp-6-mb-intel-smart-cache-rnuc14mnk1500000/p/2SW-000N-000A9?Item=9SIBM9SKG05866" TargetMode="External"/><Relationship Id="rId7" Type="http://schemas.openxmlformats.org/officeDocument/2006/relationships/hyperlink" Target="https://www.amazon.com/-/es/ASUS-Monitor-cuidado-ocular-VA279QG/dp/B0DM6S4FMH/ref=sr_1_6?__mk_es_US=%C3%85M%C3%85%C5%BD%C3%95%C3%91&amp;crid=252G5W7G9B21R&amp;dib=eyJ2IjoiMSJ9.2V6gusNE5rW28YE2hb3s5-DZ4_bZfymxmV6SLyGxqGVKZpPIN0wT3yNx2Khk_gZ1FqxbB6Gdyl6NrMX60aBTG91oxOxhAhd0eC8vIHwuyidQl34JlrKGK8P5LkhVlN-CnnD6IiIouxln45sHizd6hybZjRMLoccmUAAQpKaMF9ZTmNI5CIpUVru-NSrz_yey11oQDI9R-krSjARAhoOtxGTCINGy7ZDasCbPPERBa4I.CQ4eW-rms4YebCM5KLJncCBYt3WzrVbsbGEE7eq-4I8&amp;dib_tag=se&amp;keywords=asus%2Bmonitor&amp;qid=1754240333&amp;sprefix=asus%2Bmonito%2Caps%2C169&amp;sr=8-6&amp;th=1" TargetMode="External"/><Relationship Id="rId8" Type="http://schemas.openxmlformats.org/officeDocument/2006/relationships/hyperlink" Target="https://www.amazon.com/-/es/ASUS-Monitor-cuidado-ocular-VA279QG/dp/B0DM6S4FMH/ref=sr_1_6?__mk_es_US=%C3%85M%C3%85%C5%BD%C3%95%C3%91&amp;crid=252G5W7G9B21R&amp;dib=eyJ2IjoiMSJ9.2V6gusNE5rW28YE2hb3s5-DZ4_bZfymxmV6SLyGxqGVKZpPIN0wT3yNx2Khk_gZ1FqxbB6Gdyl6NrMX60aBTG91oxOxhAhd0eC8vIHwuyidQl34JlrKGK8P5LkhVlN-CnnD6IiIouxln45sHizd6hybZjRMLoccmUAAQpKaMF9ZTmNI5CIpUVru-NSrz_yey11oQDI9R-krSjARAhoOtxGTCINGy7ZDasCbPPERBa4I.CQ4eW-rms4YebCM5KLJncCBYt3WzrVbsbGEE7eq-4I8&amp;dib_tag=se&amp;keywords=asus%2Bmonitor&amp;qid=1754240333&amp;sprefix=asus%2Bmonito%2Caps%2C169&amp;sr=8-6&amp;th=1" TargetMode="External"/><Relationship Id="rId73" Type="http://schemas.openxmlformats.org/officeDocument/2006/relationships/hyperlink" Target="https://assets.tripplite.com/product-pdfs/en/sr18ub.pdf" TargetMode="External"/><Relationship Id="rId72" Type="http://schemas.openxmlformats.org/officeDocument/2006/relationships/hyperlink" Target="https://tripplite.eaton.com/18u-smartrack-deep-rack-enclosure-cabinet~SR18UB" TargetMode="External"/><Relationship Id="rId31" Type="http://schemas.openxmlformats.org/officeDocument/2006/relationships/hyperlink" Target="https://assets.tramontina.com.br/upload/tramon/imagens/ELT/57300014FIE001.pdf" TargetMode="External"/><Relationship Id="rId75" Type="http://schemas.openxmlformats.org/officeDocument/2006/relationships/hyperlink" Target="https://www.amazon.com/Gabinete-servidor-montaje-puerta-NETECABLE/dp/B0DR4XRBP4/ref=sr_1_1_sspa?adgrpid=81255912453&amp;dib=eyJ2IjoiMSJ9.korbfCAeAXiOCybBMAXQIM30fyWcdjZbhgTeMt6JjmThRj2ndrYHT-KVrxobc_cicNIRfN4e46Yg7UScbzfx7iGIpOfY-Uq-G_f-8pen6RQRGAN8KJHPLoO_bILBPNQb9V-H5vFw6oF2D4KFB-hzHQW2LhPAHUCrLray1cNg4e2Olc6gtDEVR4ZlU2ya_xKu3Qaw6oYSjWwOGlmMGOJj1b4Mi1IdF4Tp8qNK7xaRGKM.kVmYYDdC9dL4IS9DxN46sV2xE759dlu4BWHuuKnS1aw&amp;dib_tag=se&amp;hvadid=673645279376&amp;hvdev=c&amp;hvlocphy=9069516&amp;hvnetw=g&amp;hvqmt=e&amp;hvrand=4966707411800209245&amp;hvtargid=kwd-2773959921&amp;hydadcr=25074_13668680&amp;keywords=rack%2B6u&amp;mcid=d93e794b00db3cd690d232d145309759&amp;qid=1771377423&amp;sr=8-1-spons&amp;sp_csd=d2lkZ2V0TmFtZT1zcF9hdGY&amp;th=1" TargetMode="External"/><Relationship Id="rId30" Type="http://schemas.openxmlformats.org/officeDocument/2006/relationships/hyperlink" Target="https://www.kywi.com.ec/canaleta-lisa-40x25-blanca-sin-division-dexson-schneider/p" TargetMode="External"/><Relationship Id="rId74" Type="http://schemas.openxmlformats.org/officeDocument/2006/relationships/hyperlink" Target="https://www.amazon.com/Gabinete-servidor-montaje-puerta-NETECABLE/dp/B0DR4XRBP4/ref=sr_1_1_sspa?adgrpid=81255912453&amp;dib=eyJ2IjoiMSJ9.korbfCAeAXiOCybBMAXQIM30fyWcdjZbhgTeMt6JjmThRj2ndrYHT-KVrxobc_cicNIRfN4e46Yg7UScbzfx7iGIpOfY-Uq-G_f-8pen6RQRGAN8KJHPLoO_bILBPNQb9V-H5vFw6oF2D4KFB-hzHQW2LhPAHUCrLray1cNg4e2Olc6gtDEVR4ZlU2ya_xKu3Qaw6oYSjWwOGlmMGOJj1b4Mi1IdF4Tp8qNK7xaRGKM.kVmYYDdC9dL4IS9DxN46sV2xE759dlu4BWHuuKnS1aw&amp;dib_tag=se&amp;hvadid=673645279376&amp;hvdev=c&amp;hvlocphy=9069516&amp;hvnetw=g&amp;hvqmt=e&amp;hvrand=4966707411800209245&amp;hvtargid=kwd-2773959921&amp;hydadcr=25074_13668680&amp;keywords=rack%2B6u&amp;mcid=d93e794b00db3cd690d232d145309759&amp;qid=1771377423&amp;sr=8-1-spons&amp;sp_csd=d2lkZ2V0TmFtZT1zcF9hdGY&amp;th=1" TargetMode="External"/><Relationship Id="rId33" Type="http://schemas.openxmlformats.org/officeDocument/2006/relationships/hyperlink" Target="https://assets.tramontina.com.br/upload/tramon/imagens/ELT/57300014FIE001.pdf" TargetMode="External"/><Relationship Id="rId77" Type="http://schemas.openxmlformats.org/officeDocument/2006/relationships/hyperlink" Target="https://www.panduit.com/content/dam/panduit/en/products/media/2/02/202/102202.pdf" TargetMode="External"/><Relationship Id="rId32" Type="http://schemas.openxmlformats.org/officeDocument/2006/relationships/hyperlink" Target="https://tienda.demaco.ec/codo-externo-canaleta-20mmx10mm-imp" TargetMode="External"/><Relationship Id="rId76" Type="http://schemas.openxmlformats.org/officeDocument/2006/relationships/hyperlink" Target="https://www.panduit.com/en/products/copper-systems/patch-panels-accessories/populated-patch-panels/p202123.html" TargetMode="External"/><Relationship Id="rId35" Type="http://schemas.openxmlformats.org/officeDocument/2006/relationships/hyperlink" Target="https://assets.tramontina.com.br/upload/tramon/imagens/ELT/57300014FIE001.pdf" TargetMode="External"/><Relationship Id="rId79" Type="http://schemas.openxmlformats.org/officeDocument/2006/relationships/hyperlink" Target="https://www.panduit.com/content/dam/panduit/en/products/media/2/02/202/102202.pdf" TargetMode="External"/><Relationship Id="rId34" Type="http://schemas.openxmlformats.org/officeDocument/2006/relationships/hyperlink" Target="https://tienda.demaco.ec/angulo-plano-para-canaleta-40x25-blanco-dexson" TargetMode="External"/><Relationship Id="rId78" Type="http://schemas.openxmlformats.org/officeDocument/2006/relationships/hyperlink" Target="https://www.panduit.com/en/products/cabinets-thermal-management-racks-enclosures/cable-managers-accessories/horizontal-cable-managers/p205019.html" TargetMode="External"/><Relationship Id="rId71" Type="http://schemas.openxmlformats.org/officeDocument/2006/relationships/hyperlink" Target="https://www.router-switch.com/cisco2911-v-k9-p-164.html" TargetMode="External"/><Relationship Id="rId70" Type="http://schemas.openxmlformats.org/officeDocument/2006/relationships/hyperlink" Target="https://www.router-switch.com/cisco2911-k9-p-156.html" TargetMode="External"/><Relationship Id="rId37" Type="http://schemas.openxmlformats.org/officeDocument/2006/relationships/hyperlink" Target="https://www.truper.com/ficha_tecnica_pdf/views/ficha-print.php?id=256384" TargetMode="External"/><Relationship Id="rId36" Type="http://schemas.openxmlformats.org/officeDocument/2006/relationships/hyperlink" Target="https://global.tramontina.com/es/p/t-40-x-20-mm-tramontina-blanco-57300084" TargetMode="External"/><Relationship Id="rId39" Type="http://schemas.openxmlformats.org/officeDocument/2006/relationships/hyperlink" Target="https://diverzu.com.ec/get-pdf/LYztLC24OUx0vyhfAiZ0cr1b.pdf" TargetMode="External"/><Relationship Id="rId38" Type="http://schemas.openxmlformats.org/officeDocument/2006/relationships/hyperlink" Target="https://www.promart.ec/codo-conduit-pvc-3-4/p?srsltid=AfmBOooKYS6-JGOkMtYPJQVuYnslCOufP9jVjr7PvIuWUtVmJuv403tV" TargetMode="External"/><Relationship Id="rId62" Type="http://schemas.openxmlformats.org/officeDocument/2006/relationships/hyperlink" Target="https://www.ebay.com/itm/186731473200?_skw=welding+robot&amp;itmmeta=01KH41JGMPSPW15J8C0KMW0P32&amp;hash=item2b7a102930:g:2f0AAOSw0QdnDlhK&amp;itmprp=enc%3AAQALAAAA8DKQclQvzFwZQpmMrsO4Luo8BuZC%2B4myYny1diLLL9MUcAd%2BQndEaI0w4rezZ1CPXMYdr%2Bt4WXonDlODr211mNdkhVt96kYSxQj5y84dq4kgUANQIolriek6pW87U9kNcK5Np5sBvntm6bm9j5ljLKQBmlm0SVXVcJ95NRbS9yI3xFCLbInjFBu%2Bfofi4ySWDrmkG2BGNanx71e2XgXstI6mFPrulWRJvtnUSIr27%2B8va69SyX0NaAjuXBuFNjn8zkJsVMn%2F5ReO9YBLsPE2dT30FUoYqmSVo%2FUB7uC3G0tHKDGYBOr7g48nrjRDmNL%2FJw%3D%3D%7Ctkp%3ABk9SR7yKyoGJZw" TargetMode="External"/><Relationship Id="rId61" Type="http://schemas.openxmlformats.org/officeDocument/2006/relationships/hyperlink" Target="https://www.amazon.es/Siemens-Simatic-IOT2050-Quad-Gateway/dp/B08CN87WW3" TargetMode="External"/><Relationship Id="rId20" Type="http://schemas.openxmlformats.org/officeDocument/2006/relationships/hyperlink" Target="https://suptelcom.com.ec/wp-content/uploads/2026/01/Ficha-Tenica-o-Data-Sheet-de-NK6PC3Y-Patch-Cord-en-Categoria-6-UTP-3ft-o-1-metro-de-color-Int-Gray-en-Panduit-NetKey.pdf" TargetMode="External"/><Relationship Id="rId64" Type="http://schemas.openxmlformats.org/officeDocument/2006/relationships/hyperlink" Target="https://www.hp.com/ec-es/products/printers/product-details/2100584485" TargetMode="External"/><Relationship Id="rId63" Type="http://schemas.openxmlformats.org/officeDocument/2006/relationships/hyperlink" Target="https://www.ebay.com/itm/186731473200?_skw=welding+robot&amp;itmmeta=01KH41JGMPSPW15J8C0KMW0P32&amp;hash=item2b7a102930:g:2f0AAOSw0QdnDlhK&amp;itmprp=enc%3AAQALAAAA8DKQclQvzFwZQpmMrsO4Luo8BuZC%2B4myYny1diLLL9MUcAd%2BQndEaI0w4rezZ1CPXMYdr%2Bt4WXonDlODr211mNdkhVt96kYSxQj5y84dq4kgUANQIolriek6pW87U9kNcK5Np5sBvntm6bm9j5ljLKQBmlm0SVXVcJ95NRbS9yI3xFCLbInjFBu%2Bfofi4ySWDrmkG2BGNanx71e2XgXstI6mFPrulWRJvtnUSIr27%2B8va69SyX0NaAjuXBuFNjn8zkJsVMn%2F5ReO9YBLsPE2dT30FUoYqmSVo%2FUB7uC3G0tHKDGYBOr7g48nrjRDmNL%2FJw%3D%3D%7Ctkp%3ABk9SR7yKyoGJZw" TargetMode="External"/><Relationship Id="rId22" Type="http://schemas.openxmlformats.org/officeDocument/2006/relationships/hyperlink" Target="https://www.fs.com/mx/products/63446.html" TargetMode="External"/><Relationship Id="rId66" Type="http://schemas.openxmlformats.org/officeDocument/2006/relationships/hyperlink" Target="https://www.cisco.com/c/en/us/products/collateral/switches/catalyst-2960-x-series-switches/datasheet_c78-728232.html?utm_source=chatgpt.com" TargetMode="External"/><Relationship Id="rId21" Type="http://schemas.openxmlformats.org/officeDocument/2006/relationships/hyperlink" Target="https://suptelcom.com.ec/product/patch-cord-cat6-utp-3ft-blanco-panduit-netkey/" TargetMode="External"/><Relationship Id="rId65" Type="http://schemas.openxmlformats.org/officeDocument/2006/relationships/hyperlink" Target="https://tecmanecuador.com/producto/epson-impresora-multifuncional-ecotank-l3250/" TargetMode="External"/><Relationship Id="rId24" Type="http://schemas.openxmlformats.org/officeDocument/2006/relationships/hyperlink" Target="https://www.panduit.com/content/dam/panduit/en/products/media/0/10/310/4310/109894310.pdf" TargetMode="External"/><Relationship Id="rId68" Type="http://schemas.openxmlformats.org/officeDocument/2006/relationships/hyperlink" Target="https://www.amazon.es/Cisco-CATALYST-3650-24-PORT/dp/B01N0ZGJ66" TargetMode="External"/><Relationship Id="rId23" Type="http://schemas.openxmlformats.org/officeDocument/2006/relationships/hyperlink" Target="https://www.fs.com/mx/products/63446.html" TargetMode="External"/><Relationship Id="rId67" Type="http://schemas.openxmlformats.org/officeDocument/2006/relationships/hyperlink" Target="https://www.cisco.com/c/en/us/products/collateral/switches/catalyst-2960-x-series-switches/datasheet_c78-728232.html" TargetMode="External"/><Relationship Id="rId60" Type="http://schemas.openxmlformats.org/officeDocument/2006/relationships/hyperlink" Target="https://www.plc-city.com/shop/es/industry-automation-plc-cpu-module/sie-6es7214-1bg40-0xb0-nss.html" TargetMode="External"/><Relationship Id="rId26" Type="http://schemas.openxmlformats.org/officeDocument/2006/relationships/hyperlink" Target="https://www.panduit.com/content/dam/panduit/en/products/media/0/10/310/4310/109894310.pdf" TargetMode="External"/><Relationship Id="rId25" Type="http://schemas.openxmlformats.org/officeDocument/2006/relationships/hyperlink" Target="https://tecnit.com.ec/producto/faceplate-de-1-puerto-panduit-nk1fiwy-blanco-tapa-para-caja-sobrepuesta/?srsltid=AfmBOorcF9rSoYi1W9-m_TUrB1wkmUPHpuoO9TwFjLlXdUwYUOEOZNgy" TargetMode="External"/><Relationship Id="rId69" Type="http://schemas.openxmlformats.org/officeDocument/2006/relationships/hyperlink" Target="https://www.cisco.com/c/en/us/products/collateral/switches/catalyst-3650-series-switches/data_sheet-c78-729449.html" TargetMode="External"/><Relationship Id="rId28" Type="http://schemas.openxmlformats.org/officeDocument/2006/relationships/hyperlink" Target="https://www.promart.ec/caja-paso-100x100x55-ip55-500dg-dexson/p?srsltid=AfmBOopuPcDdlnk965r90GSNqBGTqBTfU2s4MrrEmlkDbxfSVxwr-YnW" TargetMode="External"/><Relationship Id="rId27" Type="http://schemas.openxmlformats.org/officeDocument/2006/relationships/hyperlink" Target="https://tecnit.com.ec/producto/faceplate-de-2-puertos-panduit-nk2fiwy-blanco-tapa-para-caja-sobrepuesta/?srsltid=AfmBOoqQzZgmpmACDJJz05RWj3YBSQZACE4K6EoYcBW8cuFnzC_XBqQu" TargetMode="External"/><Relationship Id="rId29" Type="http://schemas.openxmlformats.org/officeDocument/2006/relationships/hyperlink" Target="https://jmsecuritysystem.com/shop/lhd-25x15-kopos-lhd-25x15-canaleta-pvc-sin-adhesivo-blanco-2mt-4956?srsltid=AfmBOoqi6cD87f4y1TCtsmMMuuTKEDnD-y7y12uVt3YTye8fZvvLgJBx" TargetMode="External"/><Relationship Id="rId51" Type="http://schemas.openxmlformats.org/officeDocument/2006/relationships/hyperlink" Target="https://www.plc-city.com/shop/es/industry-automation-plc-cpu-module/sie-6es7214-1bg40-0xb0-nss.html" TargetMode="External"/><Relationship Id="rId50" Type="http://schemas.openxmlformats.org/officeDocument/2006/relationships/hyperlink" Target="https://www.plc-city.com/shop/es/industry-automation-plc-cpu-module/sie-6es7214-1bg40-0xb0-nss.html" TargetMode="External"/><Relationship Id="rId53" Type="http://schemas.openxmlformats.org/officeDocument/2006/relationships/hyperlink" Target="https://7861ccd0460d3fec.en.made-in-china.com/product/kmprCPREjQYH/China-Industrial-Robot-Including-Spray-Painting-Robot-Arm-6-Axis-and-Robotic-Welding-Machine-Automatic-Similar-with-GSK.html?ads_tp=dingtui&amp;srv_id=KngxjvVCZmUw&amp;delivery_region=4" TargetMode="External"/><Relationship Id="rId52" Type="http://schemas.openxmlformats.org/officeDocument/2006/relationships/hyperlink" Target="https://7861ccd0460d3fec.en.made-in-china.com/product/kmprCPREjQYH/China-Industrial-Robot-Including-Spray-Painting-Robot-Arm-6-Axis-and-Robotic-Welding-Machine-Automatic-Similar-with-GSK.html?ads_tp=dingtui&amp;srv_id=KngxjvVCZmUw&amp;delivery_region=4" TargetMode="External"/><Relationship Id="rId11" Type="http://schemas.openxmlformats.org/officeDocument/2006/relationships/hyperlink" Target="https://www.hikvision.com/es-la/products/IP-Products/Network-Cameras/Pro-Series-EasyIP-/ds-2cd2t46g2-isu-sl/" TargetMode="External"/><Relationship Id="rId55" Type="http://schemas.openxmlformats.org/officeDocument/2006/relationships/hyperlink" Target="https://www.alibaba.com/product-detail/Universal-SZGH-Robot-Pick-and-Place_1601220323785.html?spm=a2700.7724857.0.0.24271283WGzdhX" TargetMode="External"/><Relationship Id="rId10" Type="http://schemas.openxmlformats.org/officeDocument/2006/relationships/hyperlink" Target="https://www.amazon.com/-/es/Tel%C3%A9fono-pulgadas-adaptador-corriente-SIP-T31P/dp/B093KTSMZ1" TargetMode="External"/><Relationship Id="rId54" Type="http://schemas.openxmlformats.org/officeDocument/2006/relationships/hyperlink" Target="https://www.alibaba.com/product-detail/Universal-SZGH-Robot-Pick-and-Place_1601220323785.html?spm=a2700.7724857.0.0.24271283WGzdhX" TargetMode="External"/><Relationship Id="rId13" Type="http://schemas.openxmlformats.org/officeDocument/2006/relationships/hyperlink" Target="https://sylvania.com.ec/wp-content/uploads/2020/05/P23283-Sensor-de-Humo-DC9V.pdf" TargetMode="External"/><Relationship Id="rId57" Type="http://schemas.openxmlformats.org/officeDocument/2006/relationships/hyperlink" Target="https://www.alibaba.com/product-detail/Universal-SZGH-Robot-Pick-and-Place_1601220323785.html?spm=a2700.7724857.0.0.24271283WGzdhX" TargetMode="External"/><Relationship Id="rId12" Type="http://schemas.openxmlformats.org/officeDocument/2006/relationships/hyperlink" Target="https://www.securame.com/ds-2cd2t46g2-isusl28mmc-camara-ip-hikvision-4mp-pro-ir60m-28mm-h265-poe-sd-wdr-acusense-p-4991.html" TargetMode="External"/><Relationship Id="rId56" Type="http://schemas.openxmlformats.org/officeDocument/2006/relationships/hyperlink" Target="https://www.alibaba.com/product-detail/Universal-SZGH-Robot-Pick-and-Place_1601220323785.html?spm=a2700.7724857.0.0.24271283WGzdhX" TargetMode="External"/><Relationship Id="rId91" Type="http://schemas.openxmlformats.org/officeDocument/2006/relationships/table" Target="../tables/table9.xml"/><Relationship Id="rId15" Type="http://schemas.openxmlformats.org/officeDocument/2006/relationships/hyperlink" Target="https://tecmanecuador.com/producto/hp-impresora-laserjet-pro-m428fdw/" TargetMode="External"/><Relationship Id="rId59" Type="http://schemas.openxmlformats.org/officeDocument/2006/relationships/hyperlink" Target="https://www.mercadolibre.com.ec/pantalla-hmi-7--wecon--serialethernetiot/up/MECU3505365143" TargetMode="External"/><Relationship Id="rId14" Type="http://schemas.openxmlformats.org/officeDocument/2006/relationships/hyperlink" Target="https://www.hp.com/ec-es/products/printers/product-details/2100584485" TargetMode="External"/><Relationship Id="rId58" Type="http://schemas.openxmlformats.org/officeDocument/2006/relationships/hyperlink" Target="https://www.mercadolibre.com.ec/pantalla-hmi-7--wecon--serialethernetiot/up/MECU3505365143" TargetMode="External"/><Relationship Id="rId17" Type="http://schemas.openxmlformats.org/officeDocument/2006/relationships/hyperlink" Target="https://www.cdw.com/product/cisco-catalyst-9115axi-wireless-access-point-bluetooth-wi-fi-6/5561861" TargetMode="External"/><Relationship Id="rId16" Type="http://schemas.openxmlformats.org/officeDocument/2006/relationships/hyperlink" Target="https://www.cdw.com/product/cisco-catalyst-9115axi-wireless-access-point-bluetooth-wi-fi-6/5561861" TargetMode="External"/><Relationship Id="rId19" Type="http://schemas.openxmlformats.org/officeDocument/2006/relationships/hyperlink" Target="https://www.sincables.com.ec/product/cpc-6201-connection-patchcord-utp-100-cobre-23-awg-cat6-1ft-azul/?srsltid=AfmBOooe6YrHjlUSgWYo1MrgDyb3w4Jr05F0bq_R8T0gSHSJJ3ImsOOw" TargetMode="External"/><Relationship Id="rId18" Type="http://schemas.openxmlformats.org/officeDocument/2006/relationships/hyperlink" Target="https://connection-cs.com/?m=pn_product.php&amp;id=12&amp;sid=34&amp;pn=CPC-6201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ecuacomp.com/producto/cable-de-red-utp-patch-cord-nexxt-cat6-certificado-10-pies-azul-gris/" TargetMode="External"/><Relationship Id="rId42" Type="http://schemas.openxmlformats.org/officeDocument/2006/relationships/hyperlink" Target="https://www.se.com/co/es/product/download-pdf/DXN5002S?filename=Schneider+Electric_Dexson_DXN5002S.pdf" TargetMode="External"/><Relationship Id="rId41" Type="http://schemas.openxmlformats.org/officeDocument/2006/relationships/hyperlink" Target="https://ecuacomp.com/producto/cable-de-red-utp-patch-cord-nexxt-cat6-certificado-10-pies-azul-gris/" TargetMode="External"/><Relationship Id="rId44" Type="http://schemas.openxmlformats.org/officeDocument/2006/relationships/hyperlink" Target="https://files.siemon.com/en/specsheet/siemon-z-max-6a-shielded-outlets_spec-sheet.pdf" TargetMode="External"/><Relationship Id="rId43" Type="http://schemas.openxmlformats.org/officeDocument/2006/relationships/hyperlink" Target="https://www.dyprelec.com/producto/cajetin-rectangular-sobrepuesto-dexson-55mm/?srsltid=AfmBOoqQNy-prX1qQapc8JqJtL0j8ceU1ryxCEp37jtPlWcOVwzW-bnL" TargetMode="External"/><Relationship Id="rId46" Type="http://schemas.openxmlformats.org/officeDocument/2006/relationships/hyperlink" Target="https://mariorubio.com.ec/producto/tubo-conduit-pesada-3-4-x-3-mts/" TargetMode="External"/><Relationship Id="rId45" Type="http://schemas.openxmlformats.org/officeDocument/2006/relationships/hyperlink" Target="https://articulo.mercadolibre.com.ec/MEC-581849574-conector-jack-rj45-commscope-hembra-cat6-tipo-110-_JM" TargetMode="External"/><Relationship Id="rId1" Type="http://schemas.openxmlformats.org/officeDocument/2006/relationships/hyperlink" Target="https://www.cisco.com/c/en/us/products/collateral/switches/catalyst-2960-x-series-switches/datasheet_c78-728232.html?utm_source=chatgpt.com" TargetMode="External"/><Relationship Id="rId2" Type="http://schemas.openxmlformats.org/officeDocument/2006/relationships/hyperlink" Target="https://www.cisco.com/c/en/us/products/collateral/switches/catalyst-2960-x-series-switches/datasheet_c78-728232.html" TargetMode="External"/><Relationship Id="rId3" Type="http://schemas.openxmlformats.org/officeDocument/2006/relationships/hyperlink" Target="https://tripplite.eaton.com/12u-smartrack-rack-enclosure-cabinet-harsh-environments~SR12UBFFD" TargetMode="External"/><Relationship Id="rId4" Type="http://schemas.openxmlformats.org/officeDocument/2006/relationships/hyperlink" Target="https://assets.tripplite.com/product-pdfs/en/sr12ubffd.pdf" TargetMode="External"/><Relationship Id="rId9" Type="http://schemas.openxmlformats.org/officeDocument/2006/relationships/hyperlink" Target="https://www.panduit.com/en/products/cabinets-thermal-management-racks-enclosures/cable-managers-accessories/horizontal-cable-managers/p205019.html" TargetMode="External"/><Relationship Id="rId48" Type="http://schemas.openxmlformats.org/officeDocument/2006/relationships/hyperlink" Target="https://www.promart.ec/caja-paso-100x100x55-ip55-500dg-dexson/p?srsltid=AfmBOopuPcDdlnk965r90GSNqBGTqBTfU2s4MrrEmlkDbxfSVxwr-YnW" TargetMode="External"/><Relationship Id="rId47" Type="http://schemas.openxmlformats.org/officeDocument/2006/relationships/hyperlink" Target="https://mariorubio.com.ec/producto/tubo-conduit-pesada-3-4-x-3-mts/" TargetMode="External"/><Relationship Id="rId49" Type="http://schemas.openxmlformats.org/officeDocument/2006/relationships/hyperlink" Target="https://inselec.com.ec/wp-content/uploads/cajadepasocopia.pdf" TargetMode="External"/><Relationship Id="rId5" Type="http://schemas.openxmlformats.org/officeDocument/2006/relationships/hyperlink" Target="https://www.panduit.com/en/products/copper-systems/patch-panels-accessories/populated-patch-panels/p202123.html" TargetMode="External"/><Relationship Id="rId6" Type="http://schemas.openxmlformats.org/officeDocument/2006/relationships/hyperlink" Target="https://www.panduit.com/content/dam/panduit/en/products/media/2/02/202/102202.pdf" TargetMode="External"/><Relationship Id="rId7" Type="http://schemas.openxmlformats.org/officeDocument/2006/relationships/hyperlink" Target="https://www.router-switch.com/cisco2911-k9-p-156.html" TargetMode="External"/><Relationship Id="rId8" Type="http://schemas.openxmlformats.org/officeDocument/2006/relationships/hyperlink" Target="https://www.router-switch.com/cisco2911-v-k9-p-164.html" TargetMode="External"/><Relationship Id="rId73" Type="http://schemas.openxmlformats.org/officeDocument/2006/relationships/hyperlink" Target="https://www.router-switch.com/c9115axi-e.html" TargetMode="External"/><Relationship Id="rId72" Type="http://schemas.openxmlformats.org/officeDocument/2006/relationships/hyperlink" Target="https://www.cdw.com/product/cisco-catalyst-9115axi-wireless-access-point-bluetooth-wi-fi-6/5561861?pfm=srh" TargetMode="External"/><Relationship Id="rId31" Type="http://schemas.openxmlformats.org/officeDocument/2006/relationships/hyperlink" Target="https://tienda.demaco.ec/angulo-plano-para-canaleta-40x25-blanco-dexson" TargetMode="External"/><Relationship Id="rId30" Type="http://schemas.openxmlformats.org/officeDocument/2006/relationships/hyperlink" Target="https://assets.tramontina.com.br/upload/tramon/imagens/ELT/57300014FIE001.pdf" TargetMode="External"/><Relationship Id="rId74" Type="http://schemas.openxmlformats.org/officeDocument/2006/relationships/drawing" Target="../drawings/drawing7.xml"/><Relationship Id="rId33" Type="http://schemas.openxmlformats.org/officeDocument/2006/relationships/hyperlink" Target="https://global.tramontina.com/es/p/t-40-x-20-mm-tramontina-blanco-57300084" TargetMode="External"/><Relationship Id="rId77" Type="http://schemas.openxmlformats.org/officeDocument/2006/relationships/table" Target="../tables/table10.xml"/><Relationship Id="rId32" Type="http://schemas.openxmlformats.org/officeDocument/2006/relationships/hyperlink" Target="https://assets.tramontina.com.br/upload/tramon/imagens/ELT/57300014FIE001.pdf" TargetMode="External"/><Relationship Id="rId35" Type="http://schemas.openxmlformats.org/officeDocument/2006/relationships/hyperlink" Target="https://www.sincables.com.ec/product/cpc-6201-connection-patchcord-utp-100-cobre-23-awg-cat6-1ft-azul/?srsltid=AfmBOooe6YrHjlUSgWYo1MrgDyb3w4Jr05F0bq_R8T0gSHSJJ3ImsOOw" TargetMode="External"/><Relationship Id="rId34" Type="http://schemas.openxmlformats.org/officeDocument/2006/relationships/hyperlink" Target="https://connection-cs.com/?m=pn_product.php&amp;id=12&amp;sid=34&amp;pn=CPC-6201" TargetMode="External"/><Relationship Id="rId78" Type="http://schemas.openxmlformats.org/officeDocument/2006/relationships/table" Target="../tables/table11.xml"/><Relationship Id="rId71" Type="http://schemas.openxmlformats.org/officeDocument/2006/relationships/hyperlink" Target="https://www.amazon.com/-/es/ASUS-Monitor-cuidado-ocular-VA279QG/dp/B0DM6S4FMH/ref=sr_1_6?__mk_es_US=%C3%85M%C3%85%C5%BD%C3%95%C3%91&amp;crid=252G5W7G9B21R&amp;dib=eyJ2IjoiMSJ9.2V6gusNE5rW28YE2hb3s5-DZ4_bZfymxmV6SLyGxqGVKZpPIN0wT3yNx2Khk_gZ1FqxbB6Gdyl6NrMX60aBTG91oxOxhAhd0eC8vIHwuyidQl34JlrKGK8P5LkhVlN-CnnD6IiIouxln45sHizd6hybZjRMLoccmUAAQpKaMF9ZTmNI5CIpUVru-NSrz_yey11oQDI9R-krSjARAhoOtxGTCINGy7ZDasCbPPERBa4I.CQ4eW-rms4YebCM5KLJncCBYt3WzrVbsbGEE7eq-4I8&amp;dib_tag=se&amp;keywords=asus%2Bmonitor&amp;qid=1754240333&amp;sprefix=asus%2Bmonito%2Caps%2C169&amp;sr=8-6&amp;th=1" TargetMode="External"/><Relationship Id="rId70" Type="http://schemas.openxmlformats.org/officeDocument/2006/relationships/hyperlink" Target="https://www.amazon.com/-/es/ASUS-Monitor-cuidado-ocular-VA279QG/dp/B0DM6S4FMH/ref=sr_1_6?__mk_es_US=%C3%85M%C3%85%C5%BD%C3%95%C3%91&amp;crid=252G5W7G9B21R&amp;dib=eyJ2IjoiMSJ9.2V6gusNE5rW28YE2hb3s5-DZ4_bZfymxmV6SLyGxqGVKZpPIN0wT3yNx2Khk_gZ1FqxbB6Gdyl6NrMX60aBTG91oxOxhAhd0eC8vIHwuyidQl34JlrKGK8P5LkhVlN-CnnD6IiIouxln45sHizd6hybZjRMLoccmUAAQpKaMF9ZTmNI5CIpUVru-NSrz_yey11oQDI9R-krSjARAhoOtxGTCINGy7ZDasCbPPERBa4I.CQ4eW-rms4YebCM5KLJncCBYt3WzrVbsbGEE7eq-4I8&amp;dib_tag=se&amp;keywords=asus%2Bmonitor&amp;qid=1754240333&amp;sprefix=asus%2Bmonito%2Caps%2C169&amp;sr=8-6&amp;th=1" TargetMode="External"/><Relationship Id="rId37" Type="http://schemas.openxmlformats.org/officeDocument/2006/relationships/hyperlink" Target="https://suptelcom.com.ec/product/patch-cord-cat6-utp-3ft-blanco-panduit-netkey/" TargetMode="External"/><Relationship Id="rId36" Type="http://schemas.openxmlformats.org/officeDocument/2006/relationships/hyperlink" Target="https://suptelcom.com.ec/wp-content/uploads/2026/01/Ficha-Tenica-o-Data-Sheet-de-NK6PC3Y-Patch-Cord-en-Categoria-6-UTP-3ft-o-1-metro-de-color-Int-Gray-en-Panduit-NetKey.pdf" TargetMode="External"/><Relationship Id="rId39" Type="http://schemas.openxmlformats.org/officeDocument/2006/relationships/hyperlink" Target="https://www.fs.com/mx/products/63446.html" TargetMode="External"/><Relationship Id="rId38" Type="http://schemas.openxmlformats.org/officeDocument/2006/relationships/hyperlink" Target="https://www.fs.com/mx/products/63446.html" TargetMode="External"/><Relationship Id="rId62" Type="http://schemas.openxmlformats.org/officeDocument/2006/relationships/hyperlink" Target="https://www.yealink.com/es/product-detail/ip-phone-t31p" TargetMode="External"/><Relationship Id="rId61" Type="http://schemas.openxmlformats.org/officeDocument/2006/relationships/hyperlink" Target="https://www.fersontec.cl/control-acceso-biometrico-clave-rfid-125khz-zkteco?utm_source=chatgpt.com" TargetMode="External"/><Relationship Id="rId20" Type="http://schemas.openxmlformats.org/officeDocument/2006/relationships/hyperlink" Target="https://www.panduit.com/content/dam/panduit/en/products/media/0/10/310/4310/109894310.pdf" TargetMode="External"/><Relationship Id="rId64" Type="http://schemas.openxmlformats.org/officeDocument/2006/relationships/hyperlink" Target="https://www.hikvision.com/es-la/products/IP-Products/Network-Cameras/Pro-Series-EasyIP-/ds-2cd2t46g2-isu-sl/" TargetMode="External"/><Relationship Id="rId63" Type="http://schemas.openxmlformats.org/officeDocument/2006/relationships/hyperlink" Target="https://www.amazon.com/-/es/Tel%C3%A9fono-pulgadas-adaptador-corriente-SIP-T31P/dp/B093KTSMZ1" TargetMode="External"/><Relationship Id="rId22" Type="http://schemas.openxmlformats.org/officeDocument/2006/relationships/hyperlink" Target="https://www.panduit.com/content/dam/panduit/en/products/media/0/10/310/4310/109894310.pdf" TargetMode="External"/><Relationship Id="rId66" Type="http://schemas.openxmlformats.org/officeDocument/2006/relationships/hyperlink" Target="https://www.hp.com/ec-es/products/printers/product-details/2100584485" TargetMode="External"/><Relationship Id="rId21" Type="http://schemas.openxmlformats.org/officeDocument/2006/relationships/hyperlink" Target="https://tecnit.com.ec/producto/faceplate-de-1-puerto-panduit-nk1fiwy-blanco-tapa-para-caja-sobrepuesta/?srsltid=AfmBOorcF9rSoYi1W9-m_TUrB1wkmUPHpuoO9TwFjLlXdUwYUOEOZNgy" TargetMode="External"/><Relationship Id="rId65" Type="http://schemas.openxmlformats.org/officeDocument/2006/relationships/hyperlink" Target="https://www.securame.com/ds-2cd2t46g2-isusl28mmc-camara-ip-hikvision-4mp-pro-ir60m-28mm-h265-poe-sd-wdr-acusense-p-4991.html" TargetMode="External"/><Relationship Id="rId24" Type="http://schemas.openxmlformats.org/officeDocument/2006/relationships/hyperlink" Target="https://www.panduit.com/content/dam/panduit/en/products/media/0/10/310/4310/109894310.pdf" TargetMode="External"/><Relationship Id="rId68" Type="http://schemas.openxmlformats.org/officeDocument/2006/relationships/hyperlink" Target="https://www.newegg.com/asus-nuc-14-essential-barebone-systems-mini-pc-intel-n150-processor-4-cores-4-threads-3-60-ghz-6w-tdp-6-mb-intel-smart-cache-rnuc14mnk1500000/p/2SW-000N-000A9?Item=9SIBM9SKG05866" TargetMode="External"/><Relationship Id="rId23" Type="http://schemas.openxmlformats.org/officeDocument/2006/relationships/hyperlink" Target="https://tecnit.com.ec/producto/faceplate-de-2-puertos-panduit-nk2fiwy-blanco-tapa-para-caja-sobrepuesta/?srsltid=AfmBOoqQzZgmpmACDJJz05RWj3YBSQZACE4K6EoYcBW8cuFnzC_XBqQu" TargetMode="External"/><Relationship Id="rId67" Type="http://schemas.openxmlformats.org/officeDocument/2006/relationships/hyperlink" Target="https://tecmanecuador.com/producto/epson-impresora-multifuncional-ecotank-l3250/" TargetMode="External"/><Relationship Id="rId60" Type="http://schemas.openxmlformats.org/officeDocument/2006/relationships/hyperlink" Target="https://www.fersontec.cl/control-acceso-biometrico-clave-rfid-125khz-zkteco?utm_source=chatgpt.com" TargetMode="External"/><Relationship Id="rId26" Type="http://schemas.openxmlformats.org/officeDocument/2006/relationships/hyperlink" Target="https://jmsecuritysystem.com/shop/lhd-25x15-kopos-lhd-25x15-canaleta-pvc-sin-adhesivo-blanco-2mt-4956?srsltid=AfmBOoqi6cD87f4y1TCtsmMMuuTKEDnD-y7y12uVt3YTye8fZvvLgJBx" TargetMode="External"/><Relationship Id="rId25" Type="http://schemas.openxmlformats.org/officeDocument/2006/relationships/hyperlink" Target="https://www.importadoraespinoza.com/wallplate-faceplate-de-4-puertos-rj45" TargetMode="External"/><Relationship Id="rId69" Type="http://schemas.openxmlformats.org/officeDocument/2006/relationships/hyperlink" Target="https://www.newegg.com/asus-nuc-14-essential-barebone-systems-mini-pc-intel-n150-processor-4-cores-4-threads-3-60-ghz-6w-tdp-6-mb-intel-smart-cache-rnuc14mnk1500000/p/2SW-000N-000A9?Item=9SIBM9SKG05866" TargetMode="External"/><Relationship Id="rId28" Type="http://schemas.openxmlformats.org/officeDocument/2006/relationships/hyperlink" Target="https://assets.tramontina.com.br/upload/tramon/imagens/ELT/57300014FIE001.pdf" TargetMode="External"/><Relationship Id="rId27" Type="http://schemas.openxmlformats.org/officeDocument/2006/relationships/hyperlink" Target="https://www.kywi.com.ec/canaleta-lisa-40x25-blanca-sin-division-dexson-schneider/p" TargetMode="External"/><Relationship Id="rId29" Type="http://schemas.openxmlformats.org/officeDocument/2006/relationships/hyperlink" Target="https://tienda.demaco.ec/codo-externo-canaleta-20mmx10mm-imp" TargetMode="External"/><Relationship Id="rId51" Type="http://schemas.openxmlformats.org/officeDocument/2006/relationships/hyperlink" Target="https://inselec.com.ec/wp-content/uploads/cajadepasocopia.pdf" TargetMode="External"/><Relationship Id="rId50" Type="http://schemas.openxmlformats.org/officeDocument/2006/relationships/hyperlink" Target="https://www.promart.ec/caja-paso-15x15x10cm-c24-trossa/p" TargetMode="External"/><Relationship Id="rId53" Type="http://schemas.openxmlformats.org/officeDocument/2006/relationships/hyperlink" Target="https://www.otece.com.ec/producto/tuberia-emt-1/" TargetMode="External"/><Relationship Id="rId52" Type="http://schemas.openxmlformats.org/officeDocument/2006/relationships/hyperlink" Target="https://www.kywi.com.ec/caja-d-paso-20cm-x20cm-tol-galvanizado/p" TargetMode="External"/><Relationship Id="rId11" Type="http://schemas.openxmlformats.org/officeDocument/2006/relationships/hyperlink" Target="https://www.se.com/us/en/product/AP9565/apc-netshelter-basic-rack-pdu-1u-1-phase-3-7kw-230v-16a-or-3-3kw-208v-16a-12-c13-outlets-c20-cord/" TargetMode="External"/><Relationship Id="rId55" Type="http://schemas.openxmlformats.org/officeDocument/2006/relationships/hyperlink" Target="https://www.otece.com.ec/producto/tuberia-emt-1-14/" TargetMode="External"/><Relationship Id="rId10" Type="http://schemas.openxmlformats.org/officeDocument/2006/relationships/hyperlink" Target="https://www.panduit.com/content/dam/panduit/en/products/media/2/02/202/102202.pdf" TargetMode="External"/><Relationship Id="rId54" Type="http://schemas.openxmlformats.org/officeDocument/2006/relationships/hyperlink" Target="https://www.otece.com.ec/producto/tuberia-emt-1/" TargetMode="External"/><Relationship Id="rId13" Type="http://schemas.openxmlformats.org/officeDocument/2006/relationships/hyperlink" Target="https://download.schneider-electric.com/files?p_Doc_Ref=SPD_ASTE-6Z5Q3K_EN" TargetMode="External"/><Relationship Id="rId57" Type="http://schemas.openxmlformats.org/officeDocument/2006/relationships/hyperlink" Target="https://www.promart.ec/caja-paso-100x100x55-ip55-500dg-dexson/p?srsltid=AfmBOopuPcDdlnk965r90GSNqBGTqBTfU2s4MrrEmlkDbxfSVxwr-YnW" TargetMode="External"/><Relationship Id="rId12" Type="http://schemas.openxmlformats.org/officeDocument/2006/relationships/hyperlink" Target="https://www.apc.com/us/en/product/SMT1500RM2U/" TargetMode="External"/><Relationship Id="rId56" Type="http://schemas.openxmlformats.org/officeDocument/2006/relationships/hyperlink" Target="https://www.otece.com.ec/producto/tuberia-emt-1-14/" TargetMode="External"/><Relationship Id="rId15" Type="http://schemas.openxmlformats.org/officeDocument/2006/relationships/hyperlink" Target="https://www.panduit.com/content/dam/panduit/en/products/media/2/02/202/102202.pdf" TargetMode="External"/><Relationship Id="rId59" Type="http://schemas.openxmlformats.org/officeDocument/2006/relationships/hyperlink" Target="https://ecolite.com.co/sensor-movimiento-tipo-hongo-ecolite-se06-p241/?srsltid=AfmBOooOk0rf-kskHA7F5A9yMKxwAw7mpBNI1wzXtBwjW71tATx6NYJp" TargetMode="External"/><Relationship Id="rId14" Type="http://schemas.openxmlformats.org/officeDocument/2006/relationships/hyperlink" Target="http://www.panduit.com/en/search.html" TargetMode="External"/><Relationship Id="rId58" Type="http://schemas.openxmlformats.org/officeDocument/2006/relationships/hyperlink" Target="https://sylvania.com.ec/wp-content/uploads/2020/05/P23283-Sensor-de-Humo-DC9V.pdf" TargetMode="External"/><Relationship Id="rId17" Type="http://schemas.openxmlformats.org/officeDocument/2006/relationships/hyperlink" Target="https://www.amazon.com/dp/B00HEM61KA" TargetMode="External"/><Relationship Id="rId16" Type="http://schemas.openxmlformats.org/officeDocument/2006/relationships/hyperlink" Target="https://www.amazon.com/-/es/Cable-Matters-Ethernet-enganches-cable/dp/B0B57PDRS2/ref=sr_1_1?adgrpid=157068332094&amp;dib=eyJ2IjoiMSJ9.QiWYflJhi5f6NCPiCOs_q-JlpmY1wjiRXTw8843DUQB5sIcW6FkE5YdymgtjzU-psEWgKPSSQBW8sVMsVJ4-lLHocGd9w8GaZl5xn4hMfEoPxGdJ9Ab2SYAukoS4vTuoJdxuVWQsM937juZommTG6U9LVtDY_91vPDcloDSf-HmVAlZdHaTk4csmdf5J3BgFtPpCIrM1XwhvQsKJCMvr1tAFAfENKLlkZH6GmqCav_s.fc_da5fcDlEHoHT1Vn0x51i3Inh8OWq61EmcyA49JVM&amp;dib_tag=se&amp;hvadid=689405231718&amp;hvdev=c&amp;hvlocphy=9069516&amp;hvnetw=g&amp;hvqmt=b&amp;hvrand=410004265882181194&amp;hvtargid=kwd-2967232281&amp;hydadcr=20751_13501576&amp;keywords=ethernet%2Bcable%2B5&amp;mcid=d875082dfb8a39aeb78a35e65186538d&amp;qid=1770435774&amp;sr=8-1&amp;th=1" TargetMode="External"/><Relationship Id="rId19" Type="http://schemas.openxmlformats.org/officeDocument/2006/relationships/hyperlink" Target="https://www.gruponovelec.com/p/ais_bmpi610" TargetMode="External"/><Relationship Id="rId18" Type="http://schemas.openxmlformats.org/officeDocument/2006/relationships/hyperlink" Target="https://matmax-aiscan.s3.eu-west-1.amazonaws.com/akeneo_files/AISCAN%20BMPZ.pdf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tienda.demaco.ec/tubo-pvc-conduit-1-1-4-40mm-3m-pesado-plastidor?utm_source=chatgpt.com" TargetMode="External"/><Relationship Id="rId2" Type="http://schemas.openxmlformats.org/officeDocument/2006/relationships/hyperlink" Target="https://xlstore.exelsolar.com/Multimedia/FichaTecnica/CNTX-C-SCH40-1_FichaTecnica.pdf" TargetMode="External"/><Relationship Id="rId3" Type="http://schemas.openxmlformats.org/officeDocument/2006/relationships/hyperlink" Target="https://www.sincables.com.ec/product/cpc-7210-patchcord-ftp-connection-100-cobre-cat6a-blindado-3m/?srsltid=AfmBOorH35MtuF3zSImIPA0_AOQm8ED8DESC11adiEIk5NxvDkePr1Dm" TargetMode="External"/><Relationship Id="rId4" Type="http://schemas.openxmlformats.org/officeDocument/2006/relationships/hyperlink" Target="https://www.sincables.com.ec/product/cpc-7210-patchcord-ftp-connection-100-cobre-cat6a-blindado-3m/?srsltid=AfmBOorH35MtuF3zSImIPA0_AOQm8ED8DESC11adiEIk5NxvDkePr1Dm" TargetMode="External"/><Relationship Id="rId5" Type="http://schemas.openxmlformats.org/officeDocument/2006/relationships/drawing" Target="../drawings/drawing8.xml"/><Relationship Id="rId7" Type="http://schemas.openxmlformats.org/officeDocument/2006/relationships/table" Target="../tables/table1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2.movistar.cl/empresas/servicios-fijos/internet-fibra/fibra-empresas/" TargetMode="External"/><Relationship Id="rId2" Type="http://schemas.openxmlformats.org/officeDocument/2006/relationships/drawing" Target="../drawings/drawing9.xml"/><Relationship Id="rId11" Type="http://schemas.openxmlformats.org/officeDocument/2006/relationships/table" Target="../tables/table13.xml"/><Relationship Id="rId13" Type="http://schemas.openxmlformats.org/officeDocument/2006/relationships/table" Target="../tables/table15.xml"/><Relationship Id="rId12" Type="http://schemas.openxmlformats.org/officeDocument/2006/relationships/table" Target="../tables/table14.xml"/><Relationship Id="rId15" Type="http://schemas.openxmlformats.org/officeDocument/2006/relationships/table" Target="../tables/table17.xml"/><Relationship Id="rId14" Type="http://schemas.openxmlformats.org/officeDocument/2006/relationships/table" Target="../tables/table16.xml"/><Relationship Id="rId17" Type="http://schemas.openxmlformats.org/officeDocument/2006/relationships/table" Target="../tables/table19.xml"/><Relationship Id="rId16" Type="http://schemas.openxmlformats.org/officeDocument/2006/relationships/table" Target="../tables/table18.xml"/><Relationship Id="rId18" Type="http://schemas.openxmlformats.org/officeDocument/2006/relationships/table" Target="../tables/table2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20" Type="http://schemas.openxmlformats.org/officeDocument/2006/relationships/table" Target="../tables/table28.xml"/><Relationship Id="rId22" Type="http://schemas.openxmlformats.org/officeDocument/2006/relationships/table" Target="../tables/table30.xml"/><Relationship Id="rId21" Type="http://schemas.openxmlformats.org/officeDocument/2006/relationships/table" Target="../tables/table29.xml"/><Relationship Id="rId23" Type="http://schemas.openxmlformats.org/officeDocument/2006/relationships/table" Target="../tables/table31.xml"/><Relationship Id="rId13" Type="http://schemas.openxmlformats.org/officeDocument/2006/relationships/table" Target="../tables/table21.xml"/><Relationship Id="rId15" Type="http://schemas.openxmlformats.org/officeDocument/2006/relationships/table" Target="../tables/table23.xml"/><Relationship Id="rId14" Type="http://schemas.openxmlformats.org/officeDocument/2006/relationships/table" Target="../tables/table22.xml"/><Relationship Id="rId17" Type="http://schemas.openxmlformats.org/officeDocument/2006/relationships/table" Target="../tables/table25.xml"/><Relationship Id="rId16" Type="http://schemas.openxmlformats.org/officeDocument/2006/relationships/table" Target="../tables/table24.xml"/><Relationship Id="rId19" Type="http://schemas.openxmlformats.org/officeDocument/2006/relationships/table" Target="../tables/table27.xml"/><Relationship Id="rId18" Type="http://schemas.openxmlformats.org/officeDocument/2006/relationships/table" Target="../tables/table2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www.mitienda.com" TargetMode="External"/><Relationship Id="rId2" Type="http://schemas.openxmlformats.org/officeDocument/2006/relationships/drawing" Target="../drawings/drawing11.xml"/><Relationship Id="rId9" Type="http://schemas.openxmlformats.org/officeDocument/2006/relationships/table" Target="../tables/table34.xml"/><Relationship Id="rId7" Type="http://schemas.openxmlformats.org/officeDocument/2006/relationships/table" Target="../tables/table32.xml"/><Relationship Id="rId8" Type="http://schemas.openxmlformats.org/officeDocument/2006/relationships/table" Target="../tables/table33.xml"/><Relationship Id="rId10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8.88"/>
    <col customWidth="1" min="3" max="3" width="17.88"/>
    <col customWidth="1" min="4" max="4" width="26.13"/>
    <col customWidth="1" min="5" max="5" width="32.75"/>
    <col customWidth="1" min="6" max="6" width="37.63"/>
    <col customWidth="1" min="7" max="9" width="14.25"/>
  </cols>
  <sheetData>
    <row r="1">
      <c r="A1" s="6"/>
      <c r="B1" s="7"/>
      <c r="C1" s="8"/>
      <c r="D1" s="8"/>
      <c r="E1" s="8"/>
      <c r="F1" s="11" t="s">
        <v>1</v>
      </c>
      <c r="G1" s="12"/>
      <c r="H1" s="12"/>
      <c r="I1" s="13"/>
      <c r="J1" s="8"/>
      <c r="K1" s="8"/>
      <c r="L1" s="8"/>
      <c r="M1" s="8"/>
      <c r="N1" s="8"/>
      <c r="O1" s="8"/>
      <c r="P1" s="8"/>
      <c r="Q1" s="8"/>
      <c r="R1" s="7"/>
    </row>
    <row r="2">
      <c r="A2" s="7"/>
      <c r="B2" s="7"/>
      <c r="C2" s="14" t="s">
        <v>4</v>
      </c>
      <c r="D2" s="14" t="s">
        <v>5</v>
      </c>
      <c r="E2" s="15" t="s">
        <v>6</v>
      </c>
      <c r="F2" s="17" t="s">
        <v>9</v>
      </c>
      <c r="G2" s="14" t="s">
        <v>10</v>
      </c>
      <c r="H2" s="14" t="s">
        <v>11</v>
      </c>
      <c r="I2" s="14" t="s">
        <v>12</v>
      </c>
      <c r="J2" s="14" t="s">
        <v>13</v>
      </c>
      <c r="K2" s="14" t="s">
        <v>15</v>
      </c>
      <c r="L2" s="14" t="s">
        <v>17</v>
      </c>
      <c r="M2" s="19" t="s">
        <v>18</v>
      </c>
      <c r="N2" s="19" t="s">
        <v>19</v>
      </c>
      <c r="O2" s="19" t="s">
        <v>21</v>
      </c>
      <c r="P2" s="14" t="s">
        <v>22</v>
      </c>
      <c r="Q2" s="19" t="s">
        <v>23</v>
      </c>
      <c r="R2" s="14" t="s">
        <v>24</v>
      </c>
    </row>
    <row r="3">
      <c r="A3" s="21" t="s">
        <v>25</v>
      </c>
      <c r="B3" s="22" t="s">
        <v>27</v>
      </c>
      <c r="C3" s="23">
        <v>65.0</v>
      </c>
      <c r="D3" s="23">
        <v>21.0</v>
      </c>
      <c r="E3" s="23">
        <v>318.56</v>
      </c>
      <c r="F3" s="23">
        <v>89.0</v>
      </c>
      <c r="G3" s="23">
        <v>35.0</v>
      </c>
      <c r="H3" s="23">
        <v>2.0</v>
      </c>
      <c r="I3" s="23">
        <v>4.0</v>
      </c>
      <c r="J3" s="23">
        <v>29.0</v>
      </c>
      <c r="K3" s="23">
        <v>16.0</v>
      </c>
      <c r="L3" s="23">
        <v>1.0</v>
      </c>
      <c r="M3" s="23">
        <v>21.0</v>
      </c>
      <c r="N3" s="23">
        <v>17.0</v>
      </c>
      <c r="O3" s="23">
        <v>2.0</v>
      </c>
      <c r="P3" s="23">
        <v>3.0</v>
      </c>
      <c r="Q3" s="23">
        <v>7.0</v>
      </c>
      <c r="R3" s="23">
        <v>15.0</v>
      </c>
    </row>
    <row r="4">
      <c r="A4" s="24"/>
      <c r="B4" s="22" t="s">
        <v>32</v>
      </c>
      <c r="C4" s="23">
        <v>76.0</v>
      </c>
      <c r="D4" s="23">
        <v>32.0</v>
      </c>
      <c r="E4" s="23">
        <v>413.44</v>
      </c>
      <c r="F4" s="23">
        <v>97.0</v>
      </c>
      <c r="G4" s="23">
        <v>0.0</v>
      </c>
      <c r="H4" s="23">
        <v>55.0</v>
      </c>
      <c r="I4" s="23">
        <v>0.0</v>
      </c>
      <c r="J4" s="23">
        <v>32.0</v>
      </c>
      <c r="K4" s="23">
        <v>22.0</v>
      </c>
      <c r="L4" s="23">
        <v>0.0</v>
      </c>
      <c r="M4" s="23">
        <v>32.0</v>
      </c>
      <c r="N4" s="23">
        <v>21.0</v>
      </c>
      <c r="O4" s="23">
        <v>2.0</v>
      </c>
      <c r="P4" s="23">
        <v>3.0</v>
      </c>
      <c r="Q4" s="23">
        <v>7.0</v>
      </c>
      <c r="R4" s="28">
        <v>11.0</v>
      </c>
    </row>
    <row r="5">
      <c r="A5" s="24"/>
      <c r="B5" s="22" t="s">
        <v>35</v>
      </c>
      <c r="C5" s="23">
        <v>49.0</v>
      </c>
      <c r="D5" s="23">
        <v>40.0</v>
      </c>
      <c r="E5" s="23">
        <v>328.81</v>
      </c>
      <c r="F5" s="23">
        <v>64.0</v>
      </c>
      <c r="G5" s="23">
        <v>20.0</v>
      </c>
      <c r="H5" s="23">
        <v>14.0</v>
      </c>
      <c r="I5" s="23">
        <v>0.0</v>
      </c>
      <c r="J5" s="23">
        <v>21.0</v>
      </c>
      <c r="K5" s="23">
        <v>14.0</v>
      </c>
      <c r="L5" s="23">
        <v>0.0</v>
      </c>
      <c r="M5" s="23">
        <v>14.0</v>
      </c>
      <c r="N5" s="23">
        <v>2.0</v>
      </c>
      <c r="O5" s="23">
        <v>2.0</v>
      </c>
      <c r="P5" s="23">
        <v>2.0</v>
      </c>
      <c r="Q5" s="23">
        <v>5.0</v>
      </c>
      <c r="R5" s="28">
        <v>7.0</v>
      </c>
    </row>
    <row r="6">
      <c r="A6" s="31"/>
      <c r="B6" s="22" t="s">
        <v>20</v>
      </c>
      <c r="C6" s="23">
        <v>80.0</v>
      </c>
      <c r="D6" s="23">
        <v>29.0</v>
      </c>
      <c r="E6" s="23">
        <f>'PISO 3'!H77</f>
        <v>123.03</v>
      </c>
      <c r="F6" s="23">
        <v>100.0</v>
      </c>
      <c r="G6" s="23">
        <v>0.0</v>
      </c>
      <c r="H6" s="23">
        <v>60.0</v>
      </c>
      <c r="I6" s="23">
        <v>0.0</v>
      </c>
      <c r="J6" s="23">
        <v>20.0</v>
      </c>
      <c r="K6" s="23">
        <v>20.0</v>
      </c>
      <c r="L6" s="23">
        <v>5.0</v>
      </c>
      <c r="M6" s="23">
        <v>29.0</v>
      </c>
      <c r="N6" s="23">
        <v>29.0</v>
      </c>
      <c r="O6" s="23">
        <v>2.0</v>
      </c>
      <c r="P6" s="23">
        <v>3.0</v>
      </c>
      <c r="Q6" s="23">
        <v>7.0</v>
      </c>
      <c r="R6" s="28">
        <v>10.0</v>
      </c>
    </row>
    <row r="7">
      <c r="A7" s="22"/>
      <c r="B7" s="43" t="s">
        <v>57</v>
      </c>
      <c r="C7" s="44">
        <f t="shared" ref="C7:R7" si="1">SUM(C3:C6)</f>
        <v>270</v>
      </c>
      <c r="D7" s="44">
        <f t="shared" si="1"/>
        <v>122</v>
      </c>
      <c r="E7" s="44">
        <f t="shared" si="1"/>
        <v>1183.84</v>
      </c>
      <c r="F7" s="44">
        <f t="shared" si="1"/>
        <v>350</v>
      </c>
      <c r="G7" s="44">
        <f t="shared" si="1"/>
        <v>55</v>
      </c>
      <c r="H7" s="44">
        <f t="shared" si="1"/>
        <v>131</v>
      </c>
      <c r="I7" s="44">
        <f t="shared" si="1"/>
        <v>4</v>
      </c>
      <c r="J7" s="44">
        <f t="shared" si="1"/>
        <v>102</v>
      </c>
      <c r="K7" s="44">
        <f t="shared" si="1"/>
        <v>72</v>
      </c>
      <c r="L7" s="44">
        <f t="shared" si="1"/>
        <v>6</v>
      </c>
      <c r="M7" s="44">
        <f t="shared" si="1"/>
        <v>96</v>
      </c>
      <c r="N7" s="44">
        <f t="shared" si="1"/>
        <v>69</v>
      </c>
      <c r="O7" s="44">
        <f t="shared" si="1"/>
        <v>8</v>
      </c>
      <c r="P7" s="44">
        <f t="shared" si="1"/>
        <v>11</v>
      </c>
      <c r="Q7" s="44">
        <f t="shared" si="1"/>
        <v>26</v>
      </c>
      <c r="R7" s="44">
        <f t="shared" si="1"/>
        <v>43</v>
      </c>
    </row>
    <row r="8">
      <c r="A8" s="53" t="s">
        <v>89</v>
      </c>
      <c r="B8" s="13"/>
      <c r="C8" s="23">
        <v>117.0</v>
      </c>
      <c r="D8" s="23">
        <v>36.0</v>
      </c>
      <c r="E8" s="23">
        <v>962.753</v>
      </c>
      <c r="F8" s="28"/>
      <c r="G8" s="28">
        <v>33.0</v>
      </c>
      <c r="H8" s="23">
        <v>24.0</v>
      </c>
      <c r="I8" s="23">
        <v>0.0</v>
      </c>
      <c r="J8" s="23">
        <v>65.0</v>
      </c>
      <c r="K8" s="23">
        <v>22.0</v>
      </c>
      <c r="L8" s="23">
        <v>0.0</v>
      </c>
      <c r="M8" s="23">
        <v>14.0</v>
      </c>
      <c r="N8" s="23">
        <v>14.0</v>
      </c>
      <c r="O8" s="23">
        <v>1.0</v>
      </c>
      <c r="P8" s="23">
        <v>4.0</v>
      </c>
      <c r="Q8" s="23">
        <v>16.0</v>
      </c>
      <c r="R8" s="23">
        <v>24.0</v>
      </c>
    </row>
    <row r="9">
      <c r="A9" s="53" t="s">
        <v>91</v>
      </c>
      <c r="B9" s="13"/>
      <c r="C9" s="23">
        <v>39.0</v>
      </c>
      <c r="D9" s="23">
        <v>20.0</v>
      </c>
      <c r="E9" s="23">
        <v>243.9</v>
      </c>
      <c r="F9" s="23">
        <v>89.0</v>
      </c>
      <c r="G9" s="23">
        <v>35.0</v>
      </c>
      <c r="H9" s="23">
        <v>2.0</v>
      </c>
      <c r="I9" s="23">
        <v>4.0</v>
      </c>
      <c r="J9" s="23">
        <v>29.0</v>
      </c>
      <c r="K9" s="23">
        <v>16.0</v>
      </c>
      <c r="L9" s="23">
        <v>1.0</v>
      </c>
      <c r="M9" s="23">
        <v>7.0</v>
      </c>
      <c r="N9" s="23">
        <v>7.0</v>
      </c>
      <c r="O9" s="23">
        <v>2.0</v>
      </c>
      <c r="P9" s="23">
        <v>4.0</v>
      </c>
      <c r="Q9" s="23">
        <v>6.0</v>
      </c>
      <c r="R9" s="28">
        <v>14.0</v>
      </c>
    </row>
    <row r="10">
      <c r="A10" s="7"/>
      <c r="B10" s="22" t="s">
        <v>93</v>
      </c>
      <c r="C10" s="57">
        <f t="shared" ref="C10:K10" si="2">SUM(C3:C9)</f>
        <v>696</v>
      </c>
      <c r="D10" s="57">
        <f t="shared" si="2"/>
        <v>300</v>
      </c>
      <c r="E10" s="57">
        <f t="shared" si="2"/>
        <v>3574.333</v>
      </c>
      <c r="F10" s="57">
        <f t="shared" si="2"/>
        <v>789</v>
      </c>
      <c r="G10" s="57">
        <f t="shared" si="2"/>
        <v>178</v>
      </c>
      <c r="H10" s="57">
        <f t="shared" si="2"/>
        <v>288</v>
      </c>
      <c r="I10" s="57">
        <f t="shared" si="2"/>
        <v>12</v>
      </c>
      <c r="J10" s="57">
        <f t="shared" si="2"/>
        <v>298</v>
      </c>
      <c r="K10" s="57">
        <f t="shared" si="2"/>
        <v>182</v>
      </c>
      <c r="L10" s="22"/>
      <c r="M10" s="57">
        <f t="shared" ref="M10:N10" si="3">SUM(M3:M9)</f>
        <v>213</v>
      </c>
      <c r="N10" s="57">
        <f t="shared" si="3"/>
        <v>159</v>
      </c>
      <c r="O10" s="22"/>
      <c r="P10" s="57">
        <f t="shared" ref="P10:R10" si="4">SUM(P3:P9)</f>
        <v>30</v>
      </c>
      <c r="Q10" s="57">
        <f t="shared" si="4"/>
        <v>74</v>
      </c>
      <c r="R10" s="57">
        <f t="shared" si="4"/>
        <v>124</v>
      </c>
    </row>
    <row r="11">
      <c r="A11" s="7"/>
      <c r="B11" s="7"/>
      <c r="C11" s="7"/>
      <c r="D11" s="7"/>
      <c r="E11" s="7"/>
      <c r="F11" s="53">
        <f>SUM(F10:I10)</f>
        <v>1267</v>
      </c>
      <c r="G11" s="12"/>
      <c r="H11" s="12"/>
      <c r="I11" s="13"/>
      <c r="J11" s="7"/>
      <c r="K11" s="7"/>
      <c r="L11" s="7"/>
      <c r="M11" s="7"/>
      <c r="N11" s="7"/>
      <c r="O11" s="7"/>
      <c r="P11" s="7"/>
      <c r="Q11" s="7"/>
      <c r="R11" s="7"/>
    </row>
    <row r="12">
      <c r="A12" s="7"/>
      <c r="B12" s="7"/>
      <c r="C12" s="7"/>
      <c r="D12" s="7"/>
      <c r="E12" s="7"/>
      <c r="F12" s="53" t="s">
        <v>129</v>
      </c>
      <c r="G12" s="12"/>
      <c r="H12" s="12"/>
      <c r="I12" s="13"/>
      <c r="J12" s="7"/>
      <c r="K12" s="7"/>
      <c r="L12" s="7"/>
      <c r="M12" s="7"/>
      <c r="N12" s="7"/>
      <c r="O12" s="7"/>
      <c r="P12" s="7"/>
      <c r="Q12" s="7"/>
      <c r="R12" s="7"/>
    </row>
    <row r="13">
      <c r="A13" s="7"/>
      <c r="B13" s="22"/>
      <c r="C13" s="71"/>
      <c r="D13" s="28" t="s">
        <v>133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>
      <c r="A14" s="7"/>
      <c r="B14" s="28" t="s">
        <v>137</v>
      </c>
      <c r="C14" s="28" t="s">
        <v>138</v>
      </c>
      <c r="D14" s="75" t="s">
        <v>139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8">
      <c r="B18" s="78" t="s">
        <v>140</v>
      </c>
    </row>
    <row r="20" ht="22.5" customHeight="1">
      <c r="B20" s="82" t="s">
        <v>143</v>
      </c>
      <c r="C20" s="82" t="s">
        <v>144</v>
      </c>
      <c r="D20" s="82" t="s">
        <v>145</v>
      </c>
      <c r="E20" s="82" t="s">
        <v>146</v>
      </c>
      <c r="F20" s="83"/>
    </row>
    <row r="21" ht="22.5" customHeight="1">
      <c r="B21" s="84" t="s">
        <v>148</v>
      </c>
      <c r="C21" s="85" t="s">
        <v>149</v>
      </c>
      <c r="D21" s="85">
        <v>0.012</v>
      </c>
      <c r="E21" s="84">
        <v>2.0</v>
      </c>
      <c r="F21" s="86"/>
    </row>
    <row r="22" ht="22.5" customHeight="1">
      <c r="B22" s="84" t="s">
        <v>151</v>
      </c>
      <c r="C22" s="85" t="s">
        <v>152</v>
      </c>
      <c r="D22" s="85">
        <v>0.015</v>
      </c>
      <c r="E22" s="84">
        <v>4.0</v>
      </c>
      <c r="F22" s="86"/>
    </row>
    <row r="23" ht="22.5" customHeight="1">
      <c r="B23" s="84" t="s">
        <v>153</v>
      </c>
      <c r="C23" s="85" t="s">
        <v>154</v>
      </c>
      <c r="D23" s="85">
        <v>0.019</v>
      </c>
      <c r="E23" s="84">
        <v>7.0</v>
      </c>
      <c r="F23" s="86"/>
    </row>
    <row r="24" ht="22.5" customHeight="1">
      <c r="B24" s="84" t="s">
        <v>159</v>
      </c>
      <c r="C24" s="85" t="s">
        <v>160</v>
      </c>
      <c r="D24" s="85">
        <v>0.022</v>
      </c>
      <c r="E24" s="84">
        <v>10.0</v>
      </c>
      <c r="F24" s="86"/>
    </row>
    <row r="25" ht="22.5" customHeight="1">
      <c r="B25" s="84" t="s">
        <v>161</v>
      </c>
      <c r="C25" s="85" t="s">
        <v>162</v>
      </c>
      <c r="D25" s="85">
        <v>0.028</v>
      </c>
      <c r="E25" s="84">
        <v>17.0</v>
      </c>
      <c r="F25" s="86"/>
    </row>
    <row r="26" ht="22.5" customHeight="1">
      <c r="B26" s="84" t="s">
        <v>163</v>
      </c>
      <c r="C26" s="85" t="s">
        <v>164</v>
      </c>
      <c r="D26" s="85">
        <v>0.045</v>
      </c>
      <c r="E26" s="84" t="s">
        <v>165</v>
      </c>
      <c r="F26" s="86"/>
    </row>
    <row r="27" ht="22.5" customHeight="1">
      <c r="B27" s="84" t="s">
        <v>167</v>
      </c>
      <c r="C27" s="85" t="s">
        <v>168</v>
      </c>
      <c r="D27" s="85">
        <v>0.057</v>
      </c>
      <c r="E27" s="84" t="s">
        <v>169</v>
      </c>
      <c r="F27" s="86"/>
    </row>
    <row r="30">
      <c r="B30" s="93" t="s">
        <v>170</v>
      </c>
    </row>
    <row r="32" ht="22.5" customHeight="1">
      <c r="B32" s="82" t="s">
        <v>171</v>
      </c>
      <c r="C32" s="82" t="s">
        <v>172</v>
      </c>
      <c r="D32" s="82" t="s">
        <v>173</v>
      </c>
      <c r="E32" s="82" t="s">
        <v>174</v>
      </c>
      <c r="F32" s="83"/>
    </row>
    <row r="33" ht="22.5" customHeight="1">
      <c r="B33" s="84" t="s">
        <v>175</v>
      </c>
      <c r="C33" s="94">
        <v>375.0</v>
      </c>
      <c r="D33" s="94">
        <v>150.0</v>
      </c>
      <c r="E33" s="84">
        <v>2.0</v>
      </c>
      <c r="F33" s="86"/>
    </row>
    <row r="34" ht="22.5" customHeight="1">
      <c r="B34" s="84" t="s">
        <v>179</v>
      </c>
      <c r="C34" s="94">
        <v>1000.0</v>
      </c>
      <c r="D34" s="94">
        <v>400.0</v>
      </c>
      <c r="E34" s="84">
        <v>7.0</v>
      </c>
      <c r="F34" s="86"/>
    </row>
    <row r="35" ht="22.5" customHeight="1">
      <c r="B35" s="84" t="s">
        <v>181</v>
      </c>
      <c r="C35" s="94">
        <v>2400.0</v>
      </c>
      <c r="D35" s="94">
        <v>960.0</v>
      </c>
      <c r="E35" s="84">
        <v>19.0</v>
      </c>
      <c r="F35" s="86"/>
    </row>
    <row r="36" ht="22.5" customHeight="1">
      <c r="B36" s="84" t="s">
        <v>182</v>
      </c>
      <c r="C36" s="94">
        <v>4500.0</v>
      </c>
      <c r="D36" s="94">
        <v>1800.0</v>
      </c>
      <c r="E36" s="84">
        <v>35.0</v>
      </c>
      <c r="F36" s="86"/>
    </row>
    <row r="37" ht="22.5" customHeight="1">
      <c r="B37" s="84" t="s">
        <v>187</v>
      </c>
      <c r="C37" s="94">
        <v>6000.0</v>
      </c>
      <c r="D37" s="94">
        <v>2400.0</v>
      </c>
      <c r="E37" s="84">
        <v>47.0</v>
      </c>
      <c r="F37" s="86"/>
    </row>
    <row r="38" ht="22.5" customHeight="1">
      <c r="B38" s="84" t="s">
        <v>188</v>
      </c>
      <c r="C38" s="94">
        <v>10000.0</v>
      </c>
      <c r="D38" s="94">
        <v>4000.0</v>
      </c>
      <c r="E38" s="84">
        <v>79.0</v>
      </c>
      <c r="F38" s="86"/>
    </row>
  </sheetData>
  <mergeCells count="6">
    <mergeCell ref="F1:I1"/>
    <mergeCell ref="A3:A6"/>
    <mergeCell ref="A8:B8"/>
    <mergeCell ref="A9:B9"/>
    <mergeCell ref="F11:I11"/>
    <mergeCell ref="F12:I12"/>
  </mergeCells>
  <dataValidations>
    <dataValidation type="custom" allowBlank="1" showDropDown="1" sqref="C33:D38">
      <formula1>AND(ISNUMBER(C33),(NOT(OR(NOT(ISERROR(DATEVALUE(C33))), AND(ISNUMBER(C33), LEFT(CELL("format", C33))="D")))))</formula1>
    </dataValidation>
  </dataValidations>
  <hyperlinks>
    <hyperlink r:id="rId1" ref="D14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8.5"/>
    <col customWidth="1" min="2" max="2" width="18.63"/>
    <col customWidth="1" min="3" max="3" width="19.63"/>
    <col customWidth="1" min="4" max="4" width="28.75"/>
    <col customWidth="1" min="5" max="5" width="53.13"/>
    <col customWidth="1" min="6" max="6" width="47.63"/>
    <col customWidth="1" min="7" max="7" width="21.63"/>
    <col customWidth="1" min="8" max="8" width="22.13"/>
    <col customWidth="1" min="9" max="9" width="23.38"/>
    <col customWidth="1" min="10" max="11" width="21.75"/>
    <col customWidth="1" min="12" max="12" width="23.25"/>
    <col customWidth="1" min="13" max="13" width="24.75"/>
    <col customWidth="1" min="14" max="14" width="22.63"/>
    <col customWidth="1" min="15" max="16" width="18.63"/>
    <col customWidth="1" min="17" max="17" width="16.0"/>
    <col customWidth="1" min="18" max="19" width="22.63"/>
  </cols>
  <sheetData>
    <row r="1" ht="15.75" customHeight="1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ht="15.75" customHeight="1">
      <c r="A2" s="10" t="s">
        <v>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ht="34.5" customHeight="1">
      <c r="A4" s="2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48.0" customHeight="1">
      <c r="A5" s="2" t="s">
        <v>14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39.0" customHeight="1">
      <c r="A6" s="2" t="s">
        <v>26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45.0" customHeight="1">
      <c r="A7" s="2" t="s">
        <v>28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ht="21.0" customHeight="1">
      <c r="A8" s="2" t="s">
        <v>30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21.0" customHeight="1">
      <c r="A9" s="2" t="s">
        <v>31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ht="22.5" customHeight="1">
      <c r="A10" s="10" t="s">
        <v>33</v>
      </c>
      <c r="B10" s="25"/>
      <c r="C10" s="25"/>
      <c r="D10" s="25"/>
      <c r="E10" s="25"/>
      <c r="F10" s="25"/>
      <c r="G10" s="25"/>
      <c r="H10" s="26"/>
      <c r="I10" s="26"/>
      <c r="J10" s="26"/>
      <c r="K10" s="25"/>
      <c r="L10" s="25"/>
      <c r="M10" s="5"/>
      <c r="N10" s="5"/>
      <c r="O10" s="5"/>
      <c r="P10" s="5"/>
      <c r="Q10" s="5"/>
      <c r="R10" s="5"/>
      <c r="S10" s="5"/>
      <c r="T10" s="5"/>
    </row>
    <row r="11" ht="15.75" customHeight="1">
      <c r="A11" s="2" t="s">
        <v>34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5"/>
      <c r="N11" s="5"/>
      <c r="O11" s="5"/>
      <c r="P11" s="5"/>
      <c r="Q11" s="5"/>
      <c r="R11" s="5"/>
      <c r="S11" s="5"/>
      <c r="T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3"/>
      <c r="O12" s="3"/>
      <c r="P12" s="5"/>
      <c r="Q12" s="5"/>
      <c r="R12" s="5"/>
      <c r="S12" s="5"/>
      <c r="T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3"/>
      <c r="O13" s="3"/>
      <c r="P13" s="5"/>
      <c r="Q13" s="5"/>
      <c r="R13" s="5"/>
      <c r="S13" s="5"/>
      <c r="T13" s="5"/>
    </row>
    <row r="14" ht="16.5" customHeight="1">
      <c r="A14" s="32" t="s">
        <v>38</v>
      </c>
      <c r="B14" s="32" t="s">
        <v>39</v>
      </c>
      <c r="C14" s="32" t="s">
        <v>40</v>
      </c>
      <c r="D14" s="32" t="s">
        <v>41</v>
      </c>
      <c r="E14" s="32" t="s">
        <v>42</v>
      </c>
      <c r="F14" s="32" t="s">
        <v>43</v>
      </c>
      <c r="G14" s="32" t="s">
        <v>44</v>
      </c>
      <c r="H14" s="32" t="s">
        <v>45</v>
      </c>
      <c r="I14" s="32" t="s">
        <v>46</v>
      </c>
      <c r="J14" s="32" t="s">
        <v>47</v>
      </c>
      <c r="K14" s="32" t="s">
        <v>48</v>
      </c>
      <c r="L14" s="32" t="s">
        <v>49</v>
      </c>
      <c r="M14" s="5"/>
      <c r="N14" s="33" t="s">
        <v>50</v>
      </c>
      <c r="O14" s="13"/>
      <c r="P14" s="5"/>
      <c r="Q14" s="5"/>
      <c r="R14" s="5"/>
      <c r="S14" s="5"/>
      <c r="T14" s="5"/>
    </row>
    <row r="15" ht="16.5" customHeight="1">
      <c r="A15" s="34" t="s">
        <v>52</v>
      </c>
      <c r="B15" s="35">
        <v>20.0</v>
      </c>
      <c r="C15" s="35">
        <v>20.0</v>
      </c>
      <c r="D15" s="35">
        <v>3.0</v>
      </c>
      <c r="E15" s="35">
        <v>21.0</v>
      </c>
      <c r="F15" s="35">
        <f>SUM(F16:F24)</f>
        <v>65</v>
      </c>
      <c r="G15" s="35">
        <v>21.0</v>
      </c>
      <c r="H15" s="35">
        <v>17.0</v>
      </c>
      <c r="I15" s="35">
        <v>2.0</v>
      </c>
      <c r="J15" s="35">
        <v>3.0</v>
      </c>
      <c r="K15" s="39">
        <v>7.0</v>
      </c>
      <c r="L15" s="35">
        <v>15.0</v>
      </c>
      <c r="M15" s="5"/>
      <c r="N15" s="40" t="s">
        <v>46</v>
      </c>
      <c r="O15" s="41">
        <v>2.0</v>
      </c>
      <c r="P15" s="5"/>
      <c r="Q15" s="5"/>
      <c r="R15" s="5"/>
      <c r="S15" s="5"/>
      <c r="T15" s="5"/>
    </row>
    <row r="16" ht="16.5" customHeight="1">
      <c r="A16" s="42" t="s">
        <v>55</v>
      </c>
      <c r="B16" s="42">
        <v>4.15</v>
      </c>
      <c r="C16" s="42">
        <v>4.72</v>
      </c>
      <c r="D16" s="42" t="s">
        <v>58</v>
      </c>
      <c r="E16" s="42">
        <v>2.0</v>
      </c>
      <c r="F16" s="42">
        <f t="shared" ref="F16:F24" si="1">SUM(G16:L16)</f>
        <v>6</v>
      </c>
      <c r="G16" s="42">
        <v>2.0</v>
      </c>
      <c r="H16" s="42">
        <v>2.0</v>
      </c>
      <c r="I16" s="45">
        <v>0.0</v>
      </c>
      <c r="J16" s="42">
        <v>0.0</v>
      </c>
      <c r="K16" s="46">
        <v>0.0</v>
      </c>
      <c r="L16" s="42">
        <v>2.0</v>
      </c>
      <c r="M16" s="5"/>
      <c r="N16" s="40" t="s">
        <v>62</v>
      </c>
      <c r="O16" s="41">
        <v>3.0</v>
      </c>
      <c r="P16" s="5"/>
      <c r="Q16" s="5"/>
      <c r="R16" s="5"/>
      <c r="S16" s="5"/>
      <c r="T16" s="5"/>
    </row>
    <row r="17" ht="16.5" customHeight="1">
      <c r="A17" s="42" t="s">
        <v>63</v>
      </c>
      <c r="B17" s="42">
        <v>4.15</v>
      </c>
      <c r="C17" s="42">
        <v>4.8</v>
      </c>
      <c r="D17" s="42"/>
      <c r="E17" s="42">
        <v>1.0</v>
      </c>
      <c r="F17" s="42">
        <f t="shared" si="1"/>
        <v>3</v>
      </c>
      <c r="G17" s="42">
        <v>1.0</v>
      </c>
      <c r="H17" s="42">
        <v>1.0</v>
      </c>
      <c r="I17" s="42">
        <v>0.0</v>
      </c>
      <c r="J17" s="42">
        <v>0.0</v>
      </c>
      <c r="K17" s="46">
        <v>0.0</v>
      </c>
      <c r="L17" s="42">
        <v>1.0</v>
      </c>
      <c r="M17" s="5"/>
      <c r="P17" s="5"/>
      <c r="Q17" s="5"/>
      <c r="R17" s="5"/>
      <c r="S17" s="5"/>
      <c r="T17" s="5"/>
    </row>
    <row r="18" ht="16.5" customHeight="1">
      <c r="A18" s="42" t="s">
        <v>70</v>
      </c>
      <c r="B18" s="42">
        <v>3.0</v>
      </c>
      <c r="C18" s="42">
        <v>3.0</v>
      </c>
      <c r="D18" s="42"/>
      <c r="E18" s="42">
        <v>0.0</v>
      </c>
      <c r="F18" s="42">
        <f t="shared" si="1"/>
        <v>4</v>
      </c>
      <c r="G18" s="42">
        <v>0.0</v>
      </c>
      <c r="H18" s="42">
        <v>0.0</v>
      </c>
      <c r="I18" s="42">
        <v>0.0</v>
      </c>
      <c r="J18" s="42">
        <v>0.0</v>
      </c>
      <c r="K18" s="46">
        <v>1.0</v>
      </c>
      <c r="L18" s="42">
        <v>3.0</v>
      </c>
      <c r="M18" s="5"/>
      <c r="P18" s="5"/>
      <c r="Q18" s="5"/>
      <c r="R18" s="5"/>
      <c r="S18" s="5"/>
      <c r="T18" s="5"/>
    </row>
    <row r="19" ht="16.5" customHeight="1">
      <c r="A19" s="42" t="s">
        <v>72</v>
      </c>
      <c r="B19" s="42">
        <v>3.8</v>
      </c>
      <c r="C19" s="42">
        <v>2.8</v>
      </c>
      <c r="D19" s="42"/>
      <c r="E19" s="42">
        <v>0.0</v>
      </c>
      <c r="F19" s="42">
        <f t="shared" si="1"/>
        <v>3</v>
      </c>
      <c r="G19" s="42">
        <v>0.0</v>
      </c>
      <c r="H19" s="42">
        <v>0.0</v>
      </c>
      <c r="I19" s="42">
        <v>0.0</v>
      </c>
      <c r="J19" s="42">
        <v>0.0</v>
      </c>
      <c r="K19" s="46">
        <v>1.0</v>
      </c>
      <c r="L19" s="42">
        <v>2.0</v>
      </c>
      <c r="M19" s="5"/>
      <c r="N19" s="5"/>
      <c r="O19" s="5"/>
      <c r="P19" s="5"/>
      <c r="Q19" s="5"/>
      <c r="R19" s="5"/>
      <c r="S19" s="5"/>
      <c r="T19" s="5"/>
    </row>
    <row r="20" ht="16.5" customHeight="1">
      <c r="A20" s="42" t="s">
        <v>76</v>
      </c>
      <c r="B20" s="42">
        <v>3.8</v>
      </c>
      <c r="C20" s="42">
        <v>4.8</v>
      </c>
      <c r="D20" s="42"/>
      <c r="E20" s="42">
        <v>4.0</v>
      </c>
      <c r="F20" s="42">
        <f t="shared" si="1"/>
        <v>7</v>
      </c>
      <c r="G20" s="42">
        <v>4.0</v>
      </c>
      <c r="H20" s="42">
        <v>0.0</v>
      </c>
      <c r="I20" s="42">
        <v>0.0</v>
      </c>
      <c r="J20" s="42">
        <v>0.0</v>
      </c>
      <c r="K20" s="46">
        <v>1.0</v>
      </c>
      <c r="L20" s="42">
        <v>2.0</v>
      </c>
      <c r="M20" s="5"/>
      <c r="N20" s="5"/>
      <c r="O20" s="5"/>
      <c r="P20" s="5"/>
      <c r="Q20" s="5"/>
      <c r="R20" s="5"/>
      <c r="S20" s="5"/>
      <c r="T20" s="5"/>
    </row>
    <row r="21" ht="16.5" customHeight="1">
      <c r="A21" s="42" t="s">
        <v>77</v>
      </c>
      <c r="B21" s="42">
        <v>7.6</v>
      </c>
      <c r="C21" s="42">
        <v>7.8</v>
      </c>
      <c r="D21" s="42"/>
      <c r="E21" s="42">
        <v>0.0</v>
      </c>
      <c r="F21" s="42">
        <f t="shared" si="1"/>
        <v>2</v>
      </c>
      <c r="G21" s="42">
        <v>0.0</v>
      </c>
      <c r="H21" s="42">
        <v>0.0</v>
      </c>
      <c r="I21" s="42">
        <v>0.0</v>
      </c>
      <c r="J21" s="42">
        <v>1.0</v>
      </c>
      <c r="K21" s="46">
        <v>0.0</v>
      </c>
      <c r="L21" s="42">
        <v>1.0</v>
      </c>
      <c r="M21" s="5"/>
      <c r="N21" s="5"/>
      <c r="O21" s="5"/>
      <c r="P21" s="5"/>
      <c r="Q21" s="5"/>
      <c r="R21" s="5"/>
      <c r="S21" s="5"/>
      <c r="T21" s="5"/>
    </row>
    <row r="22" ht="16.5" customHeight="1">
      <c r="A22" s="45" t="s">
        <v>79</v>
      </c>
      <c r="B22" s="42">
        <v>12.6</v>
      </c>
      <c r="C22" s="42">
        <v>5.7</v>
      </c>
      <c r="D22" s="42" t="s">
        <v>58</v>
      </c>
      <c r="E22" s="42">
        <v>12.0</v>
      </c>
      <c r="F22" s="42">
        <f t="shared" si="1"/>
        <v>32</v>
      </c>
      <c r="G22" s="42">
        <v>12.0</v>
      </c>
      <c r="H22" s="42">
        <v>12.0</v>
      </c>
      <c r="I22" s="42">
        <v>2.0</v>
      </c>
      <c r="J22" s="42">
        <v>1.0</v>
      </c>
      <c r="K22" s="46">
        <v>3.0</v>
      </c>
      <c r="L22" s="42">
        <v>2.0</v>
      </c>
      <c r="M22" s="5"/>
      <c r="N22" s="5"/>
      <c r="O22" s="5"/>
      <c r="P22" s="5"/>
      <c r="Q22" s="5"/>
      <c r="R22" s="5"/>
      <c r="S22" s="5"/>
      <c r="T22" s="5"/>
    </row>
    <row r="23" ht="16.5" customHeight="1">
      <c r="A23" s="42" t="s">
        <v>88</v>
      </c>
      <c r="B23" s="42">
        <v>5.8</v>
      </c>
      <c r="C23" s="42">
        <v>6.5</v>
      </c>
      <c r="D23" s="42" t="s">
        <v>58</v>
      </c>
      <c r="E23" s="42">
        <v>2.0</v>
      </c>
      <c r="F23" s="42">
        <f t="shared" si="1"/>
        <v>7</v>
      </c>
      <c r="G23" s="42">
        <v>2.0</v>
      </c>
      <c r="H23" s="42">
        <v>2.0</v>
      </c>
      <c r="I23" s="42">
        <v>0.0</v>
      </c>
      <c r="J23" s="42">
        <v>1.0</v>
      </c>
      <c r="K23" s="46">
        <v>1.0</v>
      </c>
      <c r="L23" s="42">
        <v>1.0</v>
      </c>
      <c r="M23" s="5"/>
      <c r="N23" s="5"/>
      <c r="O23" s="5"/>
      <c r="P23" s="5"/>
      <c r="Q23" s="5"/>
      <c r="R23" s="5"/>
      <c r="S23" s="5"/>
      <c r="T23" s="5"/>
    </row>
    <row r="24" ht="16.5" customHeight="1">
      <c r="A24" s="42" t="s">
        <v>90</v>
      </c>
      <c r="B24" s="42">
        <v>5.6</v>
      </c>
      <c r="C24" s="42">
        <v>5.8</v>
      </c>
      <c r="D24" s="42" t="s">
        <v>58</v>
      </c>
      <c r="E24" s="42">
        <v>0.0</v>
      </c>
      <c r="F24" s="42">
        <f t="shared" si="1"/>
        <v>1</v>
      </c>
      <c r="G24" s="42">
        <v>0.0</v>
      </c>
      <c r="H24" s="42">
        <v>0.0</v>
      </c>
      <c r="I24" s="42">
        <v>0.0</v>
      </c>
      <c r="J24" s="42">
        <v>0.0</v>
      </c>
      <c r="K24" s="46">
        <v>0.0</v>
      </c>
      <c r="L24" s="42">
        <v>1.0</v>
      </c>
      <c r="M24" s="5"/>
      <c r="N24" s="5"/>
      <c r="O24" s="5"/>
      <c r="P24" s="5"/>
      <c r="Q24" s="5"/>
      <c r="R24" s="5"/>
      <c r="S24" s="5"/>
      <c r="T24" s="5"/>
    </row>
    <row r="25" ht="22.5" customHeight="1">
      <c r="A25" s="61"/>
      <c r="B25" s="61"/>
      <c r="C25" s="61"/>
      <c r="D25" s="61"/>
      <c r="E25" s="61"/>
      <c r="F25" s="61"/>
      <c r="G25" s="61"/>
      <c r="H25" s="61"/>
      <c r="I25" s="62"/>
      <c r="J25" s="61"/>
      <c r="K25" s="61"/>
      <c r="L25" s="61"/>
      <c r="M25" s="5"/>
      <c r="N25" s="5"/>
      <c r="O25" s="5"/>
      <c r="P25" s="5"/>
      <c r="Q25" s="5"/>
      <c r="R25" s="5"/>
      <c r="S25" s="5"/>
      <c r="T25" s="5"/>
    </row>
    <row r="26" ht="15.75" customHeight="1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1"/>
      <c r="M26" s="5"/>
      <c r="N26" s="5"/>
      <c r="O26" s="5"/>
      <c r="P26" s="5" t="s">
        <v>105</v>
      </c>
      <c r="Q26" s="5"/>
      <c r="R26" s="5"/>
      <c r="S26" s="5"/>
      <c r="T26" s="5"/>
    </row>
    <row r="27" ht="19.5" customHeight="1">
      <c r="A27" s="63" t="s">
        <v>68</v>
      </c>
      <c r="B27" s="63" t="s">
        <v>106</v>
      </c>
      <c r="C27" s="64" t="s">
        <v>107</v>
      </c>
      <c r="D27" s="65" t="s">
        <v>108</v>
      </c>
      <c r="E27" s="66" t="s">
        <v>109</v>
      </c>
      <c r="F27" s="63" t="s">
        <v>110</v>
      </c>
      <c r="G27" s="67" t="s">
        <v>111</v>
      </c>
      <c r="H27" s="63" t="s">
        <v>112</v>
      </c>
      <c r="I27" s="63" t="s">
        <v>113</v>
      </c>
      <c r="J27" s="63" t="s">
        <v>114</v>
      </c>
      <c r="K27" s="63" t="s">
        <v>115</v>
      </c>
      <c r="L27" s="63" t="s">
        <v>116</v>
      </c>
      <c r="M27" s="63" t="s">
        <v>117</v>
      </c>
      <c r="N27" s="68" t="s">
        <v>118</v>
      </c>
      <c r="O27" s="63" t="s">
        <v>119</v>
      </c>
      <c r="P27" s="68" t="s">
        <v>120</v>
      </c>
      <c r="Q27" s="68" t="s">
        <v>121</v>
      </c>
      <c r="R27" s="63" t="s">
        <v>122</v>
      </c>
      <c r="S27" s="64" t="s">
        <v>123</v>
      </c>
      <c r="T27" s="69" t="s">
        <v>124</v>
      </c>
    </row>
    <row r="28" ht="19.5" customHeight="1">
      <c r="A28" s="70" t="s">
        <v>125</v>
      </c>
      <c r="B28" s="73">
        <f t="shared" ref="B28:C28" si="2">SUM(B29:B37)</f>
        <v>65</v>
      </c>
      <c r="C28" s="74">
        <f t="shared" si="2"/>
        <v>24</v>
      </c>
      <c r="D28" s="76">
        <v>65.0</v>
      </c>
      <c r="E28" s="73">
        <f t="shared" ref="E28:T28" si="3">SUM(E29:E37)</f>
        <v>35</v>
      </c>
      <c r="F28" s="73">
        <f t="shared" si="3"/>
        <v>2</v>
      </c>
      <c r="G28" s="73">
        <f t="shared" si="3"/>
        <v>4</v>
      </c>
      <c r="H28" s="73">
        <f t="shared" si="3"/>
        <v>29</v>
      </c>
      <c r="I28" s="73">
        <f t="shared" si="3"/>
        <v>16</v>
      </c>
      <c r="J28" s="73">
        <f t="shared" si="3"/>
        <v>1</v>
      </c>
      <c r="K28" s="73">
        <f t="shared" si="3"/>
        <v>65</v>
      </c>
      <c r="L28" s="73">
        <f t="shared" si="3"/>
        <v>21</v>
      </c>
      <c r="M28" s="73">
        <f t="shared" si="3"/>
        <v>16</v>
      </c>
      <c r="N28" s="73">
        <f t="shared" si="3"/>
        <v>26.21</v>
      </c>
      <c r="O28" s="73">
        <f t="shared" si="3"/>
        <v>11</v>
      </c>
      <c r="P28" s="73">
        <f t="shared" si="3"/>
        <v>20.88</v>
      </c>
      <c r="Q28" s="73">
        <f t="shared" si="3"/>
        <v>16</v>
      </c>
      <c r="R28" s="73">
        <f t="shared" si="3"/>
        <v>16</v>
      </c>
      <c r="S28" s="74">
        <f t="shared" si="3"/>
        <v>0</v>
      </c>
      <c r="T28" s="87">
        <f t="shared" si="3"/>
        <v>9</v>
      </c>
    </row>
    <row r="29" ht="19.5" customHeight="1">
      <c r="A29" s="88" t="str">
        <f t="shared" ref="A29:A37" si="4">A16</f>
        <v>Área de Quejas sensibles</v>
      </c>
      <c r="B29" s="89">
        <v>6.0</v>
      </c>
      <c r="C29" s="90">
        <v>2.0</v>
      </c>
      <c r="D29" s="24"/>
      <c r="E29" s="88">
        <v>4.0</v>
      </c>
      <c r="F29" s="89">
        <v>0.0</v>
      </c>
      <c r="G29" s="89">
        <v>0.0</v>
      </c>
      <c r="H29" s="89">
        <v>2.0</v>
      </c>
      <c r="I29" s="89">
        <v>2.0</v>
      </c>
      <c r="J29" s="89">
        <v>0.0</v>
      </c>
      <c r="K29" s="89">
        <v>6.0</v>
      </c>
      <c r="L29" s="89">
        <v>2.0</v>
      </c>
      <c r="M29" s="89">
        <v>5.0</v>
      </c>
      <c r="N29" s="88">
        <v>8.52</v>
      </c>
      <c r="O29" s="89">
        <v>0.0</v>
      </c>
      <c r="P29" s="88">
        <v>0.0</v>
      </c>
      <c r="Q29" s="89">
        <v>4.0</v>
      </c>
      <c r="R29" s="89">
        <v>0.0</v>
      </c>
      <c r="S29" s="91">
        <v>0.0</v>
      </c>
      <c r="T29" s="92">
        <v>0.0</v>
      </c>
    </row>
    <row r="30" ht="19.5" customHeight="1">
      <c r="A30" s="88" t="str">
        <f t="shared" si="4"/>
        <v>Área de Asesoría Corporativa</v>
      </c>
      <c r="B30" s="89">
        <v>3.0</v>
      </c>
      <c r="C30" s="90">
        <v>1.0</v>
      </c>
      <c r="D30" s="24"/>
      <c r="E30" s="88">
        <v>1.0</v>
      </c>
      <c r="F30" s="89">
        <v>1.0</v>
      </c>
      <c r="G30" s="89">
        <v>0.0</v>
      </c>
      <c r="H30" s="89">
        <v>1.0</v>
      </c>
      <c r="I30" s="98">
        <v>1.0</v>
      </c>
      <c r="J30" s="89">
        <v>0.0</v>
      </c>
      <c r="K30" s="89">
        <v>3.0</v>
      </c>
      <c r="L30" s="89">
        <v>1.0</v>
      </c>
      <c r="M30" s="89">
        <v>3.0</v>
      </c>
      <c r="N30" s="99">
        <v>4.45</v>
      </c>
      <c r="O30" s="89">
        <v>0.0</v>
      </c>
      <c r="P30" s="99">
        <v>0.0</v>
      </c>
      <c r="Q30" s="89">
        <v>2.0</v>
      </c>
      <c r="R30" s="89">
        <v>0.0</v>
      </c>
      <c r="S30" s="91">
        <v>0.0</v>
      </c>
      <c r="T30" s="92">
        <v>0.0</v>
      </c>
    </row>
    <row r="31" ht="19.5" customHeight="1">
      <c r="A31" s="88" t="str">
        <f t="shared" si="4"/>
        <v>Cuarto de Telecomunicaciones</v>
      </c>
      <c r="B31" s="89">
        <v>4.0</v>
      </c>
      <c r="C31" s="90">
        <v>2.0</v>
      </c>
      <c r="D31" s="24"/>
      <c r="E31" s="88">
        <v>1.0</v>
      </c>
      <c r="F31" s="89">
        <v>1.0</v>
      </c>
      <c r="G31" s="89">
        <v>0.0</v>
      </c>
      <c r="H31" s="89">
        <v>4.0</v>
      </c>
      <c r="I31" s="89">
        <v>0.0</v>
      </c>
      <c r="J31" s="89">
        <v>0.0</v>
      </c>
      <c r="K31" s="89">
        <v>4.0</v>
      </c>
      <c r="L31" s="89">
        <v>2.0</v>
      </c>
      <c r="M31" s="89">
        <v>4.0</v>
      </c>
      <c r="N31" s="89" t="s">
        <v>190</v>
      </c>
      <c r="O31" s="89">
        <v>0.0</v>
      </c>
      <c r="P31" s="88">
        <v>0.0</v>
      </c>
      <c r="Q31" s="89">
        <v>2.0</v>
      </c>
      <c r="R31" s="89">
        <v>0.0</v>
      </c>
      <c r="S31" s="91">
        <v>0.0</v>
      </c>
      <c r="T31" s="92">
        <v>0.0</v>
      </c>
    </row>
    <row r="32" ht="19.5" customHeight="1">
      <c r="A32" s="88" t="str">
        <f t="shared" si="4"/>
        <v>Almacén</v>
      </c>
      <c r="B32" s="89">
        <v>3.0</v>
      </c>
      <c r="C32" s="90">
        <v>2.0</v>
      </c>
      <c r="D32" s="24"/>
      <c r="E32" s="88">
        <v>1.0</v>
      </c>
      <c r="F32" s="89">
        <v>0.0</v>
      </c>
      <c r="G32" s="89">
        <v>0.0</v>
      </c>
      <c r="H32" s="89">
        <v>3.0</v>
      </c>
      <c r="I32" s="89">
        <v>0.0</v>
      </c>
      <c r="J32" s="89">
        <v>0.0</v>
      </c>
      <c r="K32" s="89">
        <v>3.0</v>
      </c>
      <c r="L32" s="89">
        <v>2.0</v>
      </c>
      <c r="M32" s="89">
        <v>1.0</v>
      </c>
      <c r="N32" s="100" t="s">
        <v>191</v>
      </c>
      <c r="O32" s="89">
        <v>0.0</v>
      </c>
      <c r="P32" s="99">
        <v>0.0</v>
      </c>
      <c r="Q32" s="89">
        <v>0.0</v>
      </c>
      <c r="R32" s="89">
        <v>0.0</v>
      </c>
      <c r="S32" s="91">
        <v>0.0</v>
      </c>
      <c r="T32" s="92">
        <v>0.0</v>
      </c>
    </row>
    <row r="33" ht="19.5" customHeight="1">
      <c r="A33" s="88" t="str">
        <f t="shared" si="4"/>
        <v>Cuarto de Monitoreo</v>
      </c>
      <c r="B33" s="89">
        <v>7.0</v>
      </c>
      <c r="C33" s="90">
        <v>5.0</v>
      </c>
      <c r="D33" s="24"/>
      <c r="E33" s="88">
        <v>2.0</v>
      </c>
      <c r="F33" s="89">
        <v>0.0</v>
      </c>
      <c r="G33" s="89">
        <v>0.0</v>
      </c>
      <c r="H33" s="89">
        <v>7.0</v>
      </c>
      <c r="I33" s="89">
        <v>0.0</v>
      </c>
      <c r="J33" s="89">
        <v>0.0</v>
      </c>
      <c r="K33" s="89">
        <v>7.0</v>
      </c>
      <c r="L33" s="89">
        <v>2.0</v>
      </c>
      <c r="M33" s="89">
        <v>2.0</v>
      </c>
      <c r="N33" s="88">
        <v>3.2</v>
      </c>
      <c r="O33" s="89">
        <v>4.0</v>
      </c>
      <c r="P33" s="88">
        <v>7.07</v>
      </c>
      <c r="Q33" s="89">
        <v>0.0</v>
      </c>
      <c r="R33" s="89">
        <v>2.0</v>
      </c>
      <c r="S33" s="91">
        <v>0.0</v>
      </c>
      <c r="T33" s="92">
        <v>3.0</v>
      </c>
    </row>
    <row r="34" ht="19.5" customHeight="1">
      <c r="A34" s="88" t="str">
        <f t="shared" si="4"/>
        <v>Sala de Juntas</v>
      </c>
      <c r="B34" s="89">
        <v>2.0</v>
      </c>
      <c r="C34" s="90">
        <v>2.0</v>
      </c>
      <c r="D34" s="24"/>
      <c r="E34" s="88">
        <v>0.0</v>
      </c>
      <c r="F34" s="89">
        <v>0.0</v>
      </c>
      <c r="G34" s="89">
        <v>0.0</v>
      </c>
      <c r="H34" s="89">
        <v>2.0</v>
      </c>
      <c r="I34" s="89">
        <v>0.0</v>
      </c>
      <c r="J34" s="89">
        <v>0.0</v>
      </c>
      <c r="K34" s="89">
        <v>2.0</v>
      </c>
      <c r="L34" s="89">
        <v>2.0</v>
      </c>
      <c r="M34" s="89">
        <v>0.0</v>
      </c>
      <c r="N34" s="99">
        <v>0.0</v>
      </c>
      <c r="O34" s="89">
        <v>0.0</v>
      </c>
      <c r="P34" s="99">
        <v>0.0</v>
      </c>
      <c r="Q34" s="89">
        <v>0.0</v>
      </c>
      <c r="R34" s="89">
        <v>0.0</v>
      </c>
      <c r="S34" s="91">
        <v>0.0</v>
      </c>
      <c r="T34" s="92">
        <v>0.0</v>
      </c>
    </row>
    <row r="35" ht="19.5" customHeight="1">
      <c r="A35" s="88" t="str">
        <f t="shared" si="4"/>
        <v>Atención al cliente </v>
      </c>
      <c r="B35" s="89">
        <v>32.0</v>
      </c>
      <c r="C35" s="110">
        <v>6.0</v>
      </c>
      <c r="D35" s="24"/>
      <c r="E35" s="99">
        <v>26.0</v>
      </c>
      <c r="F35" s="100">
        <v>0.0</v>
      </c>
      <c r="G35" s="100">
        <v>0.0</v>
      </c>
      <c r="H35" s="100">
        <v>6.0</v>
      </c>
      <c r="I35" s="112">
        <v>13.0</v>
      </c>
      <c r="J35" s="100">
        <v>0.0</v>
      </c>
      <c r="K35" s="100">
        <v>32.0</v>
      </c>
      <c r="L35" s="100">
        <v>6.0</v>
      </c>
      <c r="M35" s="100" t="s">
        <v>194</v>
      </c>
      <c r="N35" s="88">
        <v>9.68</v>
      </c>
      <c r="O35" s="100">
        <v>3.0</v>
      </c>
      <c r="P35" s="88">
        <v>5.68</v>
      </c>
      <c r="Q35" s="100">
        <v>8.0</v>
      </c>
      <c r="R35" s="100">
        <v>8.0</v>
      </c>
      <c r="S35" s="116">
        <v>0.0</v>
      </c>
      <c r="T35" s="117">
        <v>4.0</v>
      </c>
    </row>
    <row r="36" ht="19.5" customHeight="1">
      <c r="A36" s="118" t="str">
        <f t="shared" si="4"/>
        <v>Sala de Recepción</v>
      </c>
      <c r="B36" s="119">
        <v>7.0</v>
      </c>
      <c r="C36" s="121">
        <v>3.0</v>
      </c>
      <c r="D36" s="24"/>
      <c r="E36" s="118">
        <v>0.0</v>
      </c>
      <c r="F36" s="119">
        <v>0.0</v>
      </c>
      <c r="G36" s="119">
        <v>4.0</v>
      </c>
      <c r="H36" s="119">
        <v>3.0</v>
      </c>
      <c r="I36" s="119">
        <v>0.0</v>
      </c>
      <c r="J36" s="119">
        <v>1.0</v>
      </c>
      <c r="K36" s="119">
        <v>7.0</v>
      </c>
      <c r="L36" s="119">
        <v>3.0</v>
      </c>
      <c r="M36" s="119">
        <v>1.0</v>
      </c>
      <c r="N36" s="124">
        <v>0.36</v>
      </c>
      <c r="O36" s="119">
        <v>4.0</v>
      </c>
      <c r="P36" s="124">
        <v>8.13</v>
      </c>
      <c r="Q36" s="119">
        <v>0.0</v>
      </c>
      <c r="R36" s="119">
        <v>6.0</v>
      </c>
      <c r="S36" s="126">
        <v>0.0</v>
      </c>
      <c r="T36" s="92">
        <v>2.0</v>
      </c>
    </row>
    <row r="37" ht="19.5" customHeight="1">
      <c r="A37" s="129" t="str">
        <f t="shared" si="4"/>
        <v>Comedor</v>
      </c>
      <c r="B37" s="92">
        <v>1.0</v>
      </c>
      <c r="C37" s="130">
        <v>1.0</v>
      </c>
      <c r="D37" s="31"/>
      <c r="E37" s="130">
        <v>0.0</v>
      </c>
      <c r="F37" s="117">
        <v>0.0</v>
      </c>
      <c r="G37" s="117">
        <v>0.0</v>
      </c>
      <c r="H37" s="117">
        <v>1.0</v>
      </c>
      <c r="I37" s="117">
        <v>0.0</v>
      </c>
      <c r="J37" s="117">
        <v>0.0</v>
      </c>
      <c r="K37" s="117">
        <v>1.0</v>
      </c>
      <c r="L37" s="117">
        <v>1.0</v>
      </c>
      <c r="M37" s="117">
        <v>0.0</v>
      </c>
      <c r="N37" s="129">
        <v>0.0</v>
      </c>
      <c r="O37" s="117">
        <v>0.0</v>
      </c>
      <c r="P37" s="129">
        <v>0.0</v>
      </c>
      <c r="Q37" s="117">
        <v>0.0</v>
      </c>
      <c r="R37" s="117">
        <v>0.0</v>
      </c>
      <c r="S37" s="117">
        <v>0.0</v>
      </c>
      <c r="T37" s="117">
        <v>0.0</v>
      </c>
    </row>
    <row r="38" ht="22.5" customHeight="1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2"/>
      <c r="L38" s="132"/>
      <c r="M38" s="131"/>
      <c r="N38" s="131"/>
      <c r="O38" s="131"/>
      <c r="P38" s="131"/>
      <c r="Q38" s="131"/>
      <c r="R38" s="131"/>
      <c r="S38" s="131"/>
      <c r="T38" s="132"/>
    </row>
    <row r="39" ht="22.5" customHeight="1">
      <c r="B39" s="131"/>
      <c r="C39" s="131"/>
      <c r="D39" s="131"/>
      <c r="E39" s="131"/>
      <c r="F39" s="131"/>
      <c r="G39" s="131"/>
      <c r="H39" s="131"/>
      <c r="I39" s="131"/>
      <c r="J39" s="131"/>
      <c r="K39" s="132"/>
      <c r="L39" s="132"/>
      <c r="M39" s="131"/>
      <c r="N39" s="131"/>
      <c r="O39" s="131"/>
      <c r="P39" s="131"/>
      <c r="Q39" s="131"/>
      <c r="R39" s="131"/>
      <c r="S39" s="131"/>
      <c r="T39" s="132"/>
    </row>
    <row r="40" ht="22.5" customHeight="1">
      <c r="A40" s="133"/>
      <c r="B40" s="133"/>
      <c r="C40" s="133"/>
      <c r="D40" s="133"/>
      <c r="E40" s="133"/>
      <c r="F40" s="133"/>
      <c r="G40" s="131"/>
      <c r="H40" s="131"/>
      <c r="I40" s="131"/>
      <c r="J40" s="131"/>
      <c r="K40" s="132"/>
      <c r="L40" s="132"/>
      <c r="M40" s="131"/>
      <c r="N40" s="131"/>
      <c r="O40" s="131"/>
      <c r="P40" s="131"/>
      <c r="Q40" s="131"/>
      <c r="R40" s="131"/>
      <c r="S40" s="131"/>
      <c r="T40" s="132"/>
    </row>
    <row r="41" ht="18.0" customHeight="1">
      <c r="A41" s="134" t="s">
        <v>198</v>
      </c>
      <c r="B41" s="134" t="s">
        <v>199</v>
      </c>
      <c r="C41" s="134" t="s">
        <v>200</v>
      </c>
      <c r="D41" s="134" t="s">
        <v>201</v>
      </c>
      <c r="E41" s="134" t="s">
        <v>202</v>
      </c>
      <c r="F41" s="134" t="s">
        <v>203</v>
      </c>
      <c r="G41" s="135" t="s">
        <v>204</v>
      </c>
      <c r="H41" s="135" t="s">
        <v>205</v>
      </c>
      <c r="I41" s="135" t="s">
        <v>206</v>
      </c>
      <c r="J41" s="135" t="s">
        <v>207</v>
      </c>
      <c r="K41" s="132"/>
      <c r="L41" s="132"/>
      <c r="M41" s="131"/>
      <c r="N41" s="131"/>
      <c r="O41" s="131"/>
      <c r="P41" s="131"/>
      <c r="Q41" s="131"/>
      <c r="R41" s="131"/>
      <c r="S41" s="131"/>
      <c r="T41" s="132"/>
    </row>
    <row r="42" ht="18.0" customHeight="1">
      <c r="A42" s="136" t="s">
        <v>208</v>
      </c>
      <c r="B42" s="136" t="s">
        <v>210</v>
      </c>
      <c r="C42" s="136" t="s">
        <v>212</v>
      </c>
      <c r="D42" s="136" t="s">
        <v>213</v>
      </c>
      <c r="E42" s="136" t="s">
        <v>214</v>
      </c>
      <c r="F42" s="136" t="s">
        <v>215</v>
      </c>
      <c r="G42" s="137" t="s">
        <v>216</v>
      </c>
      <c r="H42" s="137" t="s">
        <v>217</v>
      </c>
      <c r="I42" s="137" t="s">
        <v>218</v>
      </c>
      <c r="J42" s="137" t="s">
        <v>219</v>
      </c>
      <c r="K42" s="132"/>
      <c r="L42" s="132"/>
      <c r="M42" s="131"/>
      <c r="N42" s="131"/>
      <c r="O42" s="131"/>
      <c r="P42" s="131"/>
      <c r="Q42" s="131"/>
      <c r="R42" s="131"/>
      <c r="S42" s="131"/>
      <c r="T42" s="132"/>
    </row>
    <row r="43" ht="18.0" customHeight="1">
      <c r="A43" s="138" t="s">
        <v>220</v>
      </c>
      <c r="B43" s="138">
        <v>3.0</v>
      </c>
      <c r="C43" s="138" t="s">
        <v>221</v>
      </c>
      <c r="D43" s="138" t="s">
        <v>222</v>
      </c>
      <c r="E43" s="138" t="s">
        <v>223</v>
      </c>
      <c r="F43" s="140" t="s">
        <v>225</v>
      </c>
      <c r="G43" s="148" t="s">
        <v>226</v>
      </c>
      <c r="H43" s="148" t="s">
        <v>230</v>
      </c>
      <c r="I43" s="152">
        <v>1000.0</v>
      </c>
      <c r="J43" s="154">
        <f>I43*B43</f>
        <v>3000</v>
      </c>
      <c r="K43" s="132"/>
      <c r="L43" s="132"/>
      <c r="M43" s="131"/>
      <c r="N43" s="131"/>
      <c r="O43" s="131"/>
      <c r="P43" s="131"/>
      <c r="Q43" s="131"/>
      <c r="R43" s="131"/>
      <c r="S43" s="131"/>
      <c r="T43" s="132"/>
    </row>
    <row r="44" ht="18.0" customHeight="1">
      <c r="A44" s="157" t="s">
        <v>231</v>
      </c>
      <c r="B44" s="160"/>
      <c r="C44" s="160"/>
      <c r="D44" s="160"/>
      <c r="E44" s="161"/>
      <c r="F44" s="161"/>
      <c r="G44" s="161"/>
      <c r="H44" s="161"/>
      <c r="I44" s="163"/>
      <c r="J44" s="161"/>
      <c r="K44" s="132"/>
      <c r="L44" s="132"/>
      <c r="M44" s="131"/>
      <c r="N44" s="131"/>
      <c r="O44" s="131"/>
      <c r="P44" s="131"/>
      <c r="Q44" s="131"/>
      <c r="R44" s="131"/>
      <c r="S44" s="131"/>
      <c r="T44" s="132"/>
    </row>
    <row r="45" ht="18.0" customHeight="1">
      <c r="A45" s="166" t="s">
        <v>208</v>
      </c>
      <c r="B45" s="166" t="s">
        <v>210</v>
      </c>
      <c r="C45" s="166" t="s">
        <v>212</v>
      </c>
      <c r="D45" s="166" t="s">
        <v>248</v>
      </c>
      <c r="E45" s="166" t="s">
        <v>249</v>
      </c>
      <c r="F45" s="167"/>
      <c r="G45" s="169" t="s">
        <v>216</v>
      </c>
      <c r="H45" s="169" t="s">
        <v>217</v>
      </c>
      <c r="I45" s="169" t="s">
        <v>218</v>
      </c>
      <c r="J45" s="169" t="s">
        <v>219</v>
      </c>
      <c r="K45" s="132"/>
      <c r="L45" s="132"/>
      <c r="M45" s="131"/>
      <c r="N45" s="131"/>
      <c r="O45" s="131"/>
      <c r="P45" s="131"/>
      <c r="Q45" s="131"/>
      <c r="R45" s="131"/>
      <c r="S45" s="131"/>
      <c r="T45" s="132"/>
    </row>
    <row r="46" ht="18.0" customHeight="1">
      <c r="A46" s="138" t="s">
        <v>258</v>
      </c>
      <c r="B46" s="138">
        <v>1.0</v>
      </c>
      <c r="C46" s="138" t="s">
        <v>259</v>
      </c>
      <c r="D46" s="138" t="s">
        <v>260</v>
      </c>
      <c r="E46" s="138" t="s">
        <v>261</v>
      </c>
      <c r="F46" s="172"/>
      <c r="G46" s="173" t="s">
        <v>216</v>
      </c>
      <c r="H46" s="148" t="s">
        <v>216</v>
      </c>
      <c r="I46" s="175">
        <v>220.0</v>
      </c>
      <c r="J46" s="154">
        <f t="shared" ref="J46:J50" si="5">I46*B46</f>
        <v>220</v>
      </c>
      <c r="K46" s="132"/>
      <c r="L46" s="132"/>
      <c r="M46" s="131"/>
      <c r="N46" s="131"/>
      <c r="O46" s="131"/>
      <c r="P46" s="131"/>
      <c r="Q46" s="131"/>
      <c r="R46" s="131"/>
      <c r="S46" s="131"/>
      <c r="T46" s="132"/>
    </row>
    <row r="47" ht="18.0" customHeight="1">
      <c r="A47" s="138" t="s">
        <v>292</v>
      </c>
      <c r="B47" s="138">
        <v>3.0</v>
      </c>
      <c r="C47" s="138" t="s">
        <v>221</v>
      </c>
      <c r="D47" s="138" t="s">
        <v>293</v>
      </c>
      <c r="E47" s="138" t="s">
        <v>295</v>
      </c>
      <c r="F47" s="172"/>
      <c r="G47" s="148" t="s">
        <v>216</v>
      </c>
      <c r="H47" s="148" t="s">
        <v>216</v>
      </c>
      <c r="I47" s="175">
        <v>80.0</v>
      </c>
      <c r="J47" s="154">
        <f t="shared" si="5"/>
        <v>240</v>
      </c>
      <c r="K47" s="132"/>
      <c r="L47" s="132"/>
      <c r="M47" s="131"/>
      <c r="N47" s="131"/>
      <c r="O47" s="131"/>
      <c r="P47" s="131"/>
      <c r="Q47" s="131"/>
      <c r="R47" s="131"/>
      <c r="S47" s="131"/>
      <c r="T47" s="132"/>
    </row>
    <row r="48" ht="18.0" customHeight="1">
      <c r="A48" s="138" t="s">
        <v>308</v>
      </c>
      <c r="B48" s="138">
        <v>3.0</v>
      </c>
      <c r="C48" s="138" t="s">
        <v>221</v>
      </c>
      <c r="D48" s="138" t="s">
        <v>311</v>
      </c>
      <c r="E48" s="138" t="s">
        <v>313</v>
      </c>
      <c r="F48" s="172"/>
      <c r="G48" s="148" t="s">
        <v>216</v>
      </c>
      <c r="H48" s="148" t="s">
        <v>216</v>
      </c>
      <c r="I48" s="175">
        <v>40.0</v>
      </c>
      <c r="J48" s="154">
        <f t="shared" si="5"/>
        <v>120</v>
      </c>
      <c r="K48" s="132"/>
      <c r="L48" s="132"/>
      <c r="M48" s="131"/>
      <c r="N48" s="131"/>
      <c r="O48" s="131"/>
      <c r="P48" s="131"/>
      <c r="Q48" s="131"/>
      <c r="R48" s="131"/>
      <c r="S48" s="131"/>
      <c r="T48" s="132"/>
    </row>
    <row r="49" ht="18.0" customHeight="1">
      <c r="A49" s="138" t="s">
        <v>332</v>
      </c>
      <c r="B49" s="138">
        <v>2.0</v>
      </c>
      <c r="C49" s="138" t="s">
        <v>259</v>
      </c>
      <c r="D49" s="138" t="s">
        <v>333</v>
      </c>
      <c r="E49" s="138" t="s">
        <v>334</v>
      </c>
      <c r="F49" s="172"/>
      <c r="G49" s="148" t="s">
        <v>216</v>
      </c>
      <c r="H49" s="172"/>
      <c r="I49" s="175">
        <v>120.0</v>
      </c>
      <c r="J49" s="154">
        <f t="shared" si="5"/>
        <v>240</v>
      </c>
      <c r="K49" s="132"/>
      <c r="L49" s="132"/>
      <c r="M49" s="131"/>
      <c r="N49" s="131"/>
      <c r="O49" s="131"/>
      <c r="P49" s="131"/>
      <c r="Q49" s="131"/>
      <c r="R49" s="131"/>
      <c r="S49" s="131"/>
      <c r="T49" s="132"/>
    </row>
    <row r="50" ht="18.0" customHeight="1">
      <c r="A50" s="138" t="s">
        <v>344</v>
      </c>
      <c r="B50" s="138">
        <v>1.0</v>
      </c>
      <c r="C50" s="138" t="s">
        <v>259</v>
      </c>
      <c r="D50" s="138" t="s">
        <v>346</v>
      </c>
      <c r="E50" s="138" t="s">
        <v>349</v>
      </c>
      <c r="F50" s="172"/>
      <c r="G50" s="148" t="s">
        <v>216</v>
      </c>
      <c r="H50" s="148" t="s">
        <v>216</v>
      </c>
      <c r="I50" s="175">
        <v>5000.0</v>
      </c>
      <c r="J50" s="154">
        <f t="shared" si="5"/>
        <v>5000</v>
      </c>
      <c r="K50" s="132"/>
      <c r="L50" s="132"/>
      <c r="M50" s="131"/>
      <c r="N50" s="131"/>
      <c r="O50" s="131"/>
      <c r="P50" s="131"/>
      <c r="Q50" s="131"/>
      <c r="R50" s="131"/>
      <c r="S50" s="131"/>
      <c r="T50" s="132"/>
    </row>
    <row r="51" ht="18.0" customHeight="1">
      <c r="A51" s="192" t="s">
        <v>361</v>
      </c>
      <c r="B51" s="194"/>
      <c r="C51" s="194"/>
      <c r="D51" s="194"/>
      <c r="E51" s="194"/>
      <c r="F51" s="194"/>
      <c r="G51" s="194"/>
      <c r="H51" s="194"/>
      <c r="I51" s="196"/>
      <c r="J51" s="194"/>
      <c r="K51" s="132"/>
      <c r="L51" s="132"/>
      <c r="M51" s="131"/>
      <c r="N51" s="131"/>
      <c r="O51" s="131"/>
      <c r="P51" s="131"/>
      <c r="Q51" s="131"/>
      <c r="R51" s="131"/>
      <c r="S51" s="131"/>
      <c r="T51" s="132"/>
    </row>
    <row r="52" ht="18.0" customHeight="1">
      <c r="A52" s="197" t="s">
        <v>208</v>
      </c>
      <c r="B52" s="197" t="s">
        <v>210</v>
      </c>
      <c r="C52" s="197" t="s">
        <v>212</v>
      </c>
      <c r="D52" s="197" t="s">
        <v>248</v>
      </c>
      <c r="E52" s="197" t="s">
        <v>249</v>
      </c>
      <c r="F52" s="198"/>
      <c r="G52" s="199" t="s">
        <v>216</v>
      </c>
      <c r="H52" s="199" t="s">
        <v>217</v>
      </c>
      <c r="I52" s="199" t="s">
        <v>218</v>
      </c>
      <c r="J52" s="199" t="s">
        <v>219</v>
      </c>
      <c r="K52" s="132"/>
      <c r="L52" s="132"/>
      <c r="M52" s="131"/>
      <c r="N52" s="131"/>
      <c r="O52" s="131"/>
      <c r="P52" s="131"/>
      <c r="Q52" s="131"/>
      <c r="R52" s="131"/>
      <c r="S52" s="131"/>
      <c r="T52" s="132"/>
    </row>
    <row r="53" ht="18.0" customHeight="1">
      <c r="A53" s="202" t="s">
        <v>378</v>
      </c>
      <c r="B53" s="138">
        <v>65.0</v>
      </c>
      <c r="C53" s="138" t="s">
        <v>221</v>
      </c>
      <c r="D53" s="138" t="s">
        <v>379</v>
      </c>
      <c r="E53" s="202" t="s">
        <v>380</v>
      </c>
      <c r="F53" s="172"/>
      <c r="G53" s="148" t="s">
        <v>216</v>
      </c>
      <c r="H53" s="148" t="s">
        <v>216</v>
      </c>
      <c r="I53" s="152">
        <v>1.95</v>
      </c>
      <c r="J53" s="154">
        <f t="shared" ref="J53:J54" si="6">I53*B53</f>
        <v>126.75</v>
      </c>
      <c r="K53" s="132"/>
      <c r="L53" s="132"/>
      <c r="M53" s="131"/>
      <c r="N53" s="131"/>
      <c r="O53" s="131"/>
      <c r="P53" s="131"/>
      <c r="Q53" s="131"/>
      <c r="R53" s="131"/>
      <c r="S53" s="131"/>
      <c r="T53" s="132"/>
    </row>
    <row r="54" ht="18.0" customHeight="1">
      <c r="A54" s="202" t="s">
        <v>381</v>
      </c>
      <c r="B54" s="138">
        <v>3.0</v>
      </c>
      <c r="C54" s="138" t="s">
        <v>221</v>
      </c>
      <c r="D54" s="138" t="s">
        <v>383</v>
      </c>
      <c r="E54" s="202" t="s">
        <v>385</v>
      </c>
      <c r="F54" s="210" t="s">
        <v>386</v>
      </c>
      <c r="G54" s="148" t="s">
        <v>216</v>
      </c>
      <c r="H54" s="148" t="s">
        <v>216</v>
      </c>
      <c r="I54" s="152">
        <v>7.49</v>
      </c>
      <c r="J54" s="154">
        <f t="shared" si="6"/>
        <v>22.47</v>
      </c>
      <c r="K54" s="132"/>
      <c r="L54" s="132"/>
      <c r="M54" s="131"/>
      <c r="N54" s="131"/>
      <c r="O54" s="131"/>
      <c r="P54" s="131"/>
      <c r="Q54" s="131"/>
      <c r="R54" s="131"/>
      <c r="S54" s="131"/>
      <c r="T54" s="132"/>
    </row>
    <row r="55" ht="18.0" customHeight="1">
      <c r="A55" s="225"/>
      <c r="B55" s="225"/>
      <c r="C55" s="225"/>
      <c r="D55" s="225"/>
      <c r="E55" s="225"/>
      <c r="F55" s="227"/>
      <c r="G55" s="229"/>
      <c r="H55" s="229"/>
      <c r="I55" s="230" t="s">
        <v>411</v>
      </c>
      <c r="J55" s="232">
        <f>SUM(J43,J46:J50,J53:J54)</f>
        <v>8969.22</v>
      </c>
      <c r="K55" s="132"/>
      <c r="L55" s="132"/>
      <c r="M55" s="131"/>
      <c r="N55" s="131"/>
      <c r="O55" s="131"/>
      <c r="P55" s="131"/>
      <c r="Q55" s="131"/>
      <c r="R55" s="131"/>
      <c r="S55" s="131"/>
      <c r="T55" s="132"/>
    </row>
    <row r="56" ht="18.0" customHeight="1">
      <c r="A56" s="131"/>
      <c r="B56" s="131"/>
      <c r="C56" s="131"/>
      <c r="D56" s="131"/>
      <c r="E56" s="131"/>
      <c r="F56" s="131"/>
      <c r="G56" s="131"/>
      <c r="H56" s="131"/>
      <c r="I56" s="131"/>
      <c r="J56" s="131"/>
      <c r="K56" s="132"/>
      <c r="L56" s="132"/>
      <c r="M56" s="131"/>
      <c r="N56" s="131"/>
      <c r="O56" s="131"/>
      <c r="P56" s="131"/>
      <c r="Q56" s="131"/>
      <c r="R56" s="131"/>
      <c r="S56" s="131"/>
      <c r="T56" s="132"/>
    </row>
    <row r="57" ht="18.0" customHeight="1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2"/>
      <c r="L57" s="132"/>
      <c r="M57" s="131"/>
      <c r="N57" s="131"/>
      <c r="O57" s="131"/>
      <c r="P57" s="131"/>
      <c r="Q57" s="131"/>
      <c r="R57" s="131"/>
      <c r="S57" s="131"/>
      <c r="T57" s="132"/>
    </row>
    <row r="58" ht="18.0" customHeight="1">
      <c r="A58" s="238" t="s">
        <v>417</v>
      </c>
      <c r="B58" s="239"/>
      <c r="C58" s="239"/>
      <c r="D58" s="240"/>
      <c r="E58" s="241"/>
      <c r="F58" s="242" t="s">
        <v>422</v>
      </c>
      <c r="G58" s="13"/>
      <c r="H58" s="244"/>
      <c r="I58" s="131"/>
      <c r="K58" s="132"/>
      <c r="L58" s="132"/>
      <c r="M58" s="131"/>
      <c r="N58" s="131"/>
      <c r="O58" s="131"/>
      <c r="P58" s="131"/>
      <c r="Q58" s="131"/>
      <c r="R58" s="131"/>
      <c r="S58" s="131"/>
      <c r="T58" s="132"/>
    </row>
    <row r="59" ht="18.0" customHeight="1">
      <c r="A59" s="247" t="s">
        <v>425</v>
      </c>
      <c r="B59" s="250" t="s">
        <v>427</v>
      </c>
      <c r="C59" s="252" t="s">
        <v>428</v>
      </c>
      <c r="D59" s="250" t="s">
        <v>430</v>
      </c>
      <c r="E59" s="253"/>
      <c r="F59" s="254" t="s">
        <v>433</v>
      </c>
      <c r="G59" s="256">
        <f>SUM(I61:I83)</f>
        <v>271.47</v>
      </c>
      <c r="H59" s="257"/>
      <c r="I59" s="258"/>
      <c r="M59" s="259"/>
      <c r="N59" s="260"/>
      <c r="O59" s="260"/>
      <c r="P59" s="258"/>
      <c r="Q59" s="258"/>
      <c r="R59" s="258"/>
      <c r="S59" s="241"/>
      <c r="T59" s="241"/>
    </row>
    <row r="60" ht="18.0" customHeight="1">
      <c r="A60" s="263" t="s">
        <v>433</v>
      </c>
      <c r="B60" s="263">
        <f>SUM(B61:B83)</f>
        <v>92</v>
      </c>
      <c r="C60" s="263">
        <f>SUM(C61:C83)+47.09</f>
        <v>318.56</v>
      </c>
      <c r="D60" s="265"/>
      <c r="E60" s="5"/>
      <c r="F60" s="265"/>
      <c r="G60" s="266" t="s">
        <v>442</v>
      </c>
      <c r="H60" s="268" t="s">
        <v>443</v>
      </c>
      <c r="I60" s="268" t="s">
        <v>444</v>
      </c>
      <c r="K60" s="269" t="s">
        <v>445</v>
      </c>
      <c r="L60" s="13"/>
      <c r="M60" s="271"/>
      <c r="N60" s="260"/>
      <c r="O60" s="260"/>
      <c r="P60" s="272"/>
      <c r="Q60" s="272"/>
      <c r="R60" s="273"/>
      <c r="S60" s="272"/>
      <c r="T60" s="272"/>
    </row>
    <row r="61" ht="18.0" customHeight="1">
      <c r="A61" s="275" t="s">
        <v>449</v>
      </c>
      <c r="B61" s="275">
        <v>2.0</v>
      </c>
      <c r="C61" s="275">
        <f t="shared" ref="C61:C83" si="7">I61</f>
        <v>26.1</v>
      </c>
      <c r="D61" s="276" t="s">
        <v>452</v>
      </c>
      <c r="E61" s="5"/>
      <c r="F61" s="277" t="s">
        <v>449</v>
      </c>
      <c r="G61" s="278">
        <v>8.1</v>
      </c>
      <c r="H61" s="279">
        <v>18.0</v>
      </c>
      <c r="I61" s="278">
        <f t="shared" ref="I61:I83" si="8">SUM(G61,H61)</f>
        <v>26.1</v>
      </c>
      <c r="K61" s="280">
        <f>SUM(G59+N28+P28)</f>
        <v>318.56</v>
      </c>
      <c r="L61" s="13"/>
      <c r="M61" s="259"/>
      <c r="N61" s="260"/>
      <c r="O61" s="260"/>
      <c r="P61" s="281"/>
      <c r="Q61" s="281"/>
      <c r="R61" s="281"/>
      <c r="S61" s="281"/>
      <c r="T61" s="281"/>
    </row>
    <row r="62" ht="18.0" customHeight="1">
      <c r="A62" s="282" t="s">
        <v>462</v>
      </c>
      <c r="B62" s="282">
        <v>1.0</v>
      </c>
      <c r="C62" s="275">
        <f t="shared" si="7"/>
        <v>18.9</v>
      </c>
      <c r="D62" s="276" t="s">
        <v>452</v>
      </c>
      <c r="E62" s="5"/>
      <c r="F62" s="265" t="s">
        <v>462</v>
      </c>
      <c r="G62" s="283">
        <v>0.9</v>
      </c>
      <c r="H62" s="284">
        <v>18.0</v>
      </c>
      <c r="I62" s="278">
        <f t="shared" si="8"/>
        <v>18.9</v>
      </c>
      <c r="K62" s="285"/>
      <c r="L62" s="285"/>
      <c r="M62" s="271"/>
      <c r="N62" s="260"/>
      <c r="O62" s="260"/>
      <c r="P62" s="272"/>
      <c r="Q62" s="272"/>
      <c r="R62" s="272"/>
      <c r="S62" s="272"/>
      <c r="T62" s="272"/>
    </row>
    <row r="63" ht="18.0" customHeight="1">
      <c r="A63" s="275" t="s">
        <v>468</v>
      </c>
      <c r="B63" s="275">
        <v>2.0</v>
      </c>
      <c r="C63" s="275">
        <f t="shared" si="7"/>
        <v>20.75</v>
      </c>
      <c r="D63" s="276" t="s">
        <v>452</v>
      </c>
      <c r="E63" s="5"/>
      <c r="F63" s="277" t="s">
        <v>468</v>
      </c>
      <c r="G63" s="278">
        <v>6.55</v>
      </c>
      <c r="H63" s="279">
        <v>14.2</v>
      </c>
      <c r="I63" s="278">
        <f t="shared" si="8"/>
        <v>20.75</v>
      </c>
      <c r="M63" s="259"/>
      <c r="N63" s="286"/>
      <c r="O63" s="286"/>
      <c r="P63" s="281"/>
      <c r="Q63" s="281"/>
      <c r="R63" s="281"/>
      <c r="S63" s="281"/>
      <c r="T63" s="281"/>
    </row>
    <row r="64" ht="18.0" customHeight="1">
      <c r="A64" s="282" t="s">
        <v>476</v>
      </c>
      <c r="B64" s="282">
        <v>4.0</v>
      </c>
      <c r="C64" s="275">
        <f t="shared" si="7"/>
        <v>21.83</v>
      </c>
      <c r="D64" s="284">
        <v>1.0</v>
      </c>
      <c r="E64" s="5"/>
      <c r="F64" s="265" t="s">
        <v>476</v>
      </c>
      <c r="G64" s="283">
        <v>5.34</v>
      </c>
      <c r="H64" s="284">
        <v>16.49</v>
      </c>
      <c r="I64" s="278">
        <f t="shared" si="8"/>
        <v>21.83</v>
      </c>
      <c r="M64" s="271"/>
      <c r="N64" s="286"/>
      <c r="O64" s="286"/>
      <c r="P64" s="272"/>
      <c r="Q64" s="272"/>
      <c r="R64" s="272"/>
      <c r="S64" s="272"/>
      <c r="T64" s="272"/>
    </row>
    <row r="65" ht="18.0" customHeight="1">
      <c r="A65" s="275" t="s">
        <v>477</v>
      </c>
      <c r="B65" s="275">
        <v>5.0</v>
      </c>
      <c r="C65" s="275">
        <f t="shared" si="7"/>
        <v>16.53</v>
      </c>
      <c r="D65" s="287">
        <v>1.25</v>
      </c>
      <c r="E65" s="5"/>
      <c r="F65" s="277" t="s">
        <v>477</v>
      </c>
      <c r="G65" s="278">
        <v>0.3</v>
      </c>
      <c r="H65" s="279">
        <v>16.23</v>
      </c>
      <c r="I65" s="278">
        <f t="shared" si="8"/>
        <v>16.53</v>
      </c>
      <c r="K65" s="291" t="s">
        <v>488</v>
      </c>
      <c r="L65" s="13"/>
      <c r="M65" s="259"/>
      <c r="N65" s="259"/>
      <c r="O65" s="259"/>
      <c r="P65" s="281"/>
      <c r="Q65" s="281"/>
      <c r="R65" s="281"/>
      <c r="S65" s="281"/>
      <c r="T65" s="281"/>
    </row>
    <row r="66" ht="18.0" customHeight="1">
      <c r="A66" s="282" t="s">
        <v>491</v>
      </c>
      <c r="B66" s="282">
        <v>8.0</v>
      </c>
      <c r="C66" s="275">
        <f t="shared" si="7"/>
        <v>16.55</v>
      </c>
      <c r="D66" s="287">
        <v>1.5</v>
      </c>
      <c r="E66" s="5"/>
      <c r="F66" s="265" t="s">
        <v>491</v>
      </c>
      <c r="G66" s="283">
        <v>4.33</v>
      </c>
      <c r="H66" s="284">
        <v>12.22</v>
      </c>
      <c r="I66" s="278">
        <f t="shared" si="8"/>
        <v>16.55</v>
      </c>
      <c r="K66" s="292" t="s">
        <v>39</v>
      </c>
      <c r="L66" s="292">
        <v>18.1</v>
      </c>
      <c r="M66" s="271"/>
      <c r="N66" s="271"/>
      <c r="O66" s="271"/>
      <c r="P66" s="272"/>
      <c r="Q66" s="272"/>
      <c r="R66" s="272"/>
      <c r="S66" s="272"/>
      <c r="T66" s="272"/>
    </row>
    <row r="67" ht="18.0" customHeight="1">
      <c r="A67" s="275" t="s">
        <v>501</v>
      </c>
      <c r="B67" s="275">
        <v>12.0</v>
      </c>
      <c r="C67" s="275">
        <f t="shared" si="7"/>
        <v>14.43</v>
      </c>
      <c r="D67" s="279">
        <v>2.0</v>
      </c>
      <c r="E67" s="5"/>
      <c r="F67" s="277" t="s">
        <v>501</v>
      </c>
      <c r="G67" s="278">
        <v>0.93</v>
      </c>
      <c r="H67" s="279">
        <v>13.5</v>
      </c>
      <c r="I67" s="278">
        <f t="shared" si="8"/>
        <v>14.43</v>
      </c>
      <c r="K67" s="293" t="s">
        <v>502</v>
      </c>
      <c r="L67" s="293">
        <v>0.01</v>
      </c>
      <c r="M67" s="259"/>
      <c r="N67" s="259"/>
      <c r="O67" s="259"/>
      <c r="P67" s="281"/>
      <c r="Q67" s="281"/>
      <c r="R67" s="281"/>
      <c r="S67" s="281"/>
      <c r="T67" s="281"/>
    </row>
    <row r="68" ht="18.0" customHeight="1">
      <c r="A68" s="282" t="s">
        <v>503</v>
      </c>
      <c r="B68" s="282">
        <v>1.0</v>
      </c>
      <c r="C68" s="275">
        <f t="shared" si="7"/>
        <v>13.56</v>
      </c>
      <c r="D68" s="276" t="s">
        <v>452</v>
      </c>
      <c r="E68" s="5"/>
      <c r="F68" s="265" t="s">
        <v>503</v>
      </c>
      <c r="G68" s="283">
        <v>2.86</v>
      </c>
      <c r="H68" s="284">
        <v>10.7</v>
      </c>
      <c r="I68" s="278">
        <f t="shared" si="8"/>
        <v>13.56</v>
      </c>
      <c r="K68" s="292" t="s">
        <v>504</v>
      </c>
      <c r="L68" s="292">
        <v>0.06</v>
      </c>
      <c r="M68" s="271"/>
      <c r="N68" s="271"/>
      <c r="O68" s="271"/>
      <c r="P68" s="272"/>
      <c r="Q68" s="272"/>
      <c r="R68" s="272"/>
      <c r="S68" s="272"/>
      <c r="T68" s="272"/>
    </row>
    <row r="69" ht="18.0" customHeight="1">
      <c r="A69" s="275" t="s">
        <v>507</v>
      </c>
      <c r="B69" s="275">
        <v>2.0</v>
      </c>
      <c r="C69" s="275">
        <f t="shared" si="7"/>
        <v>18.22</v>
      </c>
      <c r="D69" s="276" t="s">
        <v>452</v>
      </c>
      <c r="E69" s="5"/>
      <c r="F69" s="277" t="s">
        <v>507</v>
      </c>
      <c r="G69" s="278">
        <v>7.72</v>
      </c>
      <c r="H69" s="279">
        <v>10.5</v>
      </c>
      <c r="I69" s="278">
        <f t="shared" si="8"/>
        <v>18.22</v>
      </c>
      <c r="M69" s="259"/>
      <c r="N69" s="259"/>
      <c r="O69" s="259"/>
      <c r="P69" s="281"/>
      <c r="Q69" s="281"/>
      <c r="R69" s="281"/>
      <c r="S69" s="281"/>
      <c r="T69" s="281"/>
    </row>
    <row r="70" ht="18.0" customHeight="1">
      <c r="A70" s="282" t="s">
        <v>510</v>
      </c>
      <c r="B70" s="282">
        <v>1.0</v>
      </c>
      <c r="C70" s="275">
        <f t="shared" si="7"/>
        <v>10.18</v>
      </c>
      <c r="D70" s="276" t="s">
        <v>452</v>
      </c>
      <c r="E70" s="5"/>
      <c r="F70" s="265" t="s">
        <v>510</v>
      </c>
      <c r="G70" s="283">
        <v>1.21</v>
      </c>
      <c r="H70" s="284">
        <v>8.97</v>
      </c>
      <c r="I70" s="278">
        <f t="shared" si="8"/>
        <v>10.18</v>
      </c>
      <c r="K70" s="291" t="s">
        <v>511</v>
      </c>
      <c r="L70" s="12"/>
      <c r="M70" s="12"/>
      <c r="N70" s="13"/>
      <c r="O70" s="271"/>
      <c r="P70" s="272"/>
      <c r="Q70" s="272"/>
      <c r="R70" s="272"/>
      <c r="S70" s="272"/>
      <c r="T70" s="272"/>
    </row>
    <row r="71" ht="18.0" customHeight="1">
      <c r="A71" s="275" t="s">
        <v>512</v>
      </c>
      <c r="B71" s="275">
        <v>12.0</v>
      </c>
      <c r="C71" s="275">
        <f t="shared" si="7"/>
        <v>8.7</v>
      </c>
      <c r="D71" s="279">
        <v>2.0</v>
      </c>
      <c r="E71" s="5"/>
      <c r="F71" s="277" t="s">
        <v>512</v>
      </c>
      <c r="G71" s="278">
        <v>0.9</v>
      </c>
      <c r="H71" s="279">
        <v>7.8</v>
      </c>
      <c r="I71" s="278">
        <f t="shared" si="8"/>
        <v>8.7</v>
      </c>
      <c r="K71" s="291" t="s">
        <v>514</v>
      </c>
      <c r="L71" s="13"/>
      <c r="M71" s="298" t="s">
        <v>515</v>
      </c>
      <c r="N71" s="13"/>
      <c r="O71" s="259"/>
      <c r="P71" s="281"/>
      <c r="Q71" s="281"/>
      <c r="R71" s="281"/>
      <c r="S71" s="281"/>
      <c r="T71" s="281"/>
    </row>
    <row r="72" ht="18.0" customHeight="1">
      <c r="A72" s="282" t="s">
        <v>516</v>
      </c>
      <c r="B72" s="282">
        <v>2.0</v>
      </c>
      <c r="C72" s="275">
        <f t="shared" si="7"/>
        <v>14.13</v>
      </c>
      <c r="D72" s="276" t="s">
        <v>452</v>
      </c>
      <c r="E72" s="5"/>
      <c r="F72" s="265" t="s">
        <v>516</v>
      </c>
      <c r="G72" s="283">
        <v>7.57</v>
      </c>
      <c r="H72" s="284">
        <v>6.56</v>
      </c>
      <c r="I72" s="278">
        <f t="shared" si="8"/>
        <v>14.13</v>
      </c>
      <c r="K72" s="292" t="s">
        <v>39</v>
      </c>
      <c r="L72" s="292">
        <v>6.86</v>
      </c>
      <c r="M72" s="292" t="s">
        <v>39</v>
      </c>
      <c r="N72" s="299">
        <v>18.1</v>
      </c>
      <c r="O72" s="271"/>
      <c r="P72" s="272"/>
      <c r="Q72" s="272"/>
      <c r="R72" s="272"/>
      <c r="S72" s="272"/>
      <c r="T72" s="272"/>
    </row>
    <row r="73" ht="18.0" customHeight="1">
      <c r="A73" s="275" t="s">
        <v>517</v>
      </c>
      <c r="B73" s="275">
        <v>7.0</v>
      </c>
      <c r="C73" s="275">
        <f t="shared" si="7"/>
        <v>7.99</v>
      </c>
      <c r="D73" s="287">
        <v>1.25</v>
      </c>
      <c r="E73" s="5"/>
      <c r="F73" s="277" t="s">
        <v>517</v>
      </c>
      <c r="G73" s="278">
        <v>1.45</v>
      </c>
      <c r="H73" s="279">
        <v>6.54</v>
      </c>
      <c r="I73" s="278">
        <f t="shared" si="8"/>
        <v>7.99</v>
      </c>
      <c r="K73" s="293" t="s">
        <v>502</v>
      </c>
      <c r="L73" s="293">
        <v>0.01</v>
      </c>
      <c r="M73" s="293" t="s">
        <v>502</v>
      </c>
      <c r="N73" s="300">
        <v>0.01</v>
      </c>
      <c r="O73" s="259"/>
      <c r="P73" s="281"/>
      <c r="Q73" s="281"/>
      <c r="R73" s="281"/>
      <c r="S73" s="281"/>
      <c r="T73" s="281"/>
    </row>
    <row r="74" ht="18.0" customHeight="1">
      <c r="A74" s="282" t="s">
        <v>518</v>
      </c>
      <c r="B74" s="282">
        <v>1.0</v>
      </c>
      <c r="C74" s="275">
        <f t="shared" si="7"/>
        <v>13.18</v>
      </c>
      <c r="D74" s="276" t="s">
        <v>452</v>
      </c>
      <c r="E74" s="5"/>
      <c r="F74" s="265" t="s">
        <v>518</v>
      </c>
      <c r="G74" s="283">
        <v>7.04</v>
      </c>
      <c r="H74" s="284">
        <v>6.14</v>
      </c>
      <c r="I74" s="278">
        <f t="shared" si="8"/>
        <v>13.18</v>
      </c>
      <c r="K74" s="292" t="s">
        <v>504</v>
      </c>
      <c r="L74" s="292">
        <v>0.06</v>
      </c>
      <c r="M74" s="292" t="s">
        <v>504</v>
      </c>
      <c r="N74" s="299">
        <v>0.06</v>
      </c>
      <c r="O74" s="271"/>
      <c r="P74" s="272"/>
      <c r="Q74" s="272"/>
      <c r="R74" s="272"/>
      <c r="S74" s="272"/>
      <c r="T74" s="272"/>
    </row>
    <row r="75" ht="18.0" customHeight="1">
      <c r="A75" s="275" t="s">
        <v>520</v>
      </c>
      <c r="B75" s="275">
        <v>1.0</v>
      </c>
      <c r="C75" s="275">
        <f t="shared" si="7"/>
        <v>10.78</v>
      </c>
      <c r="D75" s="276" t="s">
        <v>452</v>
      </c>
      <c r="E75" s="5"/>
      <c r="F75" s="277" t="s">
        <v>520</v>
      </c>
      <c r="G75" s="278">
        <v>6.81</v>
      </c>
      <c r="H75" s="279">
        <v>3.97</v>
      </c>
      <c r="I75" s="278">
        <f t="shared" si="8"/>
        <v>10.78</v>
      </c>
      <c r="M75" s="259"/>
      <c r="N75" s="259"/>
      <c r="O75" s="259"/>
      <c r="P75" s="281"/>
      <c r="Q75" s="281"/>
      <c r="R75" s="281"/>
      <c r="S75" s="281"/>
      <c r="T75" s="281"/>
    </row>
    <row r="76" ht="18.0" customHeight="1">
      <c r="A76" s="282" t="s">
        <v>521</v>
      </c>
      <c r="B76" s="282">
        <v>3.0</v>
      </c>
      <c r="C76" s="275">
        <f t="shared" si="7"/>
        <v>7.44</v>
      </c>
      <c r="D76" s="284">
        <v>1.0</v>
      </c>
      <c r="E76" s="5"/>
      <c r="F76" s="265" t="s">
        <v>521</v>
      </c>
      <c r="G76" s="283">
        <v>7.44</v>
      </c>
      <c r="H76" s="284" t="s">
        <v>58</v>
      </c>
      <c r="I76" s="278">
        <f t="shared" si="8"/>
        <v>7.44</v>
      </c>
      <c r="K76" s="302"/>
      <c r="M76" s="286"/>
      <c r="N76" s="271"/>
      <c r="O76" s="271"/>
      <c r="P76" s="272"/>
      <c r="Q76" s="272"/>
      <c r="R76" s="272"/>
      <c r="S76" s="272"/>
      <c r="T76" s="272"/>
    </row>
    <row r="77" ht="18.0" customHeight="1">
      <c r="A77" s="275" t="s">
        <v>523</v>
      </c>
      <c r="B77" s="275">
        <v>6.0</v>
      </c>
      <c r="C77" s="275">
        <f t="shared" si="7"/>
        <v>8.75</v>
      </c>
      <c r="D77" s="287">
        <v>1.25</v>
      </c>
      <c r="E77" s="5"/>
      <c r="F77" s="277" t="s">
        <v>523</v>
      </c>
      <c r="G77" s="278">
        <v>8.75</v>
      </c>
      <c r="H77" s="279" t="s">
        <v>58</v>
      </c>
      <c r="I77" s="278">
        <f t="shared" si="8"/>
        <v>8.75</v>
      </c>
      <c r="N77" s="304"/>
      <c r="O77" s="305"/>
      <c r="P77" s="281"/>
      <c r="Q77" s="281"/>
      <c r="R77" s="281"/>
      <c r="S77" s="281"/>
      <c r="T77" s="281"/>
    </row>
    <row r="78" ht="18.0" customHeight="1">
      <c r="A78" s="282" t="s">
        <v>524</v>
      </c>
      <c r="B78" s="282">
        <v>7.0</v>
      </c>
      <c r="C78" s="275">
        <f t="shared" si="7"/>
        <v>1.07</v>
      </c>
      <c r="D78" s="287">
        <v>1.25</v>
      </c>
      <c r="E78" s="5"/>
      <c r="F78" s="265" t="s">
        <v>524</v>
      </c>
      <c r="G78" s="283">
        <v>1.07</v>
      </c>
      <c r="H78" s="284" t="s">
        <v>58</v>
      </c>
      <c r="I78" s="278">
        <f t="shared" si="8"/>
        <v>1.07</v>
      </c>
      <c r="N78" s="132"/>
      <c r="O78" s="253"/>
      <c r="P78" s="272"/>
      <c r="Q78" s="272"/>
      <c r="R78" s="272"/>
      <c r="S78" s="272"/>
      <c r="T78" s="272"/>
    </row>
    <row r="79" ht="18.0" customHeight="1">
      <c r="A79" s="275" t="s">
        <v>525</v>
      </c>
      <c r="B79" s="275">
        <v>1.0</v>
      </c>
      <c r="C79" s="275">
        <f t="shared" si="7"/>
        <v>1.57</v>
      </c>
      <c r="D79" s="276" t="s">
        <v>452</v>
      </c>
      <c r="E79" s="5"/>
      <c r="F79" s="277" t="s">
        <v>525</v>
      </c>
      <c r="G79" s="278">
        <v>1.57</v>
      </c>
      <c r="H79" s="279" t="s">
        <v>58</v>
      </c>
      <c r="I79" s="278">
        <f t="shared" si="8"/>
        <v>1.57</v>
      </c>
      <c r="N79" s="304"/>
      <c r="O79" s="305"/>
      <c r="P79" s="281"/>
      <c r="Q79" s="281"/>
      <c r="R79" s="281"/>
      <c r="S79" s="281"/>
      <c r="T79" s="281"/>
    </row>
    <row r="80" ht="18.0" customHeight="1">
      <c r="A80" s="282" t="s">
        <v>531</v>
      </c>
      <c r="B80" s="282">
        <v>11.0</v>
      </c>
      <c r="C80" s="275">
        <f t="shared" si="7"/>
        <v>1.32</v>
      </c>
      <c r="D80" s="287">
        <v>1.5</v>
      </c>
      <c r="E80" s="5"/>
      <c r="F80" s="265" t="s">
        <v>531</v>
      </c>
      <c r="G80" s="310">
        <v>1.32</v>
      </c>
      <c r="H80" s="284" t="s">
        <v>58</v>
      </c>
      <c r="I80" s="278">
        <f t="shared" si="8"/>
        <v>1.32</v>
      </c>
      <c r="N80" s="132"/>
      <c r="O80" s="253"/>
      <c r="P80" s="272"/>
      <c r="Q80" s="272"/>
      <c r="R80" s="272"/>
      <c r="S80" s="272"/>
      <c r="T80" s="272"/>
    </row>
    <row r="81" ht="18.0" customHeight="1">
      <c r="A81" s="275" t="s">
        <v>534</v>
      </c>
      <c r="B81" s="275">
        <v>1.0</v>
      </c>
      <c r="C81" s="275">
        <f t="shared" si="7"/>
        <v>0.89</v>
      </c>
      <c r="D81" s="276" t="s">
        <v>452</v>
      </c>
      <c r="E81" s="5"/>
      <c r="F81" s="277" t="s">
        <v>534</v>
      </c>
      <c r="G81" s="313">
        <v>0.66</v>
      </c>
      <c r="H81" s="279">
        <v>0.23</v>
      </c>
      <c r="I81" s="278">
        <f t="shared" si="8"/>
        <v>0.89</v>
      </c>
      <c r="N81" s="304"/>
      <c r="O81" s="305"/>
      <c r="P81" s="281"/>
      <c r="Q81" s="281"/>
      <c r="R81" s="281"/>
      <c r="S81" s="281"/>
      <c r="T81" s="281"/>
    </row>
    <row r="82" ht="18.0" customHeight="1">
      <c r="A82" s="282" t="s">
        <v>535</v>
      </c>
      <c r="B82" s="282">
        <v>1.0</v>
      </c>
      <c r="C82" s="275">
        <f t="shared" si="7"/>
        <v>2.49</v>
      </c>
      <c r="D82" s="276" t="s">
        <v>452</v>
      </c>
      <c r="E82" s="5"/>
      <c r="F82" s="265" t="s">
        <v>535</v>
      </c>
      <c r="G82" s="310">
        <v>0.86</v>
      </c>
      <c r="H82" s="284">
        <v>1.63</v>
      </c>
      <c r="I82" s="278">
        <f t="shared" si="8"/>
        <v>2.49</v>
      </c>
      <c r="N82" s="132"/>
      <c r="O82" s="253"/>
      <c r="P82" s="272"/>
      <c r="Q82" s="272"/>
      <c r="R82" s="272"/>
      <c r="S82" s="272"/>
      <c r="T82" s="272"/>
    </row>
    <row r="83" ht="18.0" customHeight="1">
      <c r="A83" s="275" t="s">
        <v>536</v>
      </c>
      <c r="B83" s="275">
        <v>1.0</v>
      </c>
      <c r="C83" s="275">
        <f t="shared" si="7"/>
        <v>16.11</v>
      </c>
      <c r="D83" s="276" t="s">
        <v>452</v>
      </c>
      <c r="E83" s="5"/>
      <c r="F83" s="277" t="s">
        <v>536</v>
      </c>
      <c r="G83" s="313">
        <v>7.7</v>
      </c>
      <c r="H83" s="279">
        <v>8.41</v>
      </c>
      <c r="I83" s="278">
        <f t="shared" si="8"/>
        <v>16.11</v>
      </c>
      <c r="N83" s="304"/>
      <c r="O83" s="305"/>
      <c r="P83" s="281"/>
      <c r="Q83" s="281"/>
      <c r="R83" s="281"/>
      <c r="S83" s="281"/>
      <c r="T83" s="281"/>
    </row>
    <row r="84" ht="18.0" customHeight="1">
      <c r="A84" s="323"/>
      <c r="B84" s="325"/>
      <c r="C84" s="325" t="s">
        <v>526</v>
      </c>
      <c r="D84" s="327"/>
      <c r="E84" s="5"/>
      <c r="F84" s="5"/>
      <c r="G84" s="5"/>
      <c r="H84" s="258"/>
      <c r="N84" s="132"/>
      <c r="O84" s="253"/>
      <c r="P84" s="272"/>
      <c r="Q84" s="272"/>
      <c r="R84" s="272"/>
      <c r="S84" s="272"/>
      <c r="T84" s="272"/>
    </row>
    <row r="85" ht="18.0" customHeight="1">
      <c r="A85" s="330"/>
      <c r="B85" s="332"/>
      <c r="C85" s="332"/>
      <c r="D85" s="332"/>
      <c r="E85" s="332"/>
      <c r="F85" s="332"/>
      <c r="G85" s="332"/>
      <c r="H85" s="332"/>
      <c r="I85" s="332"/>
      <c r="J85" s="334"/>
      <c r="K85" s="304"/>
      <c r="L85" s="304"/>
      <c r="M85" s="239"/>
      <c r="N85" s="304"/>
      <c r="O85" s="305"/>
      <c r="P85" s="281"/>
      <c r="Q85" s="281"/>
      <c r="R85" s="281"/>
      <c r="S85" s="281"/>
      <c r="T85" s="281"/>
    </row>
    <row r="86" ht="18.0" customHeight="1">
      <c r="A86" s="336" t="s">
        <v>566</v>
      </c>
      <c r="B86" s="336" t="s">
        <v>567</v>
      </c>
      <c r="C86" s="336" t="s">
        <v>568</v>
      </c>
      <c r="D86" s="336" t="s">
        <v>570</v>
      </c>
      <c r="E86" s="336" t="s">
        <v>572</v>
      </c>
      <c r="F86" s="337" t="s">
        <v>133</v>
      </c>
      <c r="G86" s="338" t="s">
        <v>573</v>
      </c>
      <c r="H86" s="339"/>
      <c r="I86" s="339"/>
      <c r="J86" s="332"/>
      <c r="K86" s="340"/>
      <c r="L86" s="340"/>
      <c r="M86" s="340"/>
      <c r="N86" s="340"/>
      <c r="O86" s="332"/>
      <c r="P86" s="332"/>
      <c r="Q86" s="332"/>
      <c r="R86" s="332"/>
      <c r="S86" s="332"/>
      <c r="T86" s="341"/>
    </row>
    <row r="87" ht="18.0" customHeight="1">
      <c r="A87" s="342" t="s">
        <v>578</v>
      </c>
      <c r="B87" s="344">
        <v>6.0</v>
      </c>
      <c r="C87" s="345">
        <v>25.0</v>
      </c>
      <c r="D87" s="346">
        <f t="shared" ref="D87:D113" si="9">B87*C87</f>
        <v>150</v>
      </c>
      <c r="E87" s="349" t="s">
        <v>579</v>
      </c>
      <c r="F87" s="351" t="s">
        <v>581</v>
      </c>
      <c r="G87" s="352"/>
      <c r="H87" s="5"/>
      <c r="I87" s="5"/>
      <c r="J87" s="353"/>
      <c r="K87" s="354"/>
      <c r="L87" s="354"/>
      <c r="M87" s="5"/>
      <c r="N87" s="5"/>
      <c r="O87" s="5"/>
      <c r="P87" s="5"/>
      <c r="Q87" s="5"/>
      <c r="R87" s="5"/>
      <c r="S87" s="5"/>
      <c r="T87" s="5"/>
    </row>
    <row r="88" ht="18.0" customHeight="1">
      <c r="A88" s="356" t="s">
        <v>114</v>
      </c>
      <c r="B88" s="363">
        <f>J28</f>
        <v>1</v>
      </c>
      <c r="C88" s="346">
        <v>1.5</v>
      </c>
      <c r="D88" s="346">
        <f t="shared" si="9"/>
        <v>1.5</v>
      </c>
      <c r="E88" s="367" t="s">
        <v>590</v>
      </c>
      <c r="F88" s="370" t="s">
        <v>591</v>
      </c>
      <c r="G88" s="352"/>
      <c r="H88" s="5"/>
      <c r="I88" s="5"/>
      <c r="J88" s="339"/>
      <c r="K88" s="339"/>
      <c r="L88" s="339"/>
      <c r="M88" s="5"/>
      <c r="N88" s="5"/>
      <c r="O88" s="5"/>
      <c r="P88" s="5"/>
      <c r="Q88" s="5"/>
      <c r="R88" s="5"/>
      <c r="S88" s="5"/>
      <c r="T88" s="5"/>
    </row>
    <row r="89" ht="18.0" customHeight="1">
      <c r="A89" s="371" t="s">
        <v>391</v>
      </c>
      <c r="B89" s="372">
        <f>M28</f>
        <v>16</v>
      </c>
      <c r="C89" s="373">
        <v>1.65</v>
      </c>
      <c r="D89" s="373">
        <f t="shared" si="9"/>
        <v>26.4</v>
      </c>
      <c r="E89" s="374"/>
      <c r="F89" s="375" t="s">
        <v>592</v>
      </c>
      <c r="G89" s="376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ht="18.0" customHeight="1">
      <c r="A90" s="377" t="s">
        <v>121</v>
      </c>
      <c r="B90" s="378">
        <v>16.0</v>
      </c>
      <c r="C90" s="379">
        <v>1.65</v>
      </c>
      <c r="D90" s="373">
        <f t="shared" si="9"/>
        <v>26.4</v>
      </c>
      <c r="E90" s="380"/>
      <c r="F90" s="381" t="s">
        <v>596</v>
      </c>
      <c r="G90" s="352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ht="18.0" customHeight="1">
      <c r="A91" s="377" t="s">
        <v>122</v>
      </c>
      <c r="B91" s="378">
        <v>16.0</v>
      </c>
      <c r="C91" s="382">
        <v>9.0</v>
      </c>
      <c r="D91" s="373">
        <f t="shared" si="9"/>
        <v>144</v>
      </c>
      <c r="E91" s="380"/>
      <c r="F91" s="381" t="s">
        <v>602</v>
      </c>
      <c r="G91" s="352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ht="18.0" customHeight="1">
      <c r="A92" s="356" t="s">
        <v>112</v>
      </c>
      <c r="B92" s="363">
        <f>H28</f>
        <v>29</v>
      </c>
      <c r="C92" s="384">
        <v>2.4</v>
      </c>
      <c r="D92" s="346">
        <f t="shared" si="9"/>
        <v>69.6</v>
      </c>
      <c r="E92" s="367" t="s">
        <v>590</v>
      </c>
      <c r="F92" s="388" t="s">
        <v>606</v>
      </c>
      <c r="G92" s="352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ht="18.0" customHeight="1">
      <c r="A93" s="371" t="s">
        <v>113</v>
      </c>
      <c r="B93" s="372">
        <f>I28</f>
        <v>16</v>
      </c>
      <c r="C93" s="373">
        <v>2.5</v>
      </c>
      <c r="D93" s="373">
        <f t="shared" si="9"/>
        <v>40</v>
      </c>
      <c r="E93" s="389" t="s">
        <v>590</v>
      </c>
      <c r="F93" s="390" t="s">
        <v>608</v>
      </c>
      <c r="G93" s="391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ht="18.0" customHeight="1">
      <c r="A94" s="356" t="s">
        <v>609</v>
      </c>
      <c r="B94" s="363">
        <f>O28</f>
        <v>11</v>
      </c>
      <c r="C94" s="346">
        <v>9.0</v>
      </c>
      <c r="D94" s="346">
        <f t="shared" si="9"/>
        <v>99</v>
      </c>
      <c r="E94" s="393"/>
      <c r="F94" s="394" t="s">
        <v>611</v>
      </c>
      <c r="G94" s="39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ht="18.0" customHeight="1">
      <c r="A95" s="371" t="s">
        <v>107</v>
      </c>
      <c r="B95" s="372">
        <f>C28</f>
        <v>24</v>
      </c>
      <c r="C95" s="373">
        <v>1.95</v>
      </c>
      <c r="D95" s="373">
        <f t="shared" si="9"/>
        <v>46.8</v>
      </c>
      <c r="E95" s="404" t="s">
        <v>614</v>
      </c>
      <c r="F95" s="375" t="s">
        <v>615</v>
      </c>
      <c r="G95" s="376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ht="18.0" customHeight="1">
      <c r="A96" s="356" t="s">
        <v>616</v>
      </c>
      <c r="B96" s="363">
        <f>E28</f>
        <v>35</v>
      </c>
      <c r="C96" s="345">
        <v>4.13</v>
      </c>
      <c r="D96" s="346">
        <f t="shared" si="9"/>
        <v>144.55</v>
      </c>
      <c r="E96" s="410" t="s">
        <v>619</v>
      </c>
      <c r="F96" s="411" t="s">
        <v>620</v>
      </c>
      <c r="G96" s="39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ht="18.0" customHeight="1">
      <c r="A97" s="371" t="s">
        <v>110</v>
      </c>
      <c r="B97" s="372">
        <f>F28</f>
        <v>2</v>
      </c>
      <c r="C97" s="429">
        <v>4.47</v>
      </c>
      <c r="D97" s="373">
        <f t="shared" si="9"/>
        <v>8.94</v>
      </c>
      <c r="E97" s="430" t="s">
        <v>627</v>
      </c>
      <c r="F97" s="431" t="s">
        <v>627</v>
      </c>
      <c r="G97" s="376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ht="18.0" customHeight="1">
      <c r="A98" s="432" t="s">
        <v>111</v>
      </c>
      <c r="B98" s="446">
        <f>G28</f>
        <v>4</v>
      </c>
      <c r="C98" s="448">
        <v>5.21</v>
      </c>
      <c r="D98" s="448">
        <f t="shared" si="9"/>
        <v>20.84</v>
      </c>
      <c r="E98" s="450" t="s">
        <v>635</v>
      </c>
      <c r="F98" s="411" t="s">
        <v>635</v>
      </c>
      <c r="G98" s="39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ht="18.0" customHeight="1">
      <c r="A99" s="371" t="s">
        <v>116</v>
      </c>
      <c r="B99" s="372">
        <f>L28</f>
        <v>21</v>
      </c>
      <c r="C99" s="373">
        <v>3.0</v>
      </c>
      <c r="D99" s="373">
        <f t="shared" si="9"/>
        <v>63</v>
      </c>
      <c r="E99" s="374" t="s">
        <v>639</v>
      </c>
      <c r="F99" s="453" t="s">
        <v>640</v>
      </c>
      <c r="G99" s="376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ht="18.0" customHeight="1">
      <c r="A100" s="380" t="s">
        <v>642</v>
      </c>
      <c r="B100" s="454">
        <f>K28</f>
        <v>65</v>
      </c>
      <c r="C100" s="455">
        <v>2.0</v>
      </c>
      <c r="D100" s="455">
        <f t="shared" si="9"/>
        <v>130</v>
      </c>
      <c r="E100" s="367" t="s">
        <v>646</v>
      </c>
      <c r="F100" s="370" t="s">
        <v>648</v>
      </c>
      <c r="G100" s="352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ht="18.0" customHeight="1">
      <c r="A101" s="371" t="s">
        <v>650</v>
      </c>
      <c r="B101" s="371">
        <f>H15</f>
        <v>17</v>
      </c>
      <c r="C101" s="373">
        <v>75.0</v>
      </c>
      <c r="D101" s="373">
        <f t="shared" si="9"/>
        <v>1275</v>
      </c>
      <c r="E101" s="389" t="s">
        <v>652</v>
      </c>
      <c r="F101" s="390" t="s">
        <v>654</v>
      </c>
      <c r="G101" s="391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ht="18.0" customHeight="1">
      <c r="A102" s="356" t="s">
        <v>656</v>
      </c>
      <c r="B102" s="356">
        <f>I15</f>
        <v>2</v>
      </c>
      <c r="C102" s="346">
        <v>500.0</v>
      </c>
      <c r="D102" s="346">
        <f t="shared" si="9"/>
        <v>1000</v>
      </c>
      <c r="E102" s="367" t="s">
        <v>660</v>
      </c>
      <c r="F102" s="370" t="s">
        <v>662</v>
      </c>
      <c r="G102" s="352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ht="18.0" customHeight="1">
      <c r="A103" s="356" t="s">
        <v>663</v>
      </c>
      <c r="B103" s="356">
        <f>K15</f>
        <v>7</v>
      </c>
      <c r="C103" s="346">
        <v>290.0</v>
      </c>
      <c r="D103" s="346">
        <f t="shared" si="9"/>
        <v>2030</v>
      </c>
      <c r="E103" s="367" t="s">
        <v>665</v>
      </c>
      <c r="F103" s="370" t="s">
        <v>668</v>
      </c>
      <c r="G103" s="459" t="s">
        <v>669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ht="18.0" customHeight="1">
      <c r="A104" s="461" t="s">
        <v>672</v>
      </c>
      <c r="B104" s="462">
        <f>G15</f>
        <v>21</v>
      </c>
      <c r="C104" s="463">
        <v>310.0</v>
      </c>
      <c r="D104" s="463">
        <f t="shared" si="9"/>
        <v>6510</v>
      </c>
      <c r="E104" s="464" t="s">
        <v>675</v>
      </c>
      <c r="F104" s="388" t="s">
        <v>675</v>
      </c>
      <c r="G104" s="459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ht="18.0" customHeight="1">
      <c r="A105" s="461" t="s">
        <v>677</v>
      </c>
      <c r="B105" s="462">
        <f>B104</f>
        <v>21</v>
      </c>
      <c r="C105" s="463">
        <v>110.0</v>
      </c>
      <c r="D105" s="463">
        <f t="shared" si="9"/>
        <v>2310</v>
      </c>
      <c r="E105" s="464" t="s">
        <v>679</v>
      </c>
      <c r="F105" s="388" t="s">
        <v>679</v>
      </c>
      <c r="G105" s="459"/>
      <c r="H105" s="25"/>
      <c r="I105" s="2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ht="18.0" customHeight="1">
      <c r="A106" s="282" t="s">
        <v>682</v>
      </c>
      <c r="B106" s="467">
        <f>J15</f>
        <v>3</v>
      </c>
      <c r="C106" s="469">
        <v>640.0</v>
      </c>
      <c r="D106" s="469">
        <f t="shared" si="9"/>
        <v>1920</v>
      </c>
      <c r="E106" s="471" t="s">
        <v>683</v>
      </c>
      <c r="F106" s="472" t="s">
        <v>683</v>
      </c>
      <c r="G106" s="473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477"/>
    </row>
    <row r="107" ht="18.0" customHeight="1">
      <c r="A107" s="478" t="s">
        <v>687</v>
      </c>
      <c r="B107" s="356">
        <v>20.0</v>
      </c>
      <c r="C107" s="346">
        <v>2.33</v>
      </c>
      <c r="D107" s="346">
        <f t="shared" si="9"/>
        <v>46.6</v>
      </c>
      <c r="E107" s="367" t="s">
        <v>696</v>
      </c>
      <c r="F107" s="388" t="s">
        <v>698</v>
      </c>
      <c r="G107" s="459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477"/>
    </row>
    <row r="108" ht="18.0" customHeight="1">
      <c r="A108" s="488" t="s">
        <v>700</v>
      </c>
      <c r="B108" s="371">
        <v>5.0</v>
      </c>
      <c r="C108" s="373">
        <v>7.25</v>
      </c>
      <c r="D108" s="373">
        <f t="shared" si="9"/>
        <v>36.25</v>
      </c>
      <c r="E108" s="389" t="s">
        <v>710</v>
      </c>
      <c r="F108" s="390" t="s">
        <v>713</v>
      </c>
      <c r="G108" s="473"/>
      <c r="H108" s="5"/>
      <c r="I108" s="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477"/>
    </row>
    <row r="109" ht="18.0" customHeight="1">
      <c r="A109" s="478" t="s">
        <v>715</v>
      </c>
      <c r="B109" s="356">
        <v>2.0</v>
      </c>
      <c r="C109" s="346">
        <v>13.2</v>
      </c>
      <c r="D109" s="346">
        <f t="shared" si="9"/>
        <v>26.4</v>
      </c>
      <c r="E109" s="367"/>
      <c r="F109" s="497" t="s">
        <v>716</v>
      </c>
      <c r="G109" s="459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ht="18.0" customHeight="1">
      <c r="A110" s="498" t="s">
        <v>718</v>
      </c>
      <c r="B110" s="499">
        <v>4.0</v>
      </c>
      <c r="C110" s="500">
        <v>10.56</v>
      </c>
      <c r="D110" s="500">
        <f t="shared" si="9"/>
        <v>42.24</v>
      </c>
      <c r="E110" s="510" t="s">
        <v>723</v>
      </c>
      <c r="F110" s="512" t="s">
        <v>723</v>
      </c>
      <c r="G110" s="513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ht="18.0" customHeight="1">
      <c r="A111" s="498" t="s">
        <v>726</v>
      </c>
      <c r="B111" s="499">
        <v>10.0</v>
      </c>
      <c r="C111" s="500">
        <v>58.13</v>
      </c>
      <c r="D111" s="500">
        <f t="shared" si="9"/>
        <v>581.3</v>
      </c>
      <c r="E111" s="510"/>
      <c r="F111" s="512" t="s">
        <v>727</v>
      </c>
      <c r="G111" s="513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ht="18.0" customHeight="1">
      <c r="A112" s="498" t="s">
        <v>729</v>
      </c>
      <c r="B112" s="499">
        <v>1.0</v>
      </c>
      <c r="C112" s="500">
        <v>14.6</v>
      </c>
      <c r="D112" s="500">
        <f t="shared" si="9"/>
        <v>14.6</v>
      </c>
      <c r="E112" s="510" t="s">
        <v>730</v>
      </c>
      <c r="F112" s="512" t="s">
        <v>730</v>
      </c>
      <c r="G112" s="513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ht="18.0" customHeight="1">
      <c r="A113" s="498" t="s">
        <v>731</v>
      </c>
      <c r="B113" s="499">
        <v>3.0</v>
      </c>
      <c r="C113" s="500">
        <v>57.0</v>
      </c>
      <c r="D113" s="500">
        <f t="shared" si="9"/>
        <v>171</v>
      </c>
      <c r="E113" s="510" t="s">
        <v>732</v>
      </c>
      <c r="F113" s="512" t="s">
        <v>732</v>
      </c>
      <c r="G113" s="513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ht="18.0" customHeight="1">
      <c r="A114" s="498" t="s">
        <v>734</v>
      </c>
      <c r="B114" s="499">
        <v>5.0</v>
      </c>
      <c r="C114" s="500">
        <v>6.35</v>
      </c>
      <c r="D114" s="500">
        <f>B114 *C114</f>
        <v>31.75</v>
      </c>
      <c r="E114" s="510"/>
      <c r="F114" s="512" t="s">
        <v>746</v>
      </c>
      <c r="G114" s="513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ht="18.0" customHeight="1">
      <c r="A115" s="546" t="s">
        <v>389</v>
      </c>
      <c r="B115" s="546">
        <v>3.0</v>
      </c>
      <c r="C115" s="547">
        <v>3.2</v>
      </c>
      <c r="D115" s="547">
        <f t="shared" ref="D115:D117" si="10">B115*C115</f>
        <v>9.6</v>
      </c>
      <c r="E115" s="549" t="s">
        <v>747</v>
      </c>
      <c r="F115" s="550" t="s">
        <v>748</v>
      </c>
      <c r="G115" s="551" t="s">
        <v>749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ht="18.0" customHeight="1">
      <c r="A116" s="546" t="s">
        <v>390</v>
      </c>
      <c r="B116" s="546">
        <v>1.0</v>
      </c>
      <c r="C116" s="547">
        <v>4.57</v>
      </c>
      <c r="D116" s="547">
        <f t="shared" si="10"/>
        <v>4.57</v>
      </c>
      <c r="E116" s="554" t="s">
        <v>747</v>
      </c>
      <c r="F116" s="550" t="s">
        <v>751</v>
      </c>
      <c r="G116" s="551" t="s">
        <v>749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ht="18.0" customHeight="1">
      <c r="A117" s="182" t="s">
        <v>753</v>
      </c>
      <c r="B117" s="557">
        <v>2.0</v>
      </c>
      <c r="C117" s="558">
        <v>262.0</v>
      </c>
      <c r="D117" s="547">
        <f t="shared" si="10"/>
        <v>524</v>
      </c>
      <c r="E117" s="560" t="s">
        <v>754</v>
      </c>
      <c r="F117" s="562" t="s">
        <v>759</v>
      </c>
      <c r="G117" s="563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ht="18.0" customHeight="1">
      <c r="A118" s="546" t="s">
        <v>762</v>
      </c>
      <c r="B118" s="546"/>
      <c r="C118" s="547"/>
      <c r="D118" s="547">
        <f>SUM(D88:D117)</f>
        <v>17354.34</v>
      </c>
      <c r="E118" s="563"/>
      <c r="F118" s="563"/>
      <c r="G118" s="563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ht="18.0" customHeight="1">
      <c r="A119" s="568" t="s">
        <v>768</v>
      </c>
      <c r="B119" s="569"/>
      <c r="C119" s="569"/>
      <c r="D119" s="570">
        <f>SUM(D118,J55)</f>
        <v>26323.56</v>
      </c>
      <c r="E119" s="571"/>
      <c r="F119" s="571"/>
      <c r="G119" s="571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ht="18.0" customHeight="1"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ht="18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ht="18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ht="18.0" customHeight="1">
      <c r="A123" s="579" t="s">
        <v>778</v>
      </c>
      <c r="B123" s="12"/>
      <c r="C123" s="12"/>
      <c r="D123" s="12"/>
      <c r="E123" s="12"/>
      <c r="F123" s="12"/>
      <c r="G123" s="12"/>
      <c r="H123" s="13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ht="18.0" customHeight="1">
      <c r="A124" s="582" t="s">
        <v>782</v>
      </c>
      <c r="B124" s="582" t="s">
        <v>784</v>
      </c>
      <c r="C124" s="582" t="s">
        <v>785</v>
      </c>
      <c r="D124" s="582" t="s">
        <v>786</v>
      </c>
      <c r="E124" s="582" t="s">
        <v>787</v>
      </c>
      <c r="F124" s="582" t="s">
        <v>788</v>
      </c>
      <c r="G124" s="582" t="s">
        <v>789</v>
      </c>
      <c r="H124" s="583" t="s">
        <v>790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ht="18.0" customHeight="1">
      <c r="A125" s="585" t="s">
        <v>795</v>
      </c>
      <c r="B125" s="585">
        <v>26.0</v>
      </c>
      <c r="C125" s="585" t="s">
        <v>796</v>
      </c>
      <c r="D125" s="585" t="s">
        <v>797</v>
      </c>
      <c r="E125" s="585" t="s">
        <v>798</v>
      </c>
      <c r="F125" s="585" t="s">
        <v>799</v>
      </c>
      <c r="G125" s="585">
        <f t="shared" ref="G125:G131" si="11">T140</f>
        <v>35.8</v>
      </c>
      <c r="H125" s="586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ht="18.0" customHeight="1">
      <c r="A126" s="585" t="s">
        <v>804</v>
      </c>
      <c r="B126" s="585">
        <v>18.0</v>
      </c>
      <c r="C126" s="585" t="s">
        <v>805</v>
      </c>
      <c r="D126" s="585" t="s">
        <v>806</v>
      </c>
      <c r="E126" s="585" t="s">
        <v>807</v>
      </c>
      <c r="F126" s="585" t="s">
        <v>808</v>
      </c>
      <c r="G126" s="585">
        <f t="shared" si="11"/>
        <v>17</v>
      </c>
      <c r="H126" s="586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ht="18.0" customHeight="1">
      <c r="A127" s="585" t="s">
        <v>809</v>
      </c>
      <c r="B127" s="585">
        <v>5.0</v>
      </c>
      <c r="C127" s="585" t="s">
        <v>810</v>
      </c>
      <c r="D127" s="585" t="s">
        <v>811</v>
      </c>
      <c r="E127" s="585" t="s">
        <v>812</v>
      </c>
      <c r="F127" s="585" t="s">
        <v>813</v>
      </c>
      <c r="G127" s="585">
        <f t="shared" si="11"/>
        <v>7.1</v>
      </c>
      <c r="H127" s="586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ht="18.0" customHeight="1">
      <c r="A128" s="587" t="s">
        <v>814</v>
      </c>
      <c r="B128" s="587">
        <v>43.0</v>
      </c>
      <c r="C128" s="587" t="s">
        <v>815</v>
      </c>
      <c r="D128" s="587" t="s">
        <v>816</v>
      </c>
      <c r="E128" s="587" t="s">
        <v>817</v>
      </c>
      <c r="F128" s="588" t="s">
        <v>818</v>
      </c>
      <c r="G128" s="587">
        <f t="shared" si="11"/>
        <v>79.6</v>
      </c>
      <c r="H128" s="593" t="str">
        <f>#REF!</f>
        <v>#REF!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ht="18.0" customHeight="1">
      <c r="A129" s="585" t="s">
        <v>90</v>
      </c>
      <c r="B129" s="585">
        <v>12.0</v>
      </c>
      <c r="C129" s="585" t="s">
        <v>833</v>
      </c>
      <c r="D129" s="585" t="s">
        <v>834</v>
      </c>
      <c r="E129" s="585" t="s">
        <v>835</v>
      </c>
      <c r="F129" s="585" t="s">
        <v>836</v>
      </c>
      <c r="G129" s="585">
        <f t="shared" si="11"/>
        <v>17.5</v>
      </c>
      <c r="H129" s="586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ht="18.0" customHeight="1">
      <c r="A130" s="585" t="s">
        <v>76</v>
      </c>
      <c r="B130" s="585">
        <v>7.0</v>
      </c>
      <c r="C130" s="585" t="s">
        <v>845</v>
      </c>
      <c r="D130" s="585" t="s">
        <v>846</v>
      </c>
      <c r="E130" s="585" t="s">
        <v>847</v>
      </c>
      <c r="F130" s="585" t="s">
        <v>848</v>
      </c>
      <c r="G130" s="585">
        <f t="shared" si="11"/>
        <v>32</v>
      </c>
      <c r="H130" s="586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ht="18.0" customHeight="1">
      <c r="A131" s="585" t="s">
        <v>850</v>
      </c>
      <c r="B131" s="585">
        <v>20.0</v>
      </c>
      <c r="C131" s="585" t="s">
        <v>851</v>
      </c>
      <c r="D131" s="585" t="s">
        <v>853</v>
      </c>
      <c r="E131" s="585" t="s">
        <v>856</v>
      </c>
      <c r="F131" s="585" t="s">
        <v>857</v>
      </c>
      <c r="G131" s="585">
        <f t="shared" si="11"/>
        <v>21.7</v>
      </c>
      <c r="H131" s="586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ht="18.0" customHeight="1">
      <c r="A132" s="5"/>
      <c r="B132" s="25">
        <f>SUM(B125:B131)</f>
        <v>131</v>
      </c>
      <c r="C132" s="5"/>
      <c r="D132" s="5"/>
      <c r="E132" s="5"/>
      <c r="F132" s="606" t="s">
        <v>93</v>
      </c>
      <c r="G132" s="607">
        <f>SUM(G125:G131)</f>
        <v>210.7</v>
      </c>
      <c r="H132" s="607">
        <f>G125+H126+G127+G128</f>
        <v>122.5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ht="18.0" customHeight="1">
      <c r="A133" s="5"/>
      <c r="B133" s="5"/>
      <c r="C133" s="5"/>
      <c r="D133" s="5"/>
      <c r="E133" s="5"/>
      <c r="F133" s="609" t="s">
        <v>864</v>
      </c>
      <c r="G133" s="586">
        <f t="shared" ref="G133:H133" si="12">G132*30%</f>
        <v>63.21</v>
      </c>
      <c r="H133" s="586">
        <f t="shared" si="12"/>
        <v>36.75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ht="18.0" customHeight="1">
      <c r="A134" s="5"/>
      <c r="B134" s="5"/>
      <c r="C134" s="5"/>
      <c r="D134" s="5"/>
      <c r="E134" s="5"/>
      <c r="F134" s="623" t="s">
        <v>883</v>
      </c>
      <c r="G134" s="586">
        <f t="shared" ref="G134:H134" si="13">G132+G133</f>
        <v>273.91</v>
      </c>
      <c r="H134" s="586">
        <f t="shared" si="13"/>
        <v>159.25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ht="18.0" customHeight="1">
      <c r="A135" s="5"/>
      <c r="B135" s="5"/>
      <c r="C135" s="5"/>
      <c r="D135" s="5"/>
      <c r="E135" s="5"/>
      <c r="F135" s="583" t="s">
        <v>885</v>
      </c>
      <c r="G135" s="627" t="s">
        <v>886</v>
      </c>
      <c r="H135" s="627" t="s">
        <v>887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ht="18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ht="18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ht="18.0" customHeight="1"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ht="18.0" customHeight="1">
      <c r="A139" s="636" t="s">
        <v>68</v>
      </c>
      <c r="B139" s="638" t="s">
        <v>44</v>
      </c>
      <c r="C139" s="636" t="s">
        <v>45</v>
      </c>
      <c r="D139" s="636" t="s">
        <v>46</v>
      </c>
      <c r="E139" s="636" t="s">
        <v>903</v>
      </c>
      <c r="F139" s="642" t="s">
        <v>48</v>
      </c>
      <c r="G139" s="643" t="s">
        <v>905</v>
      </c>
      <c r="H139" s="645" t="s">
        <v>906</v>
      </c>
      <c r="I139" s="636" t="s">
        <v>907</v>
      </c>
      <c r="J139" s="636" t="s">
        <v>908</v>
      </c>
      <c r="K139" s="638" t="s">
        <v>910</v>
      </c>
      <c r="L139" s="642" t="s">
        <v>912</v>
      </c>
      <c r="M139" s="643" t="s">
        <v>913</v>
      </c>
      <c r="N139" s="645" t="s">
        <v>914</v>
      </c>
      <c r="O139" s="636" t="s">
        <v>916</v>
      </c>
      <c r="P139" s="636" t="s">
        <v>918</v>
      </c>
      <c r="Q139" s="638" t="s">
        <v>920</v>
      </c>
      <c r="R139" s="642" t="s">
        <v>921</v>
      </c>
      <c r="S139" s="643" t="s">
        <v>922</v>
      </c>
      <c r="T139" s="651" t="s">
        <v>923</v>
      </c>
    </row>
    <row r="140" ht="18.0" customHeight="1">
      <c r="A140" s="563" t="s">
        <v>795</v>
      </c>
      <c r="B140" s="652">
        <v>2.0</v>
      </c>
      <c r="C140" s="652">
        <v>2.0</v>
      </c>
      <c r="D140" s="652">
        <v>0.0</v>
      </c>
      <c r="E140" s="652">
        <v>1.0</v>
      </c>
      <c r="F140" s="653">
        <v>1.0</v>
      </c>
      <c r="G140" s="654">
        <v>1.0</v>
      </c>
      <c r="H140" s="655">
        <v>5.0</v>
      </c>
      <c r="I140" s="652">
        <v>0.1</v>
      </c>
      <c r="J140" s="656">
        <v>2.0</v>
      </c>
      <c r="K140" s="656">
        <v>35.0</v>
      </c>
      <c r="L140" s="653">
        <v>4.0</v>
      </c>
      <c r="M140" s="657">
        <v>0.1</v>
      </c>
      <c r="N140" s="659">
        <v>0.7</v>
      </c>
      <c r="O140" s="660">
        <v>1.0</v>
      </c>
      <c r="P140" s="660">
        <v>0.3</v>
      </c>
      <c r="Q140" s="660">
        <v>0.7</v>
      </c>
      <c r="R140" s="661">
        <v>1.0</v>
      </c>
      <c r="S140" s="662">
        <v>1.0</v>
      </c>
      <c r="T140" s="655">
        <f>(B140*H140*N140)+(C140*I140*O140)+(D140*J140*P140)+(E140*K140*Q140)+(F140*L140*R140)+(G140*M140*S140)</f>
        <v>35.8</v>
      </c>
    </row>
    <row r="141" ht="18.0" customHeight="1">
      <c r="A141" s="563" t="s">
        <v>804</v>
      </c>
      <c r="B141" s="664">
        <v>2.0</v>
      </c>
      <c r="C141" s="563">
        <v>2.0</v>
      </c>
      <c r="D141" s="563">
        <v>0.0</v>
      </c>
      <c r="E141" s="563">
        <v>1.0</v>
      </c>
      <c r="F141" s="665">
        <v>0.0</v>
      </c>
      <c r="G141" s="666">
        <v>2.0</v>
      </c>
      <c r="H141" s="667">
        <v>5.0</v>
      </c>
      <c r="I141" s="563">
        <v>0.1</v>
      </c>
      <c r="J141" s="563">
        <v>2.0</v>
      </c>
      <c r="K141" s="563">
        <v>14.0</v>
      </c>
      <c r="L141" s="665">
        <v>4.0</v>
      </c>
      <c r="M141" s="666">
        <v>0.1</v>
      </c>
      <c r="N141" s="668">
        <v>0.7</v>
      </c>
      <c r="O141" s="669">
        <v>1.0</v>
      </c>
      <c r="P141" s="669">
        <v>0.3</v>
      </c>
      <c r="Q141" s="669">
        <v>0.7</v>
      </c>
      <c r="R141" s="670">
        <v>1.0</v>
      </c>
      <c r="S141" s="662">
        <v>1.0</v>
      </c>
      <c r="T141" s="667">
        <f t="shared" ref="T141:T146" si="14">(B141*H141*N141)+(C141*I141*O141)+(D141*J141*P141)+(E141*K141*Q141)+(F141*L141*R141)</f>
        <v>17</v>
      </c>
    </row>
    <row r="142" ht="18.0" customHeight="1">
      <c r="A142" s="563" t="s">
        <v>809</v>
      </c>
      <c r="B142" s="563">
        <v>1.0</v>
      </c>
      <c r="C142" s="563">
        <v>1.0</v>
      </c>
      <c r="D142" s="563">
        <v>0.0</v>
      </c>
      <c r="E142" s="563">
        <v>1.0</v>
      </c>
      <c r="F142" s="665">
        <v>0.0</v>
      </c>
      <c r="G142" s="666">
        <v>1.0</v>
      </c>
      <c r="H142" s="667">
        <v>5.0</v>
      </c>
      <c r="I142" s="563">
        <v>0.1</v>
      </c>
      <c r="J142" s="563">
        <v>2.0</v>
      </c>
      <c r="K142" s="563">
        <v>7.0</v>
      </c>
      <c r="L142" s="665">
        <v>4.0</v>
      </c>
      <c r="M142" s="666">
        <v>0.1</v>
      </c>
      <c r="N142" s="668">
        <v>0.7</v>
      </c>
      <c r="O142" s="669">
        <v>1.0</v>
      </c>
      <c r="P142" s="669">
        <v>0.3</v>
      </c>
      <c r="Q142" s="669">
        <v>0.5</v>
      </c>
      <c r="R142" s="670">
        <v>1.0</v>
      </c>
      <c r="S142" s="662">
        <v>1.0</v>
      </c>
      <c r="T142" s="667">
        <f t="shared" si="14"/>
        <v>7.1</v>
      </c>
    </row>
    <row r="143" ht="18.0" customHeight="1">
      <c r="A143" s="563" t="s">
        <v>814</v>
      </c>
      <c r="B143" s="563">
        <v>12.0</v>
      </c>
      <c r="C143" s="563">
        <v>12.0</v>
      </c>
      <c r="D143" s="563">
        <v>2.0</v>
      </c>
      <c r="E143" s="563">
        <v>1.0</v>
      </c>
      <c r="F143" s="665">
        <v>3.0</v>
      </c>
      <c r="G143" s="666">
        <v>2.0</v>
      </c>
      <c r="H143" s="667">
        <v>5.0</v>
      </c>
      <c r="I143" s="563">
        <v>0.1</v>
      </c>
      <c r="J143" s="563">
        <v>2.0</v>
      </c>
      <c r="K143" s="563">
        <v>16.0</v>
      </c>
      <c r="L143" s="665">
        <v>4.0</v>
      </c>
      <c r="M143" s="666">
        <v>0.1</v>
      </c>
      <c r="N143" s="668">
        <v>0.9</v>
      </c>
      <c r="O143" s="669">
        <v>1.0</v>
      </c>
      <c r="P143" s="669">
        <v>0.3</v>
      </c>
      <c r="Q143" s="669">
        <v>0.7</v>
      </c>
      <c r="R143" s="670">
        <v>1.0</v>
      </c>
      <c r="S143" s="662">
        <v>1.0</v>
      </c>
      <c r="T143" s="667">
        <f t="shared" si="14"/>
        <v>79.6</v>
      </c>
    </row>
    <row r="144" ht="18.0" customHeight="1">
      <c r="A144" s="563" t="s">
        <v>90</v>
      </c>
      <c r="B144" s="563">
        <v>0.0</v>
      </c>
      <c r="C144" s="563">
        <v>0.0</v>
      </c>
      <c r="D144" s="563">
        <v>0.0</v>
      </c>
      <c r="E144" s="563">
        <v>1.0</v>
      </c>
      <c r="F144" s="665">
        <v>0.0</v>
      </c>
      <c r="G144" s="666">
        <v>1.0</v>
      </c>
      <c r="H144" s="667">
        <v>5.0</v>
      </c>
      <c r="I144" s="563">
        <v>0.1</v>
      </c>
      <c r="J144" s="563">
        <v>2.0</v>
      </c>
      <c r="K144" s="563">
        <v>25.0</v>
      </c>
      <c r="L144" s="665">
        <v>4.0</v>
      </c>
      <c r="M144" s="666">
        <v>0.1</v>
      </c>
      <c r="N144" s="668">
        <v>0.7</v>
      </c>
      <c r="O144" s="669">
        <v>1.0</v>
      </c>
      <c r="P144" s="669">
        <v>0.3</v>
      </c>
      <c r="Q144" s="669">
        <v>0.7</v>
      </c>
      <c r="R144" s="670">
        <v>1.0</v>
      </c>
      <c r="S144" s="662">
        <v>1.0</v>
      </c>
      <c r="T144" s="667">
        <f t="shared" si="14"/>
        <v>17.5</v>
      </c>
    </row>
    <row r="145" ht="18.0" customHeight="1">
      <c r="A145" s="563" t="s">
        <v>76</v>
      </c>
      <c r="B145" s="563">
        <v>4.0</v>
      </c>
      <c r="C145" s="563">
        <v>0.0</v>
      </c>
      <c r="D145" s="563">
        <v>0.0</v>
      </c>
      <c r="E145" s="563">
        <v>0.0</v>
      </c>
      <c r="F145" s="665">
        <v>1.0</v>
      </c>
      <c r="G145" s="666">
        <v>2.0</v>
      </c>
      <c r="H145" s="667">
        <v>7.0</v>
      </c>
      <c r="I145" s="563">
        <v>0.1</v>
      </c>
      <c r="J145" s="563">
        <v>2.0</v>
      </c>
      <c r="K145" s="563">
        <v>0.0</v>
      </c>
      <c r="L145" s="665">
        <v>4.0</v>
      </c>
      <c r="M145" s="682" t="s">
        <v>981</v>
      </c>
      <c r="N145" s="668">
        <v>1.0</v>
      </c>
      <c r="O145" s="669">
        <v>1.0</v>
      </c>
      <c r="P145" s="669">
        <v>0.3</v>
      </c>
      <c r="Q145" s="669">
        <v>0.7</v>
      </c>
      <c r="R145" s="670">
        <v>1.0</v>
      </c>
      <c r="S145" s="662">
        <v>1.0</v>
      </c>
      <c r="T145" s="667">
        <f t="shared" si="14"/>
        <v>32</v>
      </c>
    </row>
    <row r="146" ht="18.0" customHeight="1">
      <c r="A146" s="563" t="s">
        <v>850</v>
      </c>
      <c r="B146" s="563">
        <v>0.0</v>
      </c>
      <c r="C146" s="563">
        <v>0.0</v>
      </c>
      <c r="D146" s="563">
        <v>0.0</v>
      </c>
      <c r="E146" s="563">
        <v>1.0</v>
      </c>
      <c r="F146" s="665">
        <v>0.0</v>
      </c>
      <c r="G146" s="666">
        <v>1.0</v>
      </c>
      <c r="H146" s="667">
        <v>5.0</v>
      </c>
      <c r="I146" s="563">
        <v>0.1</v>
      </c>
      <c r="J146" s="563">
        <v>2.0</v>
      </c>
      <c r="K146" s="563">
        <v>31.0</v>
      </c>
      <c r="L146" s="665">
        <v>4.0</v>
      </c>
      <c r="M146" s="666">
        <v>0.1</v>
      </c>
      <c r="N146" s="668">
        <v>0.7</v>
      </c>
      <c r="O146" s="669">
        <v>1.0</v>
      </c>
      <c r="P146" s="669">
        <v>0.3</v>
      </c>
      <c r="Q146" s="669">
        <v>0.7</v>
      </c>
      <c r="R146" s="670">
        <v>1.0</v>
      </c>
      <c r="S146" s="662">
        <v>1.0</v>
      </c>
      <c r="T146" s="667">
        <f t="shared" si="14"/>
        <v>21.7</v>
      </c>
    </row>
    <row r="147" ht="15.75" customHeight="1"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</sheetData>
  <mergeCells count="11">
    <mergeCell ref="K71:L71"/>
    <mergeCell ref="M71:N71"/>
    <mergeCell ref="K76:L76"/>
    <mergeCell ref="A123:H123"/>
    <mergeCell ref="N14:O14"/>
    <mergeCell ref="D28:D37"/>
    <mergeCell ref="F58:G58"/>
    <mergeCell ref="K60:L60"/>
    <mergeCell ref="K61:L61"/>
    <mergeCell ref="K65:L65"/>
    <mergeCell ref="K70:N70"/>
  </mergeCells>
  <conditionalFormatting sqref="C91:C93">
    <cfRule type="notContainsBlanks" dxfId="5" priority="1">
      <formula>LEN(TRIM(C91))&gt;0</formula>
    </cfRule>
  </conditionalFormatting>
  <dataValidations>
    <dataValidation type="custom" allowBlank="1" showDropDown="1" sqref="I42:I55">
      <formula1>AND(ISNUMBER(I42),(NOT(OR(NOT(ISERROR(DATEVALUE(I42))), AND(ISNUMBER(I42), LEFT(CELL("format", I42))="D")))))</formula1>
    </dataValidation>
  </dataValidations>
  <hyperlinks>
    <hyperlink r:id="rId1" ref="G43"/>
    <hyperlink r:id="rId2" ref="H43"/>
    <hyperlink r:id="rId3" ref="G46"/>
    <hyperlink r:id="rId4" ref="H46"/>
    <hyperlink r:id="rId5" location="pn=DP24688TGY" ref="G47"/>
    <hyperlink r:id="rId6" ref="H47"/>
    <hyperlink r:id="rId7" location="pn=WMP1E" ref="G48"/>
    <hyperlink r:id="rId8" ref="H48"/>
    <hyperlink r:id="rId9" ref="G49"/>
    <hyperlink r:id="rId10" ref="G50"/>
    <hyperlink r:id="rId11" ref="H50"/>
    <hyperlink r:id="rId12" location="q=utp28sp1bu" ref="G53"/>
    <hyperlink r:id="rId13" ref="H53"/>
    <hyperlink r:id="rId14" ref="G54"/>
    <hyperlink r:id="rId15" ref="H54"/>
    <hyperlink r:id="rId16" ref="E87"/>
    <hyperlink r:id="rId17" ref="F87"/>
    <hyperlink r:id="rId18" ref="E88"/>
    <hyperlink r:id="rId19" ref="F88"/>
    <hyperlink r:id="rId20" location="attr=" ref="F89"/>
    <hyperlink r:id="rId21" location="attr=" ref="F90"/>
    <hyperlink r:id="rId22" ref="F91"/>
    <hyperlink r:id="rId23" ref="E92"/>
    <hyperlink r:id="rId24" ref="F92"/>
    <hyperlink r:id="rId25" ref="E93"/>
    <hyperlink r:id="rId26" ref="F93"/>
    <hyperlink r:id="rId27" ref="F94"/>
    <hyperlink r:id="rId28" ref="E95"/>
    <hyperlink r:id="rId29" ref="F95"/>
    <hyperlink r:id="rId30" ref="E96"/>
    <hyperlink r:id="rId31" ref="F96"/>
    <hyperlink r:id="rId32" ref="E97"/>
    <hyperlink r:id="rId33" ref="F97"/>
    <hyperlink r:id="rId34" ref="E98"/>
    <hyperlink r:id="rId35" ref="F98"/>
    <hyperlink r:id="rId36" ref="E99"/>
    <hyperlink r:id="rId37" ref="F99"/>
    <hyperlink r:id="rId38" ref="E100"/>
    <hyperlink r:id="rId39" location="polycard_client=search-nordic&amp;position=8&amp;search_layout=stack&amp;type=item&amp;tracking_id=58405fbd-cadb-4af1-928f-5abc0bb393cd&amp;wid=MEC581849574&amp;sid=search" ref="F100"/>
    <hyperlink r:id="rId40" ref="E101"/>
    <hyperlink r:id="rId41" ref="F101"/>
    <hyperlink r:id="rId42" ref="E102"/>
    <hyperlink r:id="rId43" ref="F102"/>
    <hyperlink r:id="rId44" ref="E103"/>
    <hyperlink r:id="rId45" ref="F103"/>
    <hyperlink r:id="rId46" ref="E104"/>
    <hyperlink r:id="rId47" ref="F104"/>
    <hyperlink r:id="rId48" ref="E105"/>
    <hyperlink r:id="rId49" ref="F105"/>
    <hyperlink r:id="rId50" ref="E106"/>
    <hyperlink r:id="rId51" ref="F106"/>
    <hyperlink r:id="rId52" ref="E107"/>
    <hyperlink r:id="rId53" ref="F107"/>
    <hyperlink r:id="rId54" ref="E108"/>
    <hyperlink r:id="rId55" ref="F108"/>
    <hyperlink r:id="rId56" ref="F109"/>
    <hyperlink r:id="rId57" ref="E110"/>
    <hyperlink r:id="rId58" ref="F110"/>
    <hyperlink r:id="rId59" ref="E115"/>
    <hyperlink r:id="rId60" ref="F115"/>
    <hyperlink r:id="rId61" ref="E116"/>
    <hyperlink r:id="rId62" ref="F116"/>
    <hyperlink r:id="rId63" ref="E117"/>
    <hyperlink r:id="rId64" ref="F11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5"/>
  <tableParts count="2">
    <tablePart r:id="rId68"/>
    <tablePart r:id="rId6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88"/>
    <col customWidth="1" min="2" max="2" width="31.25"/>
    <col customWidth="1" min="3" max="3" width="26.63"/>
    <col customWidth="1" min="4" max="4" width="22.38"/>
    <col customWidth="1" min="5" max="5" width="37.0"/>
    <col customWidth="1" min="6" max="6" width="18.75"/>
    <col customWidth="1" min="7" max="7" width="23.25"/>
    <col customWidth="1" min="8" max="8" width="27.13"/>
    <col customWidth="1" min="9" max="9" width="36.0"/>
    <col customWidth="1" min="10" max="10" width="20.13"/>
    <col customWidth="1" min="11" max="11" width="25.13"/>
    <col customWidth="1" min="12" max="12" width="31.13"/>
    <col customWidth="1" min="13" max="13" width="28.5"/>
    <col customWidth="1" min="14" max="14" width="28.75"/>
    <col customWidth="1" min="15" max="15" width="27.13"/>
    <col customWidth="1" min="16" max="16" width="20.38"/>
    <col customWidth="1" min="17" max="17" width="33.25"/>
    <col customWidth="1" min="18" max="18" width="14.38"/>
    <col customWidth="1" min="19" max="19" width="10.63"/>
    <col customWidth="1" min="20" max="20" width="18.63"/>
    <col customWidth="1" min="21" max="21" width="12.5"/>
    <col customWidth="1" min="22" max="22" width="13.88"/>
    <col customWidth="1" min="23" max="26" width="10.63"/>
  </cols>
  <sheetData>
    <row r="1">
      <c r="A1" s="1">
        <v>53.0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9" t="s">
        <v>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16" t="s">
        <v>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18" t="s">
        <v>16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18" t="s">
        <v>29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27"/>
      <c r="B9" s="27"/>
      <c r="C9" s="27"/>
      <c r="D9" s="27"/>
      <c r="E9" s="27"/>
      <c r="F9" s="27"/>
      <c r="G9" s="27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29" t="s">
        <v>36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18" t="s">
        <v>51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36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38" t="s">
        <v>54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38" t="s">
        <v>56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38" t="s">
        <v>59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38" t="s">
        <v>61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38" t="s">
        <v>65</v>
      </c>
      <c r="H19" s="47"/>
      <c r="I19" s="47"/>
      <c r="J19" s="47"/>
      <c r="K19" s="47"/>
      <c r="L19" s="47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38" t="s">
        <v>66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5.75" customHeight="1">
      <c r="A21" s="3"/>
      <c r="B21" s="3"/>
      <c r="C21" s="3"/>
      <c r="D21" s="3"/>
      <c r="E21" s="3"/>
      <c r="F21" s="3"/>
      <c r="G21" s="48"/>
      <c r="H21" s="48"/>
      <c r="I21" s="48"/>
      <c r="J21" s="48"/>
      <c r="K21" s="48"/>
      <c r="L21" s="48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5.75" customHeight="1">
      <c r="A22" s="40" t="s">
        <v>68</v>
      </c>
      <c r="B22" s="40" t="s">
        <v>39</v>
      </c>
      <c r="C22" s="40" t="s">
        <v>40</v>
      </c>
      <c r="D22" s="40" t="s">
        <v>69</v>
      </c>
      <c r="E22" s="40" t="s">
        <v>42</v>
      </c>
      <c r="F22" s="40" t="s">
        <v>43</v>
      </c>
      <c r="G22" s="40" t="s">
        <v>44</v>
      </c>
      <c r="H22" s="40" t="s">
        <v>45</v>
      </c>
      <c r="I22" s="40" t="s">
        <v>46</v>
      </c>
      <c r="J22" s="40" t="s">
        <v>47</v>
      </c>
      <c r="K22" s="40" t="s">
        <v>48</v>
      </c>
      <c r="L22" s="40" t="s">
        <v>49</v>
      </c>
      <c r="N22" s="33" t="s">
        <v>50</v>
      </c>
      <c r="O22" s="13"/>
      <c r="P22" s="49"/>
      <c r="Q22" s="48"/>
      <c r="R22" s="48"/>
      <c r="S22" s="3"/>
      <c r="T22" s="3"/>
      <c r="U22" s="3"/>
      <c r="V22" s="3"/>
    </row>
    <row r="23" ht="15.75" customHeight="1">
      <c r="A23" s="50" t="s">
        <v>52</v>
      </c>
      <c r="B23" s="51">
        <v>20.0</v>
      </c>
      <c r="C23" s="51">
        <v>20.0</v>
      </c>
      <c r="D23" s="51">
        <v>400.0</v>
      </c>
      <c r="E23" s="51">
        <f t="shared" ref="E23:L23" si="1">SUM(E24:E36)</f>
        <v>32</v>
      </c>
      <c r="F23" s="51">
        <f t="shared" si="1"/>
        <v>76</v>
      </c>
      <c r="G23" s="51">
        <f t="shared" si="1"/>
        <v>32</v>
      </c>
      <c r="H23" s="51">
        <f t="shared" si="1"/>
        <v>21</v>
      </c>
      <c r="I23" s="51">
        <f t="shared" si="1"/>
        <v>2</v>
      </c>
      <c r="J23" s="51">
        <f t="shared" si="1"/>
        <v>3</v>
      </c>
      <c r="K23" s="51">
        <f t="shared" si="1"/>
        <v>7</v>
      </c>
      <c r="L23" s="51">
        <f t="shared" si="1"/>
        <v>11</v>
      </c>
      <c r="N23" s="40" t="s">
        <v>46</v>
      </c>
      <c r="O23" s="41">
        <v>2.0</v>
      </c>
      <c r="P23" s="52"/>
      <c r="Q23" s="48"/>
      <c r="R23" s="48"/>
      <c r="S23" s="3"/>
      <c r="T23" s="3"/>
      <c r="U23" s="3"/>
      <c r="V23" s="3"/>
    </row>
    <row r="24" ht="15.75" customHeight="1">
      <c r="A24" s="50" t="s">
        <v>81</v>
      </c>
      <c r="B24" s="51" t="s">
        <v>83</v>
      </c>
      <c r="C24" s="51" t="s">
        <v>84</v>
      </c>
      <c r="D24" s="51" t="s">
        <v>85</v>
      </c>
      <c r="E24" s="51">
        <v>0.0</v>
      </c>
      <c r="F24" s="51">
        <f t="shared" ref="F24:F36" si="2">SUM(G24:L24)</f>
        <v>4</v>
      </c>
      <c r="G24" s="51">
        <v>0.0</v>
      </c>
      <c r="H24" s="51">
        <v>0.0</v>
      </c>
      <c r="I24" s="51">
        <v>0.0</v>
      </c>
      <c r="J24" s="51">
        <v>0.0</v>
      </c>
      <c r="K24" s="51">
        <v>0.0</v>
      </c>
      <c r="L24" s="51">
        <v>4.0</v>
      </c>
      <c r="N24" s="40" t="s">
        <v>96</v>
      </c>
      <c r="O24" s="41">
        <v>8.0</v>
      </c>
      <c r="P24" s="3"/>
      <c r="Q24" s="48"/>
      <c r="R24" s="3"/>
      <c r="S24" s="3"/>
      <c r="T24" s="3"/>
      <c r="U24" s="3"/>
      <c r="V24" s="3"/>
    </row>
    <row r="25" ht="15.75" customHeight="1">
      <c r="A25" s="50" t="s">
        <v>97</v>
      </c>
      <c r="B25" s="51" t="s">
        <v>98</v>
      </c>
      <c r="C25" s="51" t="s">
        <v>99</v>
      </c>
      <c r="D25" s="60">
        <v>6058.0</v>
      </c>
      <c r="E25" s="51">
        <v>0.0</v>
      </c>
      <c r="F25" s="51">
        <f t="shared" si="2"/>
        <v>1</v>
      </c>
      <c r="G25" s="51">
        <v>0.0</v>
      </c>
      <c r="H25" s="51">
        <v>0.0</v>
      </c>
      <c r="I25" s="51">
        <v>0.0</v>
      </c>
      <c r="J25" s="51">
        <v>0.0</v>
      </c>
      <c r="K25" s="51">
        <v>0.0</v>
      </c>
      <c r="L25" s="51">
        <v>1.0</v>
      </c>
      <c r="N25" s="40" t="s">
        <v>100</v>
      </c>
      <c r="O25" s="41">
        <v>1.0</v>
      </c>
      <c r="P25" s="47"/>
      <c r="Q25" s="48"/>
      <c r="R25" s="3"/>
      <c r="S25" s="3"/>
      <c r="T25" s="3"/>
      <c r="U25" s="3"/>
      <c r="V25" s="3"/>
    </row>
    <row r="26" ht="15.75" customHeight="1">
      <c r="A26" s="50" t="s">
        <v>101</v>
      </c>
      <c r="B26" s="51" t="s">
        <v>102</v>
      </c>
      <c r="C26" s="51" t="s">
        <v>103</v>
      </c>
      <c r="D26" s="51" t="s">
        <v>104</v>
      </c>
      <c r="E26" s="51">
        <v>0.0</v>
      </c>
      <c r="F26" s="51">
        <f t="shared" si="2"/>
        <v>0</v>
      </c>
      <c r="G26" s="51">
        <v>0.0</v>
      </c>
      <c r="H26" s="51">
        <v>0.0</v>
      </c>
      <c r="I26" s="51">
        <v>0.0</v>
      </c>
      <c r="J26" s="51">
        <v>0.0</v>
      </c>
      <c r="K26" s="51">
        <v>0.0</v>
      </c>
      <c r="L26" s="51">
        <v>0.0</v>
      </c>
      <c r="P26" s="3"/>
      <c r="Q26" s="48"/>
      <c r="R26" s="3"/>
      <c r="S26" s="3"/>
      <c r="T26" s="3"/>
      <c r="U26" s="3"/>
      <c r="V26" s="3"/>
    </row>
    <row r="27" ht="15.75" customHeight="1">
      <c r="A27" s="50" t="s">
        <v>126</v>
      </c>
      <c r="B27" s="51">
        <v>5.0</v>
      </c>
      <c r="C27" s="51" t="s">
        <v>127</v>
      </c>
      <c r="D27" s="51" t="s">
        <v>128</v>
      </c>
      <c r="E27" s="51">
        <v>2.0</v>
      </c>
      <c r="F27" s="51">
        <f t="shared" si="2"/>
        <v>5</v>
      </c>
      <c r="G27" s="51">
        <v>4.0</v>
      </c>
      <c r="H27" s="51">
        <v>1.0</v>
      </c>
      <c r="I27" s="51">
        <v>0.0</v>
      </c>
      <c r="J27" s="51">
        <v>0.0</v>
      </c>
      <c r="K27" s="51">
        <v>0.0</v>
      </c>
      <c r="L27" s="51">
        <v>0.0</v>
      </c>
      <c r="P27" s="3"/>
      <c r="Q27" s="48"/>
      <c r="R27" s="3"/>
      <c r="S27" s="3"/>
      <c r="T27" s="3"/>
      <c r="U27" s="3"/>
      <c r="V27" s="3"/>
    </row>
    <row r="28" ht="15.75" customHeight="1">
      <c r="A28" s="50" t="s">
        <v>76</v>
      </c>
      <c r="B28" s="51" t="s">
        <v>130</v>
      </c>
      <c r="C28" s="51" t="s">
        <v>131</v>
      </c>
      <c r="D28" s="51" t="s">
        <v>132</v>
      </c>
      <c r="E28" s="51">
        <v>4.0</v>
      </c>
      <c r="F28" s="51">
        <f t="shared" si="2"/>
        <v>9</v>
      </c>
      <c r="G28" s="51">
        <v>4.0</v>
      </c>
      <c r="H28" s="51">
        <v>4.0</v>
      </c>
      <c r="I28" s="51">
        <v>0.0</v>
      </c>
      <c r="J28" s="51">
        <v>0.0</v>
      </c>
      <c r="K28" s="51">
        <v>0.0</v>
      </c>
      <c r="L28" s="51">
        <v>1.0</v>
      </c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5.75" customHeight="1">
      <c r="A29" s="50" t="s">
        <v>134</v>
      </c>
      <c r="B29" s="51" t="s">
        <v>135</v>
      </c>
      <c r="C29" s="51" t="s">
        <v>130</v>
      </c>
      <c r="D29" s="51" t="s">
        <v>136</v>
      </c>
      <c r="E29" s="51">
        <v>8.0</v>
      </c>
      <c r="F29" s="51">
        <f t="shared" si="2"/>
        <v>10</v>
      </c>
      <c r="G29" s="80">
        <v>8.0</v>
      </c>
      <c r="H29" s="51">
        <v>0.0</v>
      </c>
      <c r="I29" s="51">
        <v>0.0</v>
      </c>
      <c r="J29" s="51">
        <v>1.0</v>
      </c>
      <c r="K29" s="51">
        <v>0.0</v>
      </c>
      <c r="L29" s="51">
        <v>1.0</v>
      </c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5.75" customHeight="1">
      <c r="A30" s="50" t="s">
        <v>147</v>
      </c>
      <c r="B30" s="51">
        <v>4.0</v>
      </c>
      <c r="C30" s="51" t="s">
        <v>102</v>
      </c>
      <c r="D30" s="51" t="s">
        <v>150</v>
      </c>
      <c r="E30" s="51">
        <v>4.0</v>
      </c>
      <c r="F30" s="51">
        <f t="shared" si="2"/>
        <v>5</v>
      </c>
      <c r="G30" s="51">
        <v>2.0</v>
      </c>
      <c r="H30" s="51">
        <v>2.0</v>
      </c>
      <c r="I30" s="51">
        <v>0.0</v>
      </c>
      <c r="J30" s="51">
        <v>0.0</v>
      </c>
      <c r="K30" s="51">
        <v>0.0</v>
      </c>
      <c r="L30" s="51">
        <v>1.0</v>
      </c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5.75" customHeight="1">
      <c r="A31" s="50" t="s">
        <v>155</v>
      </c>
      <c r="B31" s="51" t="s">
        <v>156</v>
      </c>
      <c r="C31" s="51" t="s">
        <v>157</v>
      </c>
      <c r="D31" s="51" t="s">
        <v>158</v>
      </c>
      <c r="E31" s="51">
        <v>6.0</v>
      </c>
      <c r="F31" s="51">
        <f t="shared" si="2"/>
        <v>12</v>
      </c>
      <c r="G31" s="51">
        <v>6.0</v>
      </c>
      <c r="H31" s="51">
        <v>6.0</v>
      </c>
      <c r="I31" s="51">
        <v>0.0</v>
      </c>
      <c r="J31" s="51">
        <v>0.0</v>
      </c>
      <c r="K31" s="51">
        <v>0.0</v>
      </c>
      <c r="L31" s="51">
        <v>0.0</v>
      </c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5.75" customHeight="1">
      <c r="A32" s="50" t="s">
        <v>166</v>
      </c>
      <c r="B32" s="51" t="s">
        <v>156</v>
      </c>
      <c r="C32" s="51" t="s">
        <v>157</v>
      </c>
      <c r="D32" s="51" t="s">
        <v>158</v>
      </c>
      <c r="E32" s="51">
        <v>6.0</v>
      </c>
      <c r="F32" s="51">
        <f t="shared" si="2"/>
        <v>12</v>
      </c>
      <c r="G32" s="51">
        <v>6.0</v>
      </c>
      <c r="H32" s="51">
        <v>6.0</v>
      </c>
      <c r="I32" s="51">
        <v>0.0</v>
      </c>
      <c r="J32" s="51">
        <v>0.0</v>
      </c>
      <c r="K32" s="51">
        <v>0.0</v>
      </c>
      <c r="L32" s="51">
        <v>0.0</v>
      </c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5.75" customHeight="1">
      <c r="A33" s="50" t="s">
        <v>176</v>
      </c>
      <c r="B33" s="51">
        <v>3.0</v>
      </c>
      <c r="C33" s="51" t="s">
        <v>177</v>
      </c>
      <c r="D33" s="51" t="s">
        <v>178</v>
      </c>
      <c r="E33" s="51">
        <v>2.0</v>
      </c>
      <c r="F33" s="51">
        <f t="shared" si="2"/>
        <v>6</v>
      </c>
      <c r="G33" s="51">
        <v>2.0</v>
      </c>
      <c r="H33" s="51">
        <v>2.0</v>
      </c>
      <c r="I33" s="51">
        <v>0.0</v>
      </c>
      <c r="J33" s="51">
        <v>1.0</v>
      </c>
      <c r="K33" s="51">
        <v>0.0</v>
      </c>
      <c r="L33" s="51">
        <v>1.0</v>
      </c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5.75" customHeight="1">
      <c r="A34" s="50" t="s">
        <v>183</v>
      </c>
      <c r="B34" s="51" t="s">
        <v>184</v>
      </c>
      <c r="C34" s="51" t="s">
        <v>185</v>
      </c>
      <c r="D34" s="51" t="s">
        <v>186</v>
      </c>
      <c r="E34" s="51">
        <v>0.0</v>
      </c>
      <c r="F34" s="51">
        <f t="shared" si="2"/>
        <v>1</v>
      </c>
      <c r="G34" s="51">
        <v>0.0</v>
      </c>
      <c r="H34" s="51">
        <v>0.0</v>
      </c>
      <c r="I34" s="51">
        <v>0.0</v>
      </c>
      <c r="J34" s="51">
        <v>1.0</v>
      </c>
      <c r="K34" s="51">
        <v>0.0</v>
      </c>
      <c r="L34" s="51">
        <v>0.0</v>
      </c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5.75" customHeight="1">
      <c r="A35" s="50" t="s">
        <v>189</v>
      </c>
      <c r="B35" s="51" t="s">
        <v>127</v>
      </c>
      <c r="C35" s="51">
        <v>5.0</v>
      </c>
      <c r="D35" s="51" t="s">
        <v>128</v>
      </c>
      <c r="E35" s="51">
        <v>0.0</v>
      </c>
      <c r="F35" s="51">
        <f t="shared" si="2"/>
        <v>1</v>
      </c>
      <c r="G35" s="51">
        <v>0.0</v>
      </c>
      <c r="H35" s="51">
        <v>0.0</v>
      </c>
      <c r="I35" s="51">
        <v>0.0</v>
      </c>
      <c r="J35" s="51">
        <v>0.0</v>
      </c>
      <c r="K35" s="51">
        <v>0.0</v>
      </c>
      <c r="L35" s="51">
        <v>1.0</v>
      </c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5.75" customHeight="1">
      <c r="A36" s="50" t="s">
        <v>192</v>
      </c>
      <c r="B36" s="51">
        <v>0.0</v>
      </c>
      <c r="C36" s="51">
        <v>0.0</v>
      </c>
      <c r="D36" s="51"/>
      <c r="E36" s="51">
        <v>0.0</v>
      </c>
      <c r="F36" s="51">
        <f t="shared" si="2"/>
        <v>10</v>
      </c>
      <c r="G36" s="51">
        <v>0.0</v>
      </c>
      <c r="H36" s="51">
        <v>0.0</v>
      </c>
      <c r="I36" s="51">
        <v>2.0</v>
      </c>
      <c r="J36" s="51">
        <v>0.0</v>
      </c>
      <c r="K36" s="51">
        <v>7.0</v>
      </c>
      <c r="L36" s="51">
        <v>1.0</v>
      </c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5.75" customHeight="1">
      <c r="A37" s="101"/>
      <c r="B37" s="102"/>
      <c r="C37" s="102"/>
      <c r="D37" s="102"/>
      <c r="E37" s="102"/>
      <c r="F37" s="102"/>
      <c r="G37" s="102"/>
      <c r="H37" s="102"/>
      <c r="I37" s="103"/>
      <c r="J37" s="102"/>
      <c r="K37" s="102"/>
      <c r="L37" s="101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5.75" customHeight="1">
      <c r="A38" s="104"/>
      <c r="B38" s="105"/>
      <c r="C38" s="105"/>
      <c r="D38" s="105"/>
      <c r="E38" s="105"/>
      <c r="F38" s="106"/>
      <c r="G38" s="106"/>
      <c r="H38" s="105"/>
      <c r="I38" s="105"/>
      <c r="J38" s="105"/>
      <c r="K38" s="105"/>
      <c r="L38" s="107"/>
      <c r="M38" s="3"/>
      <c r="N38" s="3"/>
      <c r="O38" s="3"/>
      <c r="P38" s="48"/>
      <c r="Q38" s="3"/>
      <c r="R38" s="3"/>
      <c r="S38" s="3"/>
      <c r="T38" s="3"/>
      <c r="U38" s="3"/>
      <c r="V38" s="3"/>
    </row>
    <row r="39" ht="15.75" customHeight="1">
      <c r="A39" s="108" t="s">
        <v>68</v>
      </c>
      <c r="B39" s="108" t="s">
        <v>106</v>
      </c>
      <c r="C39" s="108" t="s">
        <v>107</v>
      </c>
      <c r="D39" s="109" t="s">
        <v>108</v>
      </c>
      <c r="E39" s="108" t="s">
        <v>110</v>
      </c>
      <c r="F39" s="108" t="s">
        <v>112</v>
      </c>
      <c r="G39" s="108" t="s">
        <v>113</v>
      </c>
      <c r="H39" s="108" t="s">
        <v>115</v>
      </c>
      <c r="I39" s="108" t="s">
        <v>116</v>
      </c>
      <c r="J39" s="108" t="s">
        <v>193</v>
      </c>
      <c r="K39" s="111" t="s">
        <v>118</v>
      </c>
      <c r="L39" s="108" t="s">
        <v>119</v>
      </c>
      <c r="M39" s="111" t="s">
        <v>120</v>
      </c>
      <c r="N39" s="111" t="s">
        <v>121</v>
      </c>
      <c r="O39" s="108" t="s">
        <v>122</v>
      </c>
      <c r="P39" s="113" t="s">
        <v>124</v>
      </c>
      <c r="R39" s="114"/>
      <c r="S39" s="114"/>
    </row>
    <row r="40" ht="15.75" customHeight="1">
      <c r="A40" s="115" t="s">
        <v>125</v>
      </c>
      <c r="B40" s="120">
        <f t="shared" ref="B40:B53" si="4">SUM(C40,E40)</f>
        <v>76</v>
      </c>
      <c r="C40" s="122">
        <f>SUM(C41:C53)</f>
        <v>21</v>
      </c>
      <c r="D40" s="123">
        <v>76.0</v>
      </c>
      <c r="E40" s="122">
        <f t="shared" ref="E40:I40" si="3">SUM(E41:E53)</f>
        <v>55</v>
      </c>
      <c r="F40" s="122">
        <f t="shared" si="3"/>
        <v>32</v>
      </c>
      <c r="G40" s="122">
        <f t="shared" si="3"/>
        <v>22</v>
      </c>
      <c r="H40" s="122">
        <f t="shared" si="3"/>
        <v>76</v>
      </c>
      <c r="I40" s="122">
        <f t="shared" si="3"/>
        <v>10</v>
      </c>
      <c r="J40" s="122">
        <v>5.0</v>
      </c>
      <c r="K40" s="122">
        <f>SUM(K41:K53)</f>
        <v>14</v>
      </c>
      <c r="L40" s="122">
        <v>16.0</v>
      </c>
      <c r="M40" s="122">
        <f>SUM(M41:M53)</f>
        <v>21.15</v>
      </c>
      <c r="N40" s="122">
        <v>6.0</v>
      </c>
      <c r="O40" s="122">
        <v>4.0</v>
      </c>
      <c r="P40" s="142">
        <v>6.0</v>
      </c>
      <c r="R40" s="103"/>
      <c r="S40" s="103"/>
    </row>
    <row r="41" ht="15.75" customHeight="1">
      <c r="A41" s="50" t="s">
        <v>227</v>
      </c>
      <c r="B41" s="51">
        <f t="shared" si="4"/>
        <v>4</v>
      </c>
      <c r="C41" s="143">
        <v>4.0</v>
      </c>
      <c r="D41" s="24"/>
      <c r="E41" s="144">
        <v>0.0</v>
      </c>
      <c r="F41" s="143">
        <v>4.0</v>
      </c>
      <c r="G41" s="144">
        <v>0.0</v>
      </c>
      <c r="H41" s="146">
        <v>4.0</v>
      </c>
      <c r="I41" s="143">
        <v>3.0</v>
      </c>
      <c r="J41" s="147"/>
      <c r="K41" s="144">
        <v>0.0</v>
      </c>
      <c r="L41" s="144">
        <v>0.0</v>
      </c>
      <c r="M41" s="144">
        <v>0.0</v>
      </c>
      <c r="N41" s="144">
        <v>0.0</v>
      </c>
      <c r="O41" s="144">
        <v>0.0</v>
      </c>
      <c r="P41" s="144">
        <v>0.0</v>
      </c>
      <c r="R41" s="103"/>
      <c r="S41" s="103"/>
    </row>
    <row r="42" ht="15.75" customHeight="1">
      <c r="A42" s="149" t="s">
        <v>97</v>
      </c>
      <c r="B42" s="51">
        <f t="shared" si="4"/>
        <v>1</v>
      </c>
      <c r="C42" s="151">
        <v>1.0</v>
      </c>
      <c r="D42" s="24"/>
      <c r="E42" s="151">
        <v>0.0</v>
      </c>
      <c r="F42" s="151">
        <v>1.0</v>
      </c>
      <c r="G42" s="151">
        <v>0.0</v>
      </c>
      <c r="H42" s="151">
        <v>1.0</v>
      </c>
      <c r="I42" s="151">
        <v>0.0</v>
      </c>
      <c r="J42" s="151">
        <v>0.0</v>
      </c>
      <c r="K42" s="153">
        <v>0.0</v>
      </c>
      <c r="L42" s="151">
        <v>0.0</v>
      </c>
      <c r="M42" s="153">
        <v>0.0</v>
      </c>
      <c r="N42" s="144">
        <v>0.0</v>
      </c>
      <c r="O42" s="144">
        <v>0.0</v>
      </c>
      <c r="P42" s="144">
        <v>0.0</v>
      </c>
      <c r="R42" s="103"/>
      <c r="S42" s="103"/>
    </row>
    <row r="43" ht="15.75" customHeight="1">
      <c r="A43" s="149" t="s">
        <v>101</v>
      </c>
      <c r="B43" s="51">
        <f t="shared" si="4"/>
        <v>0</v>
      </c>
      <c r="C43" s="51">
        <v>0.0</v>
      </c>
      <c r="D43" s="24"/>
      <c r="E43" s="51">
        <v>0.0</v>
      </c>
      <c r="F43" s="51">
        <v>0.0</v>
      </c>
      <c r="G43" s="51">
        <v>0.0</v>
      </c>
      <c r="H43" s="51">
        <v>0.0</v>
      </c>
      <c r="I43" s="51">
        <v>0.0</v>
      </c>
      <c r="J43" s="51">
        <v>0.0</v>
      </c>
      <c r="K43" s="51">
        <v>0.0</v>
      </c>
      <c r="L43" s="51">
        <v>0.0</v>
      </c>
      <c r="M43" s="159">
        <v>0.0</v>
      </c>
      <c r="N43" s="144">
        <v>0.0</v>
      </c>
      <c r="O43" s="144">
        <v>0.0</v>
      </c>
      <c r="P43" s="144">
        <v>0.0</v>
      </c>
      <c r="R43" s="103"/>
      <c r="S43" s="103"/>
    </row>
    <row r="44" ht="15.75" customHeight="1">
      <c r="A44" s="149" t="s">
        <v>126</v>
      </c>
      <c r="B44" s="51">
        <f t="shared" si="4"/>
        <v>4</v>
      </c>
      <c r="C44" s="51">
        <v>0.0</v>
      </c>
      <c r="D44" s="24"/>
      <c r="E44" s="51">
        <v>4.0</v>
      </c>
      <c r="F44" s="51">
        <v>3.0</v>
      </c>
      <c r="G44" s="51">
        <v>1.0</v>
      </c>
      <c r="H44" s="51">
        <v>5.0</v>
      </c>
      <c r="I44" s="51">
        <v>1.0</v>
      </c>
      <c r="J44" s="51">
        <v>0.0</v>
      </c>
      <c r="K44" s="51">
        <v>0.0</v>
      </c>
      <c r="L44" s="51">
        <v>1.0</v>
      </c>
      <c r="M44" s="159">
        <v>0.0</v>
      </c>
      <c r="N44" s="144">
        <v>0.0</v>
      </c>
      <c r="O44" s="144">
        <v>0.0</v>
      </c>
      <c r="P44" s="144">
        <v>0.0</v>
      </c>
      <c r="R44" s="103"/>
      <c r="S44" s="103"/>
    </row>
    <row r="45" ht="15.75" customHeight="1">
      <c r="A45" s="149" t="s">
        <v>76</v>
      </c>
      <c r="B45" s="51">
        <f t="shared" si="4"/>
        <v>9</v>
      </c>
      <c r="C45" s="51">
        <v>1.0</v>
      </c>
      <c r="D45" s="24"/>
      <c r="E45" s="51">
        <v>8.0</v>
      </c>
      <c r="F45" s="51">
        <v>1.0</v>
      </c>
      <c r="G45" s="51">
        <v>4.0</v>
      </c>
      <c r="H45" s="51">
        <v>9.0</v>
      </c>
      <c r="I45" s="51">
        <v>0.0</v>
      </c>
      <c r="J45" s="51">
        <v>0.0</v>
      </c>
      <c r="K45" s="159">
        <v>0.0</v>
      </c>
      <c r="L45" s="51">
        <v>0.0</v>
      </c>
      <c r="M45" s="159">
        <v>0.0</v>
      </c>
      <c r="N45" s="144">
        <v>0.0</v>
      </c>
      <c r="O45" s="144">
        <v>0.0</v>
      </c>
      <c r="P45" s="144">
        <v>0.0</v>
      </c>
      <c r="R45" s="103"/>
      <c r="S45" s="103"/>
    </row>
    <row r="46" ht="15.75" customHeight="1">
      <c r="A46" s="149" t="s">
        <v>134</v>
      </c>
      <c r="B46" s="51">
        <f t="shared" si="4"/>
        <v>10</v>
      </c>
      <c r="C46" s="51">
        <v>2.0</v>
      </c>
      <c r="D46" s="24"/>
      <c r="E46" s="51">
        <v>8.0</v>
      </c>
      <c r="F46" s="51">
        <v>10.0</v>
      </c>
      <c r="G46" s="51">
        <v>0.0</v>
      </c>
      <c r="H46" s="51">
        <v>10.0</v>
      </c>
      <c r="I46" s="51">
        <v>1.0</v>
      </c>
      <c r="J46" s="51">
        <v>2.0</v>
      </c>
      <c r="K46" s="185">
        <v>4.0</v>
      </c>
      <c r="L46" s="51">
        <v>8.0</v>
      </c>
      <c r="M46" s="185">
        <v>15.5</v>
      </c>
      <c r="N46" s="51">
        <v>2.0</v>
      </c>
      <c r="O46" s="51">
        <v>2.0</v>
      </c>
      <c r="P46" s="51">
        <v>4.0</v>
      </c>
      <c r="R46" s="103"/>
      <c r="S46" s="103"/>
    </row>
    <row r="47" ht="15.75" customHeight="1">
      <c r="A47" s="149" t="s">
        <v>147</v>
      </c>
      <c r="B47" s="51">
        <f t="shared" si="4"/>
        <v>6</v>
      </c>
      <c r="C47" s="187">
        <v>1.0</v>
      </c>
      <c r="D47" s="24"/>
      <c r="E47" s="51">
        <v>5.0</v>
      </c>
      <c r="F47" s="51">
        <v>1.0</v>
      </c>
      <c r="G47" s="51">
        <v>2.0</v>
      </c>
      <c r="H47" s="51">
        <v>5.0</v>
      </c>
      <c r="I47" s="51">
        <v>1.0</v>
      </c>
      <c r="J47" s="51">
        <v>3.0</v>
      </c>
      <c r="K47" s="51">
        <v>4.5</v>
      </c>
      <c r="L47" s="188">
        <v>4.0</v>
      </c>
      <c r="M47" s="185" t="s">
        <v>299</v>
      </c>
      <c r="N47" s="51">
        <v>3.0</v>
      </c>
      <c r="O47" s="51">
        <v>1.0</v>
      </c>
      <c r="P47" s="51">
        <v>1.0</v>
      </c>
      <c r="R47" s="103"/>
      <c r="S47" s="103"/>
    </row>
    <row r="48" ht="15.75" customHeight="1">
      <c r="A48" s="149" t="s">
        <v>155</v>
      </c>
      <c r="B48" s="51">
        <f t="shared" si="4"/>
        <v>12</v>
      </c>
      <c r="C48" s="187">
        <v>0.0</v>
      </c>
      <c r="D48" s="24"/>
      <c r="E48" s="51">
        <v>12.0</v>
      </c>
      <c r="F48" s="51">
        <v>0.0</v>
      </c>
      <c r="G48" s="51">
        <v>6.0</v>
      </c>
      <c r="H48" s="51">
        <v>12.0</v>
      </c>
      <c r="I48" s="51">
        <v>0.0</v>
      </c>
      <c r="J48" s="51">
        <v>0.0</v>
      </c>
      <c r="K48" s="159">
        <v>0.0</v>
      </c>
      <c r="L48" s="51">
        <v>0.0</v>
      </c>
      <c r="M48" s="159">
        <v>0.0</v>
      </c>
      <c r="N48" s="51">
        <v>0.0</v>
      </c>
      <c r="O48" s="51">
        <v>0.0</v>
      </c>
      <c r="P48" s="51">
        <v>0.0</v>
      </c>
      <c r="R48" s="103"/>
      <c r="S48" s="103"/>
    </row>
    <row r="49" ht="15.75" customHeight="1">
      <c r="A49" s="149" t="s">
        <v>166</v>
      </c>
      <c r="B49" s="51">
        <f t="shared" si="4"/>
        <v>12</v>
      </c>
      <c r="C49" s="187">
        <v>0.0</v>
      </c>
      <c r="D49" s="24"/>
      <c r="E49" s="51">
        <v>12.0</v>
      </c>
      <c r="F49" s="51">
        <v>0.0</v>
      </c>
      <c r="G49" s="51">
        <v>6.0</v>
      </c>
      <c r="H49" s="51">
        <v>12.0</v>
      </c>
      <c r="I49" s="51">
        <v>0.0</v>
      </c>
      <c r="J49" s="51">
        <v>0.0</v>
      </c>
      <c r="K49" s="159">
        <v>0.0</v>
      </c>
      <c r="L49" s="51">
        <v>0.0</v>
      </c>
      <c r="M49" s="159">
        <v>0.0</v>
      </c>
      <c r="N49" s="51">
        <v>0.0</v>
      </c>
      <c r="O49" s="51">
        <v>0.0</v>
      </c>
      <c r="P49" s="51">
        <v>0.0</v>
      </c>
      <c r="R49" s="103"/>
      <c r="S49" s="103"/>
    </row>
    <row r="50" ht="15.75" customHeight="1">
      <c r="A50" s="190" t="s">
        <v>176</v>
      </c>
      <c r="B50" s="51">
        <f t="shared" si="4"/>
        <v>6</v>
      </c>
      <c r="C50" s="187">
        <v>2.0</v>
      </c>
      <c r="D50" s="24"/>
      <c r="E50" s="51">
        <v>4.0</v>
      </c>
      <c r="F50" s="51">
        <v>2.0</v>
      </c>
      <c r="G50" s="51">
        <v>2.0</v>
      </c>
      <c r="H50" s="51">
        <v>6.0</v>
      </c>
      <c r="I50" s="51">
        <v>2.0</v>
      </c>
      <c r="J50" s="51">
        <v>0.0</v>
      </c>
      <c r="K50" s="159">
        <v>0.0</v>
      </c>
      <c r="L50" s="51">
        <v>3.0</v>
      </c>
      <c r="M50" s="51">
        <v>5.65</v>
      </c>
      <c r="N50" s="51">
        <v>1.0</v>
      </c>
      <c r="O50" s="51">
        <v>1.0</v>
      </c>
      <c r="P50" s="51">
        <v>1.0</v>
      </c>
      <c r="R50" s="103"/>
      <c r="S50" s="103"/>
    </row>
    <row r="51" ht="15.75" customHeight="1">
      <c r="A51" s="191" t="s">
        <v>183</v>
      </c>
      <c r="B51" s="51">
        <f t="shared" si="4"/>
        <v>1</v>
      </c>
      <c r="C51" s="51">
        <v>1.0</v>
      </c>
      <c r="D51" s="24"/>
      <c r="E51" s="51">
        <v>0.0</v>
      </c>
      <c r="F51" s="51">
        <v>1.0</v>
      </c>
      <c r="G51" s="51">
        <v>0.0</v>
      </c>
      <c r="H51" s="51">
        <v>1.0</v>
      </c>
      <c r="I51" s="51">
        <v>0.0</v>
      </c>
      <c r="J51" s="51">
        <v>0.0</v>
      </c>
      <c r="K51" s="159">
        <v>0.0</v>
      </c>
      <c r="L51" s="51">
        <v>0.0</v>
      </c>
      <c r="M51" s="159">
        <v>0.0</v>
      </c>
      <c r="N51" s="51">
        <v>0.0</v>
      </c>
      <c r="O51" s="51">
        <v>0.0</v>
      </c>
      <c r="P51" s="51">
        <v>0.0</v>
      </c>
      <c r="R51" s="103"/>
      <c r="S51" s="103"/>
    </row>
    <row r="52" ht="15.75" customHeight="1">
      <c r="A52" s="149" t="s">
        <v>189</v>
      </c>
      <c r="B52" s="51">
        <f t="shared" si="4"/>
        <v>1</v>
      </c>
      <c r="C52" s="51">
        <v>1.0</v>
      </c>
      <c r="D52" s="24"/>
      <c r="E52" s="51">
        <v>0.0</v>
      </c>
      <c r="F52" s="51">
        <v>1.0</v>
      </c>
      <c r="G52" s="51">
        <v>0.0</v>
      </c>
      <c r="H52" s="51">
        <v>1.0</v>
      </c>
      <c r="I52" s="51">
        <v>0.0</v>
      </c>
      <c r="J52" s="51">
        <v>0.0</v>
      </c>
      <c r="K52" s="159">
        <v>0.0</v>
      </c>
      <c r="L52" s="51">
        <v>0.0</v>
      </c>
      <c r="M52" s="159">
        <v>0.0</v>
      </c>
      <c r="N52" s="51">
        <v>0.0</v>
      </c>
      <c r="O52" s="51">
        <v>0.0</v>
      </c>
      <c r="P52" s="51">
        <v>0.0</v>
      </c>
      <c r="R52" s="103"/>
      <c r="S52" s="103"/>
    </row>
    <row r="53" ht="15.75" customHeight="1">
      <c r="A53" s="149" t="s">
        <v>192</v>
      </c>
      <c r="B53" s="51">
        <f t="shared" si="4"/>
        <v>10</v>
      </c>
      <c r="C53" s="51">
        <v>8.0</v>
      </c>
      <c r="D53" s="31"/>
      <c r="E53" s="51">
        <v>2.0</v>
      </c>
      <c r="F53" s="51">
        <v>8.0</v>
      </c>
      <c r="G53" s="51">
        <v>1.0</v>
      </c>
      <c r="H53" s="51">
        <v>10.0</v>
      </c>
      <c r="I53" s="51">
        <v>2.0</v>
      </c>
      <c r="J53" s="51">
        <v>3.0</v>
      </c>
      <c r="K53" s="185">
        <v>5.5</v>
      </c>
      <c r="L53" s="51">
        <v>0.0</v>
      </c>
      <c r="M53" s="159">
        <v>0.0</v>
      </c>
      <c r="N53" s="51">
        <v>1.0</v>
      </c>
      <c r="O53" s="51">
        <v>0.0</v>
      </c>
      <c r="P53" s="51">
        <v>0.0</v>
      </c>
      <c r="R53" s="103"/>
      <c r="S53" s="103"/>
    </row>
    <row r="54" ht="15.75" customHeight="1">
      <c r="A54" s="200"/>
      <c r="B54" s="200"/>
      <c r="C54" s="200"/>
      <c r="D54" s="200"/>
      <c r="E54" s="200"/>
      <c r="F54" s="200"/>
      <c r="G54" s="200"/>
      <c r="H54" s="200"/>
      <c r="I54" s="200"/>
      <c r="J54" s="200"/>
      <c r="K54" s="201"/>
      <c r="L54" s="201"/>
      <c r="M54" s="200"/>
      <c r="N54" s="200"/>
      <c r="O54" s="200"/>
      <c r="P54" s="200"/>
      <c r="Q54" s="200"/>
      <c r="R54" s="200"/>
      <c r="S54" s="200"/>
      <c r="T54" s="200"/>
      <c r="U54" s="200"/>
      <c r="V54" s="3"/>
    </row>
    <row r="55" ht="15.75" customHeight="1">
      <c r="A55" s="203"/>
      <c r="B55" s="204"/>
      <c r="C55" s="203"/>
      <c r="D55" s="206"/>
      <c r="E55" s="204"/>
      <c r="F55" s="204"/>
      <c r="G55" s="204"/>
      <c r="H55" s="204"/>
      <c r="I55" s="204"/>
      <c r="J55" s="204"/>
      <c r="K55" s="201"/>
      <c r="L55" s="201"/>
      <c r="M55" s="200"/>
      <c r="N55" s="200"/>
      <c r="O55" s="200"/>
      <c r="P55" s="200"/>
      <c r="Q55" s="200"/>
      <c r="R55" s="200"/>
      <c r="S55" s="200"/>
      <c r="T55" s="200"/>
      <c r="U55" s="200"/>
      <c r="V55" s="3"/>
    </row>
    <row r="56" ht="15.75" customHeight="1">
      <c r="A56" s="133"/>
      <c r="B56" s="133"/>
      <c r="C56" s="133"/>
      <c r="D56" s="133"/>
      <c r="E56" s="133"/>
      <c r="F56" s="133"/>
      <c r="G56" s="131"/>
      <c r="H56" s="131"/>
      <c r="I56" s="131"/>
      <c r="J56" s="131"/>
      <c r="K56" s="201"/>
      <c r="L56" s="201"/>
      <c r="M56" s="200"/>
      <c r="N56" s="200"/>
      <c r="O56" s="200"/>
      <c r="P56" s="200"/>
      <c r="Q56" s="200"/>
      <c r="R56" s="200"/>
      <c r="S56" s="200"/>
      <c r="T56" s="200"/>
      <c r="U56" s="200"/>
      <c r="V56" s="3"/>
    </row>
    <row r="57" ht="15.75" customHeight="1">
      <c r="A57" s="134" t="s">
        <v>198</v>
      </c>
      <c r="B57" s="134" t="s">
        <v>199</v>
      </c>
      <c r="C57" s="134" t="s">
        <v>200</v>
      </c>
      <c r="D57" s="134" t="s">
        <v>201</v>
      </c>
      <c r="E57" s="134" t="s">
        <v>202</v>
      </c>
      <c r="F57" s="134" t="s">
        <v>203</v>
      </c>
      <c r="G57" s="135" t="s">
        <v>204</v>
      </c>
      <c r="H57" s="135" t="s">
        <v>205</v>
      </c>
      <c r="I57" s="135" t="s">
        <v>206</v>
      </c>
      <c r="J57" s="135" t="s">
        <v>207</v>
      </c>
      <c r="K57" s="201"/>
      <c r="L57" s="207" t="s">
        <v>382</v>
      </c>
      <c r="M57" s="208" t="s">
        <v>208</v>
      </c>
      <c r="N57" s="208" t="s">
        <v>210</v>
      </c>
      <c r="O57" s="208" t="s">
        <v>212</v>
      </c>
      <c r="P57" s="208" t="s">
        <v>248</v>
      </c>
      <c r="Q57" s="208" t="s">
        <v>249</v>
      </c>
      <c r="R57" s="213"/>
      <c r="S57" s="213"/>
      <c r="T57" s="213"/>
      <c r="V57" s="3"/>
    </row>
    <row r="58" ht="15.75" customHeight="1">
      <c r="A58" s="136" t="s">
        <v>208</v>
      </c>
      <c r="B58" s="136" t="s">
        <v>210</v>
      </c>
      <c r="C58" s="136" t="s">
        <v>212</v>
      </c>
      <c r="D58" s="136" t="s">
        <v>213</v>
      </c>
      <c r="E58" s="136" t="s">
        <v>214</v>
      </c>
      <c r="F58" s="136" t="s">
        <v>215</v>
      </c>
      <c r="G58" s="137" t="s">
        <v>216</v>
      </c>
      <c r="H58" s="137" t="s">
        <v>217</v>
      </c>
      <c r="I58" s="137" t="s">
        <v>218</v>
      </c>
      <c r="J58" s="137" t="s">
        <v>219</v>
      </c>
      <c r="K58" s="201"/>
      <c r="L58" s="220">
        <v>1.0</v>
      </c>
      <c r="M58" s="222" t="s">
        <v>381</v>
      </c>
      <c r="N58" s="222">
        <v>3.0</v>
      </c>
      <c r="O58" s="222" t="s">
        <v>221</v>
      </c>
      <c r="P58" s="222" t="s">
        <v>379</v>
      </c>
      <c r="Q58" s="222" t="s">
        <v>400</v>
      </c>
      <c r="R58" s="223"/>
      <c r="S58" s="223"/>
      <c r="T58" s="200"/>
      <c r="U58" s="200"/>
      <c r="V58" s="3"/>
    </row>
    <row r="59" ht="15.75" customHeight="1">
      <c r="A59" s="138" t="s">
        <v>220</v>
      </c>
      <c r="B59" s="138">
        <v>4.0</v>
      </c>
      <c r="C59" s="138" t="s">
        <v>221</v>
      </c>
      <c r="D59" s="138" t="s">
        <v>222</v>
      </c>
      <c r="E59" s="140" t="s">
        <v>223</v>
      </c>
      <c r="F59" s="140" t="s">
        <v>408</v>
      </c>
      <c r="G59" s="148" t="s">
        <v>226</v>
      </c>
      <c r="H59" s="148" t="s">
        <v>230</v>
      </c>
      <c r="I59" s="152">
        <v>1000.0</v>
      </c>
      <c r="J59" s="154">
        <f>I59*B59</f>
        <v>4000</v>
      </c>
      <c r="K59" s="201"/>
      <c r="L59" s="231">
        <v>2.0</v>
      </c>
      <c r="M59" s="233" t="s">
        <v>381</v>
      </c>
      <c r="N59" s="235">
        <v>4.0</v>
      </c>
      <c r="O59" s="235" t="s">
        <v>221</v>
      </c>
      <c r="P59" s="235" t="s">
        <v>379</v>
      </c>
      <c r="Q59" s="235" t="s">
        <v>400</v>
      </c>
      <c r="R59" s="72"/>
      <c r="S59" s="237"/>
      <c r="T59" s="237"/>
      <c r="U59" s="200"/>
      <c r="V59" s="3"/>
    </row>
    <row r="60" ht="15.75" customHeight="1">
      <c r="A60" s="157" t="s">
        <v>231</v>
      </c>
      <c r="B60" s="160"/>
      <c r="C60" s="160"/>
      <c r="D60" s="160"/>
      <c r="E60" s="161"/>
      <c r="F60" s="161"/>
      <c r="G60" s="161"/>
      <c r="H60" s="161"/>
      <c r="I60" s="163"/>
      <c r="J60" s="161"/>
      <c r="K60" s="201"/>
      <c r="L60" s="31"/>
      <c r="M60" s="245"/>
      <c r="N60" s="246">
        <v>4.0</v>
      </c>
      <c r="O60" s="246" t="s">
        <v>221</v>
      </c>
      <c r="P60" s="246" t="s">
        <v>383</v>
      </c>
      <c r="Q60" s="246" t="s">
        <v>426</v>
      </c>
      <c r="R60" s="248"/>
      <c r="S60" s="249"/>
      <c r="T60" s="251"/>
      <c r="U60" s="200"/>
      <c r="V60" s="3"/>
    </row>
    <row r="61" ht="15.75" customHeight="1">
      <c r="A61" s="166" t="s">
        <v>208</v>
      </c>
      <c r="B61" s="166" t="s">
        <v>210</v>
      </c>
      <c r="C61" s="166" t="s">
        <v>212</v>
      </c>
      <c r="D61" s="166" t="s">
        <v>248</v>
      </c>
      <c r="E61" s="166" t="s">
        <v>249</v>
      </c>
      <c r="F61" s="167"/>
      <c r="G61" s="169" t="s">
        <v>216</v>
      </c>
      <c r="H61" s="169" t="s">
        <v>217</v>
      </c>
      <c r="I61" s="169" t="s">
        <v>218</v>
      </c>
      <c r="J61" s="169" t="s">
        <v>219</v>
      </c>
      <c r="K61" s="201"/>
      <c r="L61" s="220">
        <v>3.0</v>
      </c>
      <c r="M61" s="261" t="s">
        <v>381</v>
      </c>
      <c r="N61" s="262">
        <v>3.0</v>
      </c>
      <c r="O61" s="261" t="s">
        <v>221</v>
      </c>
      <c r="P61" s="261" t="s">
        <v>379</v>
      </c>
      <c r="Q61" s="261" t="s">
        <v>400</v>
      </c>
      <c r="R61" s="200"/>
      <c r="S61" s="200"/>
      <c r="T61" s="200"/>
      <c r="U61" s="200"/>
      <c r="V61" s="3"/>
    </row>
    <row r="62" ht="15.75" customHeight="1">
      <c r="A62" s="138" t="s">
        <v>258</v>
      </c>
      <c r="B62" s="138">
        <v>1.0</v>
      </c>
      <c r="C62" s="138" t="s">
        <v>259</v>
      </c>
      <c r="D62" s="138" t="s">
        <v>439</v>
      </c>
      <c r="E62" s="138" t="s">
        <v>441</v>
      </c>
      <c r="F62" s="172"/>
      <c r="G62" s="173" t="s">
        <v>216</v>
      </c>
      <c r="H62" s="148" t="s">
        <v>216</v>
      </c>
      <c r="I62" s="175">
        <v>220.0</v>
      </c>
      <c r="J62" s="154">
        <f t="shared" ref="J62:J66" si="5">I62*B62</f>
        <v>220</v>
      </c>
      <c r="K62" s="201"/>
      <c r="L62" s="220">
        <v>4.0</v>
      </c>
      <c r="M62" s="261" t="s">
        <v>381</v>
      </c>
      <c r="N62" s="262">
        <v>4.0</v>
      </c>
      <c r="O62" s="261" t="s">
        <v>221</v>
      </c>
      <c r="P62" s="261" t="s">
        <v>379</v>
      </c>
      <c r="Q62" s="261" t="s">
        <v>400</v>
      </c>
      <c r="R62" s="200"/>
      <c r="S62" s="200"/>
      <c r="T62" s="200"/>
      <c r="U62" s="200"/>
      <c r="V62" s="3"/>
    </row>
    <row r="63" ht="15.75" customHeight="1">
      <c r="A63" s="138" t="s">
        <v>292</v>
      </c>
      <c r="B63" s="138">
        <v>3.0</v>
      </c>
      <c r="C63" s="138" t="s">
        <v>221</v>
      </c>
      <c r="D63" s="138" t="s">
        <v>464</v>
      </c>
      <c r="E63" s="138" t="s">
        <v>295</v>
      </c>
      <c r="F63" s="172"/>
      <c r="G63" s="148" t="s">
        <v>216</v>
      </c>
      <c r="H63" s="148" t="s">
        <v>216</v>
      </c>
      <c r="I63" s="175">
        <v>80.0</v>
      </c>
      <c r="J63" s="154">
        <f t="shared" si="5"/>
        <v>240</v>
      </c>
      <c r="K63" s="201"/>
      <c r="L63" s="220" t="s">
        <v>475</v>
      </c>
      <c r="M63" s="261" t="s">
        <v>381</v>
      </c>
      <c r="N63" s="262">
        <v>1.0</v>
      </c>
      <c r="O63" s="261" t="s">
        <v>221</v>
      </c>
      <c r="P63" s="261" t="s">
        <v>379</v>
      </c>
      <c r="Q63" s="261" t="s">
        <v>400</v>
      </c>
      <c r="R63" s="200"/>
      <c r="S63" s="200"/>
      <c r="T63" s="200"/>
      <c r="U63" s="200"/>
      <c r="V63" s="3"/>
    </row>
    <row r="64" ht="15.75" customHeight="1">
      <c r="A64" s="138" t="s">
        <v>308</v>
      </c>
      <c r="B64" s="138">
        <v>10.0</v>
      </c>
      <c r="C64" s="138" t="s">
        <v>221</v>
      </c>
      <c r="D64" s="138" t="s">
        <v>311</v>
      </c>
      <c r="E64" s="138" t="s">
        <v>313</v>
      </c>
      <c r="F64" s="172"/>
      <c r="G64" s="148" t="s">
        <v>216</v>
      </c>
      <c r="H64" s="148" t="s">
        <v>216</v>
      </c>
      <c r="I64" s="175">
        <v>40.0</v>
      </c>
      <c r="J64" s="154">
        <f t="shared" si="5"/>
        <v>400</v>
      </c>
      <c r="K64" s="201"/>
      <c r="L64" s="201"/>
      <c r="M64" s="200"/>
      <c r="N64" s="200">
        <f>SUM(N58,N59,N61,N62,N63)</f>
        <v>15</v>
      </c>
      <c r="O64" s="200"/>
      <c r="P64" s="200"/>
      <c r="Q64" s="200"/>
      <c r="R64" s="200"/>
      <c r="S64" s="200"/>
      <c r="T64" s="200"/>
      <c r="U64" s="200"/>
      <c r="V64" s="3"/>
    </row>
    <row r="65" ht="15.75" customHeight="1">
      <c r="A65" s="138" t="s">
        <v>332</v>
      </c>
      <c r="B65" s="138">
        <v>1.0</v>
      </c>
      <c r="C65" s="138" t="s">
        <v>259</v>
      </c>
      <c r="D65" s="138" t="s">
        <v>333</v>
      </c>
      <c r="E65" s="138" t="s">
        <v>334</v>
      </c>
      <c r="F65" s="172"/>
      <c r="G65" s="148" t="s">
        <v>216</v>
      </c>
      <c r="H65" s="172"/>
      <c r="I65" s="175">
        <v>120.0</v>
      </c>
      <c r="J65" s="154">
        <f t="shared" si="5"/>
        <v>120</v>
      </c>
      <c r="K65" s="201"/>
      <c r="L65" s="201"/>
      <c r="M65" s="200"/>
      <c r="N65" s="200"/>
      <c r="O65" s="200"/>
      <c r="P65" s="200"/>
      <c r="Q65" s="200"/>
      <c r="R65" s="200"/>
      <c r="S65" s="200"/>
      <c r="T65" s="200"/>
      <c r="U65" s="200"/>
      <c r="V65" s="3"/>
    </row>
    <row r="66" ht="15.75" customHeight="1">
      <c r="A66" s="138" t="s">
        <v>344</v>
      </c>
      <c r="B66" s="138">
        <v>1.0</v>
      </c>
      <c r="C66" s="138" t="s">
        <v>259</v>
      </c>
      <c r="D66" s="138" t="s">
        <v>346</v>
      </c>
      <c r="E66" s="138" t="s">
        <v>349</v>
      </c>
      <c r="F66" s="172"/>
      <c r="G66" s="148" t="s">
        <v>216</v>
      </c>
      <c r="H66" s="148" t="s">
        <v>216</v>
      </c>
      <c r="I66" s="175">
        <v>5000.0</v>
      </c>
      <c r="J66" s="154">
        <f t="shared" si="5"/>
        <v>5000</v>
      </c>
      <c r="K66" s="201"/>
      <c r="L66" s="201"/>
      <c r="M66" s="200"/>
      <c r="N66" s="200"/>
      <c r="O66" s="200"/>
      <c r="P66" s="200"/>
      <c r="Q66" s="200"/>
      <c r="R66" s="200"/>
      <c r="S66" s="200"/>
      <c r="T66" s="200"/>
      <c r="U66" s="200"/>
      <c r="V66" s="3"/>
    </row>
    <row r="67" ht="15.75" customHeight="1">
      <c r="A67" s="192" t="s">
        <v>361</v>
      </c>
      <c r="B67" s="194"/>
      <c r="C67" s="194"/>
      <c r="D67" s="194"/>
      <c r="E67" s="194"/>
      <c r="F67" s="194"/>
      <c r="G67" s="194"/>
      <c r="H67" s="194"/>
      <c r="I67" s="196"/>
      <c r="J67" s="194"/>
      <c r="K67" s="201"/>
      <c r="L67" s="201"/>
      <c r="M67" s="200"/>
      <c r="N67" s="200"/>
      <c r="O67" s="200"/>
      <c r="P67" s="200"/>
      <c r="Q67" s="200"/>
      <c r="R67" s="200"/>
      <c r="S67" s="200"/>
      <c r="T67" s="200"/>
      <c r="U67" s="200"/>
      <c r="V67" s="3"/>
    </row>
    <row r="68" ht="15.75" customHeight="1">
      <c r="A68" s="197" t="s">
        <v>208</v>
      </c>
      <c r="B68" s="197" t="s">
        <v>210</v>
      </c>
      <c r="C68" s="197" t="s">
        <v>212</v>
      </c>
      <c r="D68" s="197" t="s">
        <v>248</v>
      </c>
      <c r="E68" s="197" t="s">
        <v>249</v>
      </c>
      <c r="F68" s="198"/>
      <c r="G68" s="199" t="s">
        <v>216</v>
      </c>
      <c r="H68" s="199" t="s">
        <v>217</v>
      </c>
      <c r="I68" s="199" t="s">
        <v>218</v>
      </c>
      <c r="J68" s="199" t="s">
        <v>219</v>
      </c>
      <c r="K68" s="201"/>
      <c r="L68" s="201"/>
      <c r="M68" s="200"/>
      <c r="N68" s="200"/>
      <c r="O68" s="200"/>
      <c r="P68" s="200"/>
      <c r="Q68" s="200"/>
      <c r="R68" s="200"/>
      <c r="S68" s="200"/>
      <c r="T68" s="200"/>
      <c r="U68" s="200"/>
      <c r="V68" s="3"/>
    </row>
    <row r="69" ht="15.75" customHeight="1">
      <c r="A69" s="202" t="s">
        <v>378</v>
      </c>
      <c r="B69" s="202">
        <v>76.0</v>
      </c>
      <c r="C69" s="202" t="s">
        <v>221</v>
      </c>
      <c r="D69" s="202" t="s">
        <v>379</v>
      </c>
      <c r="E69" s="202" t="s">
        <v>380</v>
      </c>
      <c r="F69" s="172"/>
      <c r="G69" s="148" t="s">
        <v>216</v>
      </c>
      <c r="H69" s="148" t="s">
        <v>216</v>
      </c>
      <c r="I69" s="152">
        <v>1.95</v>
      </c>
      <c r="J69" s="154">
        <f t="shared" ref="J69:J71" si="6">I69*B69</f>
        <v>148.2</v>
      </c>
      <c r="K69" s="201"/>
      <c r="L69" s="201"/>
      <c r="M69" s="200"/>
      <c r="N69" s="200"/>
      <c r="O69" s="200"/>
      <c r="P69" s="200"/>
      <c r="Q69" s="200"/>
      <c r="R69" s="200"/>
      <c r="S69" s="200"/>
      <c r="T69" s="200"/>
      <c r="U69" s="301"/>
      <c r="V69" s="3"/>
    </row>
    <row r="70" ht="15.75" customHeight="1">
      <c r="A70" s="202" t="s">
        <v>381</v>
      </c>
      <c r="B70" s="202">
        <v>15.0</v>
      </c>
      <c r="C70" s="202" t="s">
        <v>221</v>
      </c>
      <c r="D70" s="202" t="s">
        <v>379</v>
      </c>
      <c r="E70" s="202" t="s">
        <v>519</v>
      </c>
      <c r="F70" s="210" t="s">
        <v>386</v>
      </c>
      <c r="G70" s="303" t="s">
        <v>216</v>
      </c>
      <c r="H70" s="148" t="s">
        <v>216</v>
      </c>
      <c r="I70" s="152">
        <v>7.49</v>
      </c>
      <c r="J70" s="154">
        <f t="shared" si="6"/>
        <v>112.35</v>
      </c>
      <c r="N70" s="200"/>
      <c r="O70" s="200"/>
      <c r="P70" s="200"/>
      <c r="Q70" s="200"/>
      <c r="R70" s="200"/>
      <c r="S70" s="200"/>
      <c r="T70" s="200"/>
      <c r="U70" s="301"/>
      <c r="V70" s="3"/>
    </row>
    <row r="71" ht="15.75" customHeight="1">
      <c r="A71" s="307"/>
      <c r="B71" s="307">
        <v>4.0</v>
      </c>
      <c r="C71" s="202" t="s">
        <v>221</v>
      </c>
      <c r="D71" s="307" t="s">
        <v>11</v>
      </c>
      <c r="E71" s="307" t="s">
        <v>530</v>
      </c>
      <c r="F71" s="210"/>
      <c r="G71" s="148" t="s">
        <v>216</v>
      </c>
      <c r="H71" s="148" t="s">
        <v>216</v>
      </c>
      <c r="I71" s="152">
        <v>1.95</v>
      </c>
      <c r="J71" s="154">
        <f t="shared" si="6"/>
        <v>7.8</v>
      </c>
      <c r="N71" s="200"/>
      <c r="O71" s="200"/>
      <c r="P71" s="200"/>
      <c r="Q71" s="200"/>
      <c r="R71" s="200"/>
      <c r="S71" s="200"/>
      <c r="T71" s="200"/>
      <c r="U71" s="301"/>
      <c r="V71" s="3"/>
    </row>
    <row r="72" ht="15.75" customHeight="1">
      <c r="A72" s="311"/>
      <c r="B72" s="311"/>
      <c r="C72" s="312"/>
      <c r="D72" s="311"/>
      <c r="E72" s="311"/>
      <c r="F72" s="314"/>
      <c r="G72" s="315"/>
      <c r="H72" s="315"/>
      <c r="I72" s="230" t="s">
        <v>411</v>
      </c>
      <c r="J72" s="232">
        <f>SUM(J59,J62:J66,J69:J70)</f>
        <v>10240.55</v>
      </c>
      <c r="L72" s="316"/>
      <c r="M72" s="316"/>
      <c r="N72" s="318"/>
      <c r="O72" s="318"/>
      <c r="Q72" s="200"/>
      <c r="R72" s="200"/>
      <c r="S72" s="200"/>
      <c r="T72" s="200"/>
      <c r="U72" s="301"/>
      <c r="V72" s="3"/>
    </row>
    <row r="73" ht="15.75" customHeight="1">
      <c r="A73" s="203"/>
      <c r="B73" s="204"/>
      <c r="C73" s="203"/>
      <c r="D73" s="206"/>
      <c r="E73" s="204"/>
      <c r="F73" s="204"/>
      <c r="G73" s="204"/>
      <c r="H73" s="204"/>
      <c r="I73" s="204"/>
      <c r="J73" s="204"/>
      <c r="K73" s="251"/>
      <c r="L73" s="316"/>
      <c r="M73" s="316"/>
      <c r="N73" s="318"/>
      <c r="O73" s="318"/>
      <c r="Q73" s="200"/>
      <c r="R73" s="200"/>
      <c r="S73" s="200"/>
      <c r="T73" s="200"/>
      <c r="U73" s="301"/>
      <c r="V73" s="3"/>
    </row>
    <row r="74" ht="15.75" customHeight="1">
      <c r="A74" s="133"/>
      <c r="B74" s="133"/>
      <c r="C74" s="133" t="s">
        <v>539</v>
      </c>
      <c r="D74" s="133"/>
      <c r="E74" s="133"/>
      <c r="F74" s="133"/>
      <c r="G74" s="131"/>
      <c r="H74" s="131"/>
      <c r="I74" s="131"/>
      <c r="J74" s="131"/>
      <c r="K74" s="251"/>
      <c r="L74" s="316"/>
      <c r="M74" s="316"/>
      <c r="N74" s="318"/>
      <c r="O74" s="318"/>
      <c r="Q74" s="200"/>
      <c r="R74" s="200"/>
      <c r="S74" s="200"/>
      <c r="T74" s="200"/>
      <c r="U74" s="301"/>
      <c r="V74" s="3"/>
    </row>
    <row r="75" ht="15.75" customHeight="1">
      <c r="A75" s="134" t="s">
        <v>198</v>
      </c>
      <c r="B75" s="134" t="s">
        <v>199</v>
      </c>
      <c r="C75" s="134" t="s">
        <v>200</v>
      </c>
      <c r="D75" s="134" t="s">
        <v>201</v>
      </c>
      <c r="E75" s="134" t="s">
        <v>202</v>
      </c>
      <c r="F75" s="134" t="s">
        <v>203</v>
      </c>
      <c r="G75" s="135" t="s">
        <v>204</v>
      </c>
      <c r="H75" s="135" t="s">
        <v>205</v>
      </c>
      <c r="I75" s="135" t="s">
        <v>206</v>
      </c>
      <c r="J75" s="135" t="s">
        <v>207</v>
      </c>
      <c r="K75" s="251"/>
      <c r="L75" s="316"/>
      <c r="M75" s="316"/>
      <c r="N75" s="318"/>
      <c r="O75" s="318"/>
      <c r="Q75" s="200"/>
      <c r="R75" s="200"/>
      <c r="S75" s="200"/>
      <c r="T75" s="200"/>
      <c r="U75" s="301"/>
      <c r="V75" s="3"/>
    </row>
    <row r="76" ht="15.75" customHeight="1">
      <c r="A76" s="136" t="s">
        <v>208</v>
      </c>
      <c r="B76" s="136" t="s">
        <v>210</v>
      </c>
      <c r="C76" s="136" t="s">
        <v>212</v>
      </c>
      <c r="D76" s="136" t="s">
        <v>213</v>
      </c>
      <c r="E76" s="136" t="s">
        <v>214</v>
      </c>
      <c r="F76" s="136" t="s">
        <v>215</v>
      </c>
      <c r="G76" s="137" t="s">
        <v>216</v>
      </c>
      <c r="H76" s="137" t="s">
        <v>217</v>
      </c>
      <c r="I76" s="137" t="s">
        <v>218</v>
      </c>
      <c r="J76" s="137" t="s">
        <v>219</v>
      </c>
      <c r="K76" s="251"/>
      <c r="L76" s="316"/>
      <c r="M76" s="316"/>
      <c r="N76" s="318"/>
      <c r="O76" s="318"/>
      <c r="Q76" s="200"/>
      <c r="R76" s="200"/>
      <c r="S76" s="200"/>
      <c r="T76" s="200"/>
      <c r="U76" s="301"/>
      <c r="V76" s="3"/>
    </row>
    <row r="77" ht="15.75" customHeight="1">
      <c r="A77" s="138" t="s">
        <v>220</v>
      </c>
      <c r="B77" s="138">
        <v>0.0</v>
      </c>
      <c r="C77" s="138" t="s">
        <v>221</v>
      </c>
      <c r="D77" s="138" t="s">
        <v>222</v>
      </c>
      <c r="E77" s="140" t="s">
        <v>223</v>
      </c>
      <c r="F77" s="140" t="s">
        <v>564</v>
      </c>
      <c r="G77" s="148" t="s">
        <v>226</v>
      </c>
      <c r="H77" s="148" t="s">
        <v>230</v>
      </c>
      <c r="I77" s="152">
        <v>1000.0</v>
      </c>
      <c r="J77" s="154">
        <f>I77*B77</f>
        <v>0</v>
      </c>
      <c r="K77" s="251"/>
      <c r="L77" s="316"/>
      <c r="M77" s="316"/>
      <c r="N77" s="318"/>
      <c r="O77" s="318"/>
      <c r="Q77" s="200"/>
      <c r="R77" s="200"/>
      <c r="S77" s="200"/>
      <c r="T77" s="200"/>
      <c r="U77" s="301"/>
      <c r="V77" s="3"/>
    </row>
    <row r="78" ht="15.75" customHeight="1">
      <c r="A78" s="157" t="s">
        <v>231</v>
      </c>
      <c r="B78" s="160"/>
      <c r="C78" s="160"/>
      <c r="D78" s="160"/>
      <c r="E78" s="161"/>
      <c r="F78" s="161"/>
      <c r="G78" s="161"/>
      <c r="H78" s="161"/>
      <c r="I78" s="163"/>
      <c r="J78" s="161"/>
      <c r="K78" s="251"/>
      <c r="L78" s="316"/>
      <c r="M78" s="316"/>
      <c r="N78" s="318"/>
      <c r="O78" s="318"/>
      <c r="Q78" s="200"/>
      <c r="R78" s="200"/>
      <c r="S78" s="200"/>
      <c r="T78" s="200"/>
      <c r="U78" s="301"/>
      <c r="V78" s="3"/>
    </row>
    <row r="79" ht="15.75" customHeight="1">
      <c r="A79" s="166" t="s">
        <v>208</v>
      </c>
      <c r="B79" s="166" t="s">
        <v>210</v>
      </c>
      <c r="C79" s="166" t="s">
        <v>212</v>
      </c>
      <c r="D79" s="166" t="s">
        <v>248</v>
      </c>
      <c r="E79" s="166" t="s">
        <v>249</v>
      </c>
      <c r="F79" s="167"/>
      <c r="G79" s="169" t="s">
        <v>216</v>
      </c>
      <c r="H79" s="169" t="s">
        <v>217</v>
      </c>
      <c r="I79" s="169" t="s">
        <v>218</v>
      </c>
      <c r="J79" s="169" t="s">
        <v>219</v>
      </c>
      <c r="K79" s="251"/>
      <c r="L79" s="316"/>
      <c r="M79" s="316"/>
      <c r="N79" s="318"/>
      <c r="O79" s="318"/>
      <c r="Q79" s="200"/>
      <c r="R79" s="200"/>
      <c r="S79" s="200"/>
      <c r="T79" s="200"/>
      <c r="U79" s="301"/>
      <c r="V79" s="3"/>
    </row>
    <row r="80" ht="15.75" customHeight="1">
      <c r="A80" s="138" t="s">
        <v>258</v>
      </c>
      <c r="B80" s="138">
        <v>1.0</v>
      </c>
      <c r="C80" s="138" t="s">
        <v>259</v>
      </c>
      <c r="D80" s="138" t="s">
        <v>260</v>
      </c>
      <c r="E80" s="138" t="s">
        <v>261</v>
      </c>
      <c r="F80" s="172"/>
      <c r="G80" s="173" t="s">
        <v>216</v>
      </c>
      <c r="H80" s="148" t="s">
        <v>216</v>
      </c>
      <c r="I80" s="175">
        <v>220.0</v>
      </c>
      <c r="J80" s="154">
        <f t="shared" ref="J80:J83" si="7">I80*B80</f>
        <v>220</v>
      </c>
      <c r="K80" s="251"/>
      <c r="L80" s="316"/>
      <c r="M80" s="316"/>
      <c r="N80" s="318"/>
      <c r="O80" s="318"/>
      <c r="Q80" s="200"/>
      <c r="R80" s="200"/>
      <c r="S80" s="200"/>
      <c r="T80" s="200"/>
      <c r="U80" s="301"/>
      <c r="V80" s="3"/>
    </row>
    <row r="81" ht="15.75" customHeight="1">
      <c r="A81" s="138" t="s">
        <v>332</v>
      </c>
      <c r="B81" s="138">
        <v>2.0</v>
      </c>
      <c r="C81" s="138" t="s">
        <v>259</v>
      </c>
      <c r="D81" s="138" t="s">
        <v>333</v>
      </c>
      <c r="E81" s="138" t="s">
        <v>334</v>
      </c>
      <c r="F81" s="172"/>
      <c r="G81" s="148" t="s">
        <v>216</v>
      </c>
      <c r="H81" s="172"/>
      <c r="I81" s="175">
        <v>120.0</v>
      </c>
      <c r="J81" s="154">
        <f t="shared" si="7"/>
        <v>240</v>
      </c>
      <c r="K81" s="251"/>
      <c r="L81" s="316"/>
      <c r="M81" s="316"/>
      <c r="N81" s="318"/>
      <c r="O81" s="318"/>
      <c r="Q81" s="200"/>
      <c r="R81" s="200"/>
      <c r="S81" s="200"/>
      <c r="T81" s="200"/>
      <c r="U81" s="301"/>
      <c r="V81" s="3"/>
    </row>
    <row r="82" ht="15.75" customHeight="1">
      <c r="A82" s="138" t="s">
        <v>584</v>
      </c>
      <c r="B82" s="138">
        <v>7.0</v>
      </c>
      <c r="C82" s="138" t="s">
        <v>259</v>
      </c>
      <c r="D82" s="138" t="s">
        <v>586</v>
      </c>
      <c r="E82" s="138" t="s">
        <v>588</v>
      </c>
      <c r="F82" s="172"/>
      <c r="G82" s="366"/>
      <c r="H82" s="366"/>
      <c r="I82" s="175"/>
      <c r="J82" s="154">
        <f t="shared" si="7"/>
        <v>0</v>
      </c>
      <c r="K82" s="251"/>
      <c r="L82" s="316"/>
      <c r="M82" s="316"/>
      <c r="N82" s="318"/>
      <c r="O82" s="318"/>
      <c r="Q82" s="200"/>
      <c r="R82" s="200"/>
      <c r="S82" s="200"/>
      <c r="T82" s="200"/>
      <c r="U82" s="301"/>
      <c r="V82" s="3"/>
    </row>
    <row r="83" ht="15.75" customHeight="1">
      <c r="A83" s="138" t="s">
        <v>344</v>
      </c>
      <c r="B83" s="138">
        <v>1.0</v>
      </c>
      <c r="C83" s="138" t="s">
        <v>259</v>
      </c>
      <c r="D83" s="138" t="s">
        <v>346</v>
      </c>
      <c r="E83" s="138" t="s">
        <v>349</v>
      </c>
      <c r="F83" s="172"/>
      <c r="G83" s="148" t="s">
        <v>216</v>
      </c>
      <c r="H83" s="148" t="s">
        <v>216</v>
      </c>
      <c r="I83" s="175">
        <v>5000.0</v>
      </c>
      <c r="J83" s="154">
        <f t="shared" si="7"/>
        <v>5000</v>
      </c>
      <c r="K83" s="251"/>
      <c r="L83" s="316"/>
      <c r="M83" s="316"/>
      <c r="N83" s="318"/>
      <c r="O83" s="318"/>
      <c r="Q83" s="200"/>
      <c r="R83" s="200"/>
      <c r="S83" s="200"/>
      <c r="T83" s="200"/>
      <c r="U83" s="301"/>
      <c r="V83" s="3"/>
    </row>
    <row r="84" ht="15.75" customHeight="1">
      <c r="A84" s="192" t="s">
        <v>361</v>
      </c>
      <c r="B84" s="194"/>
      <c r="C84" s="194"/>
      <c r="D84" s="194"/>
      <c r="E84" s="194"/>
      <c r="F84" s="194"/>
      <c r="G84" s="194"/>
      <c r="H84" s="194"/>
      <c r="I84" s="196"/>
      <c r="J84" s="194"/>
      <c r="K84" s="251"/>
      <c r="L84" s="316"/>
      <c r="M84" s="316"/>
      <c r="N84" s="318"/>
      <c r="O84" s="318"/>
      <c r="Q84" s="200"/>
      <c r="R84" s="200"/>
      <c r="S84" s="200"/>
      <c r="T84" s="200"/>
      <c r="U84" s="301"/>
      <c r="V84" s="3"/>
    </row>
    <row r="85" ht="15.75" customHeight="1">
      <c r="A85" s="197" t="s">
        <v>208</v>
      </c>
      <c r="B85" s="197" t="s">
        <v>210</v>
      </c>
      <c r="C85" s="197" t="s">
        <v>212</v>
      </c>
      <c r="D85" s="197" t="s">
        <v>248</v>
      </c>
      <c r="E85" s="197" t="s">
        <v>249</v>
      </c>
      <c r="F85" s="198"/>
      <c r="G85" s="199" t="s">
        <v>216</v>
      </c>
      <c r="H85" s="199" t="s">
        <v>217</v>
      </c>
      <c r="I85" s="199" t="s">
        <v>218</v>
      </c>
      <c r="J85" s="199" t="s">
        <v>219</v>
      </c>
      <c r="K85" s="251"/>
      <c r="L85" s="316"/>
      <c r="M85" s="316"/>
      <c r="N85" s="318"/>
      <c r="O85" s="318"/>
      <c r="Q85" s="200"/>
      <c r="R85" s="200"/>
      <c r="S85" s="200"/>
      <c r="T85" s="200"/>
      <c r="U85" s="301"/>
      <c r="V85" s="3"/>
    </row>
    <row r="86" ht="15.75" customHeight="1">
      <c r="A86" s="202" t="s">
        <v>381</v>
      </c>
      <c r="B86" s="202">
        <v>7.0</v>
      </c>
      <c r="C86" s="202" t="s">
        <v>221</v>
      </c>
      <c r="D86" s="202" t="s">
        <v>383</v>
      </c>
      <c r="E86" s="202" t="s">
        <v>610</v>
      </c>
      <c r="F86" s="210" t="s">
        <v>386</v>
      </c>
      <c r="G86" s="148" t="s">
        <v>216</v>
      </c>
      <c r="H86" s="148" t="s">
        <v>216</v>
      </c>
      <c r="I86" s="152">
        <v>7.49</v>
      </c>
      <c r="J86" s="154">
        <f>I86*B86</f>
        <v>52.43</v>
      </c>
      <c r="K86" s="251"/>
      <c r="L86" s="316"/>
      <c r="M86" s="316"/>
      <c r="N86" s="318"/>
      <c r="O86" s="318"/>
      <c r="Q86" s="200"/>
      <c r="R86" s="200"/>
      <c r="S86" s="200"/>
      <c r="T86" s="200"/>
      <c r="U86" s="301"/>
      <c r="V86" s="3"/>
    </row>
    <row r="87" ht="15.75" customHeight="1">
      <c r="A87" s="225"/>
      <c r="B87" s="225"/>
      <c r="C87" s="225"/>
      <c r="D87" s="225"/>
      <c r="E87" s="225"/>
      <c r="F87" s="227"/>
      <c r="G87" s="229"/>
      <c r="H87" s="229"/>
      <c r="I87" s="230" t="s">
        <v>411</v>
      </c>
      <c r="J87" s="232">
        <f>SUM(J77,J80:J83,J86)</f>
        <v>5512.43</v>
      </c>
      <c r="K87" s="251"/>
      <c r="L87" s="316"/>
      <c r="M87" s="316"/>
      <c r="N87" s="318"/>
      <c r="O87" s="318"/>
      <c r="Q87" s="200"/>
      <c r="R87" s="200"/>
      <c r="S87" s="200"/>
      <c r="T87" s="200"/>
      <c r="U87" s="301"/>
      <c r="V87" s="3"/>
    </row>
    <row r="88" ht="15.75" customHeight="1">
      <c r="A88" s="399"/>
      <c r="B88" s="400"/>
      <c r="C88" s="400"/>
      <c r="D88" s="200"/>
      <c r="E88" s="201"/>
      <c r="F88" s="201"/>
      <c r="G88" s="200"/>
      <c r="H88" s="401"/>
      <c r="I88" s="402"/>
      <c r="J88" s="403"/>
      <c r="K88" s="251"/>
      <c r="L88" s="316"/>
      <c r="M88" s="316"/>
      <c r="N88" s="318"/>
      <c r="O88" s="318"/>
      <c r="Q88" s="200"/>
      <c r="R88" s="200"/>
      <c r="S88" s="200"/>
      <c r="T88" s="200"/>
      <c r="U88" s="301"/>
      <c r="V88" s="3"/>
    </row>
    <row r="89" ht="15.75" customHeight="1">
      <c r="A89" s="399"/>
      <c r="B89" s="400"/>
      <c r="C89" s="400"/>
      <c r="D89" s="200"/>
      <c r="E89" s="201"/>
      <c r="F89" s="201"/>
      <c r="G89" s="200"/>
      <c r="H89" s="401"/>
      <c r="I89" s="402"/>
      <c r="J89" s="403"/>
      <c r="K89" s="251"/>
      <c r="L89" s="316"/>
      <c r="M89" s="316"/>
      <c r="N89" s="318"/>
      <c r="O89" s="318"/>
      <c r="Q89" s="200"/>
      <c r="R89" s="200"/>
      <c r="S89" s="200"/>
      <c r="T89" s="200"/>
      <c r="U89" s="301"/>
      <c r="V89" s="3"/>
    </row>
    <row r="90" ht="15.75" customHeight="1">
      <c r="A90" s="399"/>
      <c r="B90" s="400"/>
      <c r="C90" s="400"/>
      <c r="D90" s="200"/>
      <c r="E90" s="201"/>
      <c r="F90" s="201"/>
      <c r="G90" s="200"/>
      <c r="H90" s="401"/>
      <c r="I90" s="402"/>
      <c r="J90" s="403"/>
      <c r="K90" s="251"/>
      <c r="L90" s="316"/>
      <c r="M90" s="316"/>
      <c r="N90" s="318"/>
      <c r="O90" s="318"/>
      <c r="Q90" s="200"/>
      <c r="R90" s="200"/>
      <c r="S90" s="200"/>
      <c r="T90" s="200"/>
      <c r="U90" s="301"/>
      <c r="V90" s="3"/>
    </row>
    <row r="91" ht="15.75" customHeight="1">
      <c r="A91" s="399"/>
      <c r="B91" s="400"/>
      <c r="C91" s="400"/>
      <c r="D91" s="200"/>
      <c r="E91" s="201"/>
      <c r="F91" s="201"/>
      <c r="G91" s="200"/>
      <c r="H91" s="401"/>
      <c r="I91" s="402"/>
      <c r="J91" s="403"/>
      <c r="K91" s="251"/>
      <c r="L91" s="316"/>
      <c r="M91" s="316"/>
      <c r="N91" s="318"/>
      <c r="O91" s="318"/>
      <c r="Q91" s="200"/>
      <c r="R91" s="200"/>
      <c r="S91" s="200"/>
      <c r="T91" s="200"/>
      <c r="U91" s="301"/>
      <c r="V91" s="3"/>
    </row>
    <row r="92" ht="15.75" customHeight="1">
      <c r="A92" s="399"/>
      <c r="B92" s="400"/>
      <c r="C92" s="400"/>
      <c r="D92" s="200"/>
      <c r="E92" s="201"/>
      <c r="F92" s="201"/>
      <c r="G92" s="200"/>
      <c r="H92" s="401"/>
      <c r="I92" s="402"/>
      <c r="J92" s="403"/>
      <c r="K92" s="251"/>
      <c r="L92" s="316"/>
      <c r="M92" s="316"/>
      <c r="N92" s="318"/>
      <c r="O92" s="318"/>
      <c r="Q92" s="200"/>
      <c r="R92" s="200"/>
      <c r="S92" s="200"/>
      <c r="T92" s="200"/>
      <c r="U92" s="301"/>
      <c r="V92" s="3"/>
    </row>
    <row r="93" ht="15.75" customHeight="1">
      <c r="A93" s="399"/>
      <c r="B93" s="400"/>
      <c r="C93" s="400"/>
      <c r="D93" s="200"/>
      <c r="E93" s="201"/>
      <c r="F93" s="201"/>
      <c r="G93" s="200"/>
      <c r="H93" s="401"/>
      <c r="I93" s="402"/>
      <c r="J93" s="403"/>
      <c r="K93" s="251"/>
      <c r="L93" s="316"/>
      <c r="M93" s="316"/>
      <c r="N93" s="318"/>
      <c r="O93" s="318"/>
      <c r="Q93" s="200"/>
      <c r="R93" s="200"/>
      <c r="S93" s="200"/>
      <c r="T93" s="200"/>
      <c r="U93" s="301"/>
      <c r="V93" s="3"/>
    </row>
    <row r="94" ht="15.75" customHeight="1">
      <c r="A94" s="408" t="s">
        <v>93</v>
      </c>
      <c r="B94" s="413">
        <f>SUM(A95:B124)</f>
        <v>76</v>
      </c>
      <c r="C94" s="413">
        <v>378.29</v>
      </c>
      <c r="D94" s="414"/>
      <c r="E94" s="3"/>
      <c r="F94" s="3"/>
      <c r="G94" s="415"/>
      <c r="H94" s="417" t="s">
        <v>442</v>
      </c>
      <c r="I94" s="419" t="s">
        <v>443</v>
      </c>
      <c r="J94" s="421" t="s">
        <v>622</v>
      </c>
      <c r="L94" s="269" t="s">
        <v>445</v>
      </c>
      <c r="M94" s="13"/>
      <c r="N94" s="318"/>
      <c r="O94" s="318"/>
      <c r="Q94" s="200"/>
      <c r="R94" s="200"/>
      <c r="S94" s="200"/>
      <c r="T94" s="200"/>
      <c r="U94" s="301"/>
      <c r="V94" s="3"/>
    </row>
    <row r="95" ht="15.75" customHeight="1">
      <c r="A95" s="423" t="s">
        <v>623</v>
      </c>
      <c r="B95" s="424">
        <v>1.0</v>
      </c>
      <c r="C95" s="424" t="s">
        <v>624</v>
      </c>
      <c r="D95" s="425">
        <v>46115.0</v>
      </c>
      <c r="E95" s="3"/>
      <c r="F95" s="3"/>
      <c r="G95" s="423" t="s">
        <v>623</v>
      </c>
      <c r="H95" s="426">
        <v>0.36</v>
      </c>
      <c r="I95" s="427">
        <v>0.55</v>
      </c>
      <c r="J95" s="428">
        <v>0.91</v>
      </c>
      <c r="L95" s="280">
        <f>SUM(K40+M40+C94)</f>
        <v>413.44</v>
      </c>
      <c r="M95" s="13"/>
      <c r="N95" s="200"/>
      <c r="O95" s="200"/>
      <c r="P95" s="200"/>
      <c r="Q95" s="200"/>
      <c r="R95" s="200"/>
      <c r="S95" s="200"/>
      <c r="T95" s="200"/>
      <c r="U95" s="301"/>
      <c r="V95" s="3"/>
    </row>
    <row r="96" ht="15.75" customHeight="1">
      <c r="A96" s="423" t="s">
        <v>462</v>
      </c>
      <c r="B96" s="424">
        <v>3.0</v>
      </c>
      <c r="C96" s="424" t="s">
        <v>629</v>
      </c>
      <c r="D96" s="437">
        <v>1.0</v>
      </c>
      <c r="E96" s="3"/>
      <c r="F96" s="3"/>
      <c r="G96" s="423" t="s">
        <v>462</v>
      </c>
      <c r="H96" s="426">
        <v>3.77</v>
      </c>
      <c r="I96" s="427">
        <v>1.36</v>
      </c>
      <c r="J96" s="428">
        <v>5.13</v>
      </c>
      <c r="L96" s="285"/>
      <c r="M96" s="285"/>
      <c r="N96" s="200"/>
      <c r="O96" s="200"/>
      <c r="P96" s="200"/>
      <c r="Q96" s="200"/>
      <c r="R96" s="200"/>
      <c r="S96" s="200"/>
      <c r="T96" s="200"/>
      <c r="U96" s="301"/>
      <c r="V96" s="3"/>
    </row>
    <row r="97" ht="15.75" customHeight="1">
      <c r="A97" s="438" t="s">
        <v>468</v>
      </c>
      <c r="B97" s="439">
        <v>1.0</v>
      </c>
      <c r="C97" s="424" t="s">
        <v>631</v>
      </c>
      <c r="D97" s="425">
        <v>46115.0</v>
      </c>
      <c r="E97" s="3"/>
      <c r="F97" s="3"/>
      <c r="G97" s="438" t="s">
        <v>468</v>
      </c>
      <c r="H97" s="441">
        <v>2.18</v>
      </c>
      <c r="I97" s="443">
        <v>1.25</v>
      </c>
      <c r="J97" s="428">
        <v>3.43</v>
      </c>
      <c r="N97" s="200"/>
      <c r="O97" s="200"/>
      <c r="P97" s="200"/>
      <c r="Q97" s="200"/>
      <c r="R97" s="200"/>
      <c r="S97" s="200"/>
      <c r="T97" s="200"/>
      <c r="U97" s="301"/>
      <c r="V97" s="3"/>
    </row>
    <row r="98" ht="15.75" customHeight="1">
      <c r="A98" s="423" t="s">
        <v>476</v>
      </c>
      <c r="B98" s="424">
        <v>1.0</v>
      </c>
      <c r="C98" s="424" t="s">
        <v>633</v>
      </c>
      <c r="D98" s="425">
        <v>46115.0</v>
      </c>
      <c r="E98" s="3"/>
      <c r="F98" s="3"/>
      <c r="G98" s="423" t="s">
        <v>476</v>
      </c>
      <c r="H98" s="426">
        <v>5.38</v>
      </c>
      <c r="I98" s="427">
        <v>1.36</v>
      </c>
      <c r="J98" s="428">
        <v>6.74</v>
      </c>
      <c r="N98" s="200"/>
      <c r="O98" s="200"/>
      <c r="P98" s="200"/>
      <c r="Q98" s="200"/>
      <c r="R98" s="200"/>
      <c r="S98" s="200"/>
      <c r="T98" s="200"/>
      <c r="U98" s="301"/>
      <c r="V98" s="3"/>
    </row>
    <row r="99" ht="15.75" customHeight="1">
      <c r="A99" s="438" t="s">
        <v>477</v>
      </c>
      <c r="B99" s="439">
        <v>1.0</v>
      </c>
      <c r="C99" s="424" t="s">
        <v>634</v>
      </c>
      <c r="D99" s="447">
        <v>46115.0</v>
      </c>
      <c r="E99" s="3"/>
      <c r="F99" s="3"/>
      <c r="G99" s="438" t="s">
        <v>477</v>
      </c>
      <c r="H99" s="441">
        <v>1.97</v>
      </c>
      <c r="I99" s="443">
        <v>1.52</v>
      </c>
      <c r="J99" s="428">
        <v>3.49</v>
      </c>
      <c r="L99" s="291" t="s">
        <v>488</v>
      </c>
      <c r="M99" s="13"/>
      <c r="N99" s="200"/>
      <c r="O99" s="200"/>
      <c r="P99" s="200"/>
      <c r="Q99" s="200"/>
      <c r="R99" s="200"/>
      <c r="S99" s="200"/>
      <c r="T99" s="200"/>
      <c r="U99" s="301"/>
      <c r="V99" s="3"/>
    </row>
    <row r="100" ht="15.75" customHeight="1">
      <c r="A100" s="423" t="s">
        <v>491</v>
      </c>
      <c r="B100" s="424">
        <v>1.0</v>
      </c>
      <c r="C100" s="424" t="s">
        <v>636</v>
      </c>
      <c r="D100" s="449" t="s">
        <v>452</v>
      </c>
      <c r="E100" s="3"/>
      <c r="F100" s="3"/>
      <c r="G100" s="423" t="s">
        <v>491</v>
      </c>
      <c r="H100" s="426">
        <v>3.14</v>
      </c>
      <c r="I100" s="427">
        <v>3.27</v>
      </c>
      <c r="J100" s="428">
        <v>6.41</v>
      </c>
      <c r="L100" s="292" t="s">
        <v>39</v>
      </c>
      <c r="M100" s="292">
        <v>18.1</v>
      </c>
      <c r="N100" s="200"/>
      <c r="O100" s="200"/>
      <c r="P100" s="200"/>
      <c r="Q100" s="200"/>
      <c r="R100" s="200"/>
      <c r="S100" s="200"/>
      <c r="T100" s="200"/>
      <c r="U100" s="301"/>
      <c r="V100" s="3"/>
    </row>
    <row r="101" ht="15.75" customHeight="1">
      <c r="A101" s="438" t="s">
        <v>501</v>
      </c>
      <c r="B101" s="439">
        <v>1.0</v>
      </c>
      <c r="C101" s="424" t="s">
        <v>638</v>
      </c>
      <c r="D101" s="449" t="s">
        <v>452</v>
      </c>
      <c r="E101" s="3"/>
      <c r="F101" s="3"/>
      <c r="G101" s="438" t="s">
        <v>501</v>
      </c>
      <c r="H101" s="441">
        <v>4.44</v>
      </c>
      <c r="I101" s="443">
        <v>5.5</v>
      </c>
      <c r="J101" s="428">
        <v>9.94</v>
      </c>
      <c r="L101" s="293" t="s">
        <v>502</v>
      </c>
      <c r="M101" s="293">
        <v>0.01</v>
      </c>
      <c r="N101" s="200"/>
      <c r="O101" s="200"/>
      <c r="P101" s="200"/>
      <c r="Q101" s="200"/>
      <c r="R101" s="200"/>
      <c r="S101" s="200"/>
      <c r="T101" s="200"/>
      <c r="U101" s="301"/>
      <c r="V101" s="3"/>
    </row>
    <row r="102" ht="15.75" customHeight="1">
      <c r="A102" s="423" t="s">
        <v>503</v>
      </c>
      <c r="B102" s="424">
        <v>1.0</v>
      </c>
      <c r="C102" s="424" t="s">
        <v>641</v>
      </c>
      <c r="D102" s="449" t="s">
        <v>452</v>
      </c>
      <c r="E102" s="3"/>
      <c r="F102" s="3"/>
      <c r="G102" s="423" t="s">
        <v>503</v>
      </c>
      <c r="H102" s="426">
        <v>3.1</v>
      </c>
      <c r="I102" s="427">
        <v>11.0</v>
      </c>
      <c r="J102" s="428">
        <v>14.1</v>
      </c>
      <c r="L102" s="292" t="s">
        <v>504</v>
      </c>
      <c r="M102" s="292">
        <v>0.06</v>
      </c>
      <c r="N102" s="200"/>
      <c r="O102" s="200"/>
      <c r="P102" s="200"/>
      <c r="Q102" s="200"/>
      <c r="R102" s="200"/>
      <c r="S102" s="200"/>
      <c r="T102" s="200"/>
      <c r="U102" s="301"/>
      <c r="V102" s="3"/>
    </row>
    <row r="103" ht="15.75" customHeight="1">
      <c r="A103" s="438" t="s">
        <v>507</v>
      </c>
      <c r="B103" s="439">
        <v>1.0</v>
      </c>
      <c r="C103" s="424" t="s">
        <v>645</v>
      </c>
      <c r="D103" s="449" t="s">
        <v>452</v>
      </c>
      <c r="E103" s="3"/>
      <c r="F103" s="3"/>
      <c r="G103" s="438" t="s">
        <v>507</v>
      </c>
      <c r="H103" s="441">
        <v>6.06</v>
      </c>
      <c r="I103" s="443">
        <v>14.43</v>
      </c>
      <c r="J103" s="428">
        <v>20.49</v>
      </c>
      <c r="N103" s="200"/>
      <c r="O103" s="200"/>
      <c r="P103" s="200"/>
      <c r="Q103" s="200"/>
      <c r="R103" s="200"/>
      <c r="S103" s="200"/>
      <c r="T103" s="200"/>
      <c r="U103" s="301"/>
      <c r="V103" s="3"/>
    </row>
    <row r="104" ht="15.75" customHeight="1">
      <c r="A104" s="423" t="s">
        <v>510</v>
      </c>
      <c r="B104" s="424">
        <v>1.0</v>
      </c>
      <c r="C104" s="424" t="s">
        <v>647</v>
      </c>
      <c r="D104" s="425">
        <v>46115.0</v>
      </c>
      <c r="E104" s="3"/>
      <c r="F104" s="3"/>
      <c r="G104" s="423" t="s">
        <v>510</v>
      </c>
      <c r="H104" s="426">
        <v>0.64</v>
      </c>
      <c r="I104" s="427">
        <v>16.3</v>
      </c>
      <c r="J104" s="428">
        <v>16.94</v>
      </c>
      <c r="L104" s="291" t="s">
        <v>511</v>
      </c>
      <c r="M104" s="12"/>
      <c r="N104" s="12"/>
      <c r="O104" s="13"/>
      <c r="P104" s="200"/>
      <c r="Q104" s="200"/>
      <c r="R104" s="200"/>
      <c r="S104" s="200"/>
      <c r="T104" s="200"/>
      <c r="U104" s="301"/>
      <c r="V104" s="3"/>
    </row>
    <row r="105" ht="15.75" customHeight="1">
      <c r="A105" s="438" t="s">
        <v>512</v>
      </c>
      <c r="B105" s="439">
        <v>1.0</v>
      </c>
      <c r="C105" s="424" t="s">
        <v>649</v>
      </c>
      <c r="D105" s="425">
        <v>46115.0</v>
      </c>
      <c r="E105" s="3"/>
      <c r="F105" s="3"/>
      <c r="G105" s="438" t="s">
        <v>512</v>
      </c>
      <c r="H105" s="441">
        <v>4.0</v>
      </c>
      <c r="I105" s="443">
        <v>14.49</v>
      </c>
      <c r="J105" s="428">
        <v>18.49</v>
      </c>
      <c r="L105" s="291" t="s">
        <v>514</v>
      </c>
      <c r="M105" s="13"/>
      <c r="N105" s="298" t="s">
        <v>515</v>
      </c>
      <c r="O105" s="13"/>
      <c r="P105" s="200"/>
      <c r="Q105" s="200"/>
      <c r="R105" s="200"/>
      <c r="S105" s="200"/>
      <c r="T105" s="200"/>
      <c r="U105" s="301"/>
      <c r="V105" s="3"/>
    </row>
    <row r="106" ht="15.75" customHeight="1">
      <c r="A106" s="423" t="s">
        <v>516</v>
      </c>
      <c r="B106" s="424">
        <v>1.0</v>
      </c>
      <c r="C106" s="424" t="s">
        <v>655</v>
      </c>
      <c r="D106" s="425">
        <v>46115.0</v>
      </c>
      <c r="E106" s="3"/>
      <c r="F106" s="3"/>
      <c r="G106" s="423" t="s">
        <v>516</v>
      </c>
      <c r="H106" s="426">
        <v>0.64</v>
      </c>
      <c r="I106" s="427">
        <v>8.19</v>
      </c>
      <c r="J106" s="428">
        <v>8.83</v>
      </c>
      <c r="L106" s="292" t="s">
        <v>39</v>
      </c>
      <c r="M106" s="292">
        <v>24.8</v>
      </c>
      <c r="N106" s="292" t="s">
        <v>39</v>
      </c>
      <c r="O106" s="292">
        <v>18.1</v>
      </c>
      <c r="P106" s="200"/>
      <c r="Q106" s="200"/>
      <c r="R106" s="200"/>
      <c r="S106" s="200"/>
      <c r="T106" s="200"/>
      <c r="U106" s="301"/>
      <c r="V106" s="3"/>
    </row>
    <row r="107" ht="15.75" customHeight="1">
      <c r="A107" s="438" t="s">
        <v>517</v>
      </c>
      <c r="B107" s="439">
        <v>6.0</v>
      </c>
      <c r="C107" s="424" t="s">
        <v>657</v>
      </c>
      <c r="D107" s="437" t="s">
        <v>658</v>
      </c>
      <c r="E107" s="3"/>
      <c r="F107" s="3"/>
      <c r="G107" s="438" t="s">
        <v>517</v>
      </c>
      <c r="H107" s="441">
        <v>0.84</v>
      </c>
      <c r="I107" s="443">
        <v>4.64</v>
      </c>
      <c r="J107" s="428">
        <v>5.48</v>
      </c>
      <c r="L107" s="293" t="s">
        <v>502</v>
      </c>
      <c r="M107" s="293">
        <v>0.01</v>
      </c>
      <c r="N107" s="293" t="s">
        <v>502</v>
      </c>
      <c r="O107" s="293">
        <v>0.01</v>
      </c>
      <c r="P107" s="200"/>
      <c r="Q107" s="200"/>
      <c r="R107" s="200"/>
      <c r="S107" s="200"/>
      <c r="T107" s="200"/>
      <c r="U107" s="301"/>
      <c r="V107" s="3"/>
    </row>
    <row r="108" ht="15.75" customHeight="1">
      <c r="A108" s="423" t="s">
        <v>518</v>
      </c>
      <c r="B108" s="424">
        <v>6.0</v>
      </c>
      <c r="C108" s="424" t="s">
        <v>661</v>
      </c>
      <c r="D108" s="437" t="s">
        <v>658</v>
      </c>
      <c r="E108" s="3"/>
      <c r="F108" s="3"/>
      <c r="G108" s="423" t="s">
        <v>518</v>
      </c>
      <c r="H108" s="426">
        <v>0.84</v>
      </c>
      <c r="I108" s="427">
        <v>6.12</v>
      </c>
      <c r="J108" s="428">
        <v>6.96</v>
      </c>
      <c r="L108" s="292" t="s">
        <v>504</v>
      </c>
      <c r="M108" s="292">
        <v>0.06</v>
      </c>
      <c r="N108" s="292" t="s">
        <v>504</v>
      </c>
      <c r="O108" s="292">
        <v>0.06</v>
      </c>
      <c r="P108" s="200"/>
      <c r="Q108" s="200"/>
      <c r="R108" s="200"/>
      <c r="S108" s="200"/>
      <c r="T108" s="200"/>
      <c r="U108" s="301"/>
      <c r="V108" s="3"/>
    </row>
    <row r="109" ht="15.75" customHeight="1">
      <c r="A109" s="438" t="s">
        <v>520</v>
      </c>
      <c r="B109" s="439">
        <v>6.0</v>
      </c>
      <c r="C109" s="424" t="s">
        <v>664</v>
      </c>
      <c r="D109" s="437" t="s">
        <v>658</v>
      </c>
      <c r="E109" s="3"/>
      <c r="F109" s="3"/>
      <c r="G109" s="438" t="s">
        <v>520</v>
      </c>
      <c r="H109" s="441">
        <v>0.84</v>
      </c>
      <c r="I109" s="443">
        <v>10.13</v>
      </c>
      <c r="J109" s="428">
        <v>10.97</v>
      </c>
      <c r="L109" s="457"/>
      <c r="N109" s="200"/>
      <c r="O109" s="200"/>
      <c r="P109" s="200"/>
      <c r="Q109" s="200"/>
      <c r="R109" s="200"/>
      <c r="S109" s="200"/>
      <c r="T109" s="200"/>
      <c r="U109" s="301"/>
      <c r="V109" s="3"/>
    </row>
    <row r="110" ht="15.75" customHeight="1">
      <c r="A110" s="423" t="s">
        <v>521</v>
      </c>
      <c r="B110" s="424">
        <v>6.0</v>
      </c>
      <c r="C110" s="424" t="s">
        <v>667</v>
      </c>
      <c r="D110" s="437" t="s">
        <v>658</v>
      </c>
      <c r="E110" s="3"/>
      <c r="F110" s="3"/>
      <c r="G110" s="423" t="s">
        <v>521</v>
      </c>
      <c r="H110" s="426">
        <v>0.84</v>
      </c>
      <c r="I110" s="427">
        <v>11.63</v>
      </c>
      <c r="J110" s="428">
        <v>12.47</v>
      </c>
      <c r="L110" s="458"/>
      <c r="N110" s="200"/>
      <c r="O110" s="200"/>
      <c r="P110" s="200"/>
      <c r="Q110" s="200"/>
      <c r="R110" s="200"/>
      <c r="S110" s="200"/>
      <c r="T110" s="200"/>
      <c r="U110" s="301"/>
      <c r="V110" s="3"/>
    </row>
    <row r="111" ht="15.75" customHeight="1">
      <c r="A111" s="438" t="s">
        <v>523</v>
      </c>
      <c r="B111" s="439">
        <v>1.0</v>
      </c>
      <c r="C111" s="424" t="s">
        <v>670</v>
      </c>
      <c r="D111" s="460" t="s">
        <v>452</v>
      </c>
      <c r="E111" s="3"/>
      <c r="F111" s="3"/>
      <c r="G111" s="438" t="s">
        <v>523</v>
      </c>
      <c r="H111" s="441">
        <v>1.05</v>
      </c>
      <c r="I111" s="443">
        <v>0.96</v>
      </c>
      <c r="J111" s="428">
        <v>2.01</v>
      </c>
      <c r="N111" s="200"/>
      <c r="O111" s="200"/>
      <c r="P111" s="200"/>
      <c r="Q111" s="200"/>
      <c r="R111" s="200"/>
      <c r="S111" s="200"/>
      <c r="T111" s="200"/>
      <c r="U111" s="301"/>
      <c r="V111" s="3"/>
    </row>
    <row r="112" ht="15.75" customHeight="1">
      <c r="A112" s="423" t="s">
        <v>524</v>
      </c>
      <c r="B112" s="424">
        <v>1.0</v>
      </c>
      <c r="C112" s="424" t="s">
        <v>674</v>
      </c>
      <c r="D112" s="449" t="s">
        <v>452</v>
      </c>
      <c r="E112" s="3"/>
      <c r="F112" s="3"/>
      <c r="G112" s="423" t="s">
        <v>524</v>
      </c>
      <c r="H112" s="426">
        <v>1.42</v>
      </c>
      <c r="I112" s="427">
        <v>7.5</v>
      </c>
      <c r="J112" s="428">
        <v>8.92</v>
      </c>
      <c r="N112" s="200"/>
      <c r="O112" s="200"/>
      <c r="P112" s="200"/>
      <c r="Q112" s="200"/>
      <c r="R112" s="200"/>
      <c r="S112" s="200"/>
      <c r="T112" s="200"/>
      <c r="U112" s="301"/>
      <c r="V112" s="3"/>
    </row>
    <row r="113" ht="15.75" customHeight="1">
      <c r="A113" s="438" t="s">
        <v>525</v>
      </c>
      <c r="B113" s="439">
        <v>4.0</v>
      </c>
      <c r="C113" s="424" t="s">
        <v>676</v>
      </c>
      <c r="D113" s="437">
        <v>1.0</v>
      </c>
      <c r="E113" s="3"/>
      <c r="F113" s="3"/>
      <c r="G113" s="438" t="s">
        <v>525</v>
      </c>
      <c r="H113" s="441">
        <v>1.52</v>
      </c>
      <c r="I113" s="443">
        <v>10.31</v>
      </c>
      <c r="J113" s="428">
        <v>11.83</v>
      </c>
      <c r="N113" s="200"/>
      <c r="O113" s="200"/>
      <c r="P113" s="200"/>
      <c r="Q113" s="200"/>
      <c r="R113" s="200"/>
      <c r="S113" s="200"/>
      <c r="T113" s="200"/>
      <c r="U113" s="301"/>
      <c r="V113" s="3"/>
    </row>
    <row r="114" ht="15.75" customHeight="1">
      <c r="A114" s="423" t="s">
        <v>531</v>
      </c>
      <c r="B114" s="424">
        <v>4.0</v>
      </c>
      <c r="C114" s="424" t="s">
        <v>678</v>
      </c>
      <c r="D114" s="437">
        <v>1.0</v>
      </c>
      <c r="E114" s="3"/>
      <c r="F114" s="3"/>
      <c r="G114" s="423" t="s">
        <v>531</v>
      </c>
      <c r="H114" s="426">
        <v>2.4</v>
      </c>
      <c r="I114" s="427">
        <v>10.55</v>
      </c>
      <c r="J114" s="428">
        <v>12.95</v>
      </c>
      <c r="N114" s="200"/>
      <c r="O114" s="200"/>
      <c r="P114" s="200"/>
      <c r="Q114" s="200"/>
      <c r="R114" s="200"/>
      <c r="S114" s="200"/>
      <c r="T114" s="200"/>
      <c r="U114" s="301"/>
      <c r="V114" s="3"/>
    </row>
    <row r="115" ht="15.75" customHeight="1">
      <c r="A115" s="438" t="s">
        <v>534</v>
      </c>
      <c r="B115" s="439">
        <v>1.0</v>
      </c>
      <c r="C115" s="424" t="s">
        <v>680</v>
      </c>
      <c r="D115" s="449" t="s">
        <v>452</v>
      </c>
      <c r="E115" s="3"/>
      <c r="F115" s="3"/>
      <c r="G115" s="438" t="s">
        <v>534</v>
      </c>
      <c r="H115" s="466">
        <v>1.64</v>
      </c>
      <c r="I115" s="443">
        <v>11.8</v>
      </c>
      <c r="J115" s="428">
        <v>13.44</v>
      </c>
      <c r="N115" s="200"/>
      <c r="O115" s="200"/>
      <c r="P115" s="200"/>
      <c r="Q115" s="200"/>
      <c r="R115" s="200"/>
      <c r="S115" s="200"/>
      <c r="T115" s="200"/>
      <c r="U115" s="301"/>
      <c r="V115" s="3"/>
    </row>
    <row r="116" ht="15.75" customHeight="1">
      <c r="A116" s="423" t="s">
        <v>535</v>
      </c>
      <c r="B116" s="424">
        <v>5.0</v>
      </c>
      <c r="C116" s="424" t="s">
        <v>681</v>
      </c>
      <c r="D116" s="425">
        <v>46115.0</v>
      </c>
      <c r="E116" s="3"/>
      <c r="F116" s="3"/>
      <c r="G116" s="423" t="s">
        <v>535</v>
      </c>
      <c r="H116" s="468">
        <v>1.92</v>
      </c>
      <c r="I116" s="427">
        <v>17.32</v>
      </c>
      <c r="J116" s="428">
        <v>19.24</v>
      </c>
      <c r="N116" s="200"/>
      <c r="O116" s="200"/>
      <c r="P116" s="200"/>
      <c r="Q116" s="200"/>
      <c r="R116" s="200"/>
      <c r="S116" s="200"/>
      <c r="T116" s="200"/>
      <c r="U116" s="301"/>
      <c r="V116" s="3"/>
    </row>
    <row r="117" ht="15.75" customHeight="1">
      <c r="A117" s="438" t="s">
        <v>536</v>
      </c>
      <c r="B117" s="439">
        <v>6.0</v>
      </c>
      <c r="C117" s="424" t="s">
        <v>684</v>
      </c>
      <c r="D117" s="437" t="s">
        <v>658</v>
      </c>
      <c r="E117" s="3"/>
      <c r="F117" s="3"/>
      <c r="G117" s="438" t="s">
        <v>536</v>
      </c>
      <c r="H117" s="466">
        <v>1.85</v>
      </c>
      <c r="I117" s="443">
        <v>17.46</v>
      </c>
      <c r="J117" s="428">
        <v>19.31</v>
      </c>
      <c r="N117" s="474"/>
      <c r="O117" s="474"/>
      <c r="P117" s="474"/>
      <c r="Q117" s="474"/>
      <c r="R117" s="474"/>
      <c r="S117" s="474"/>
      <c r="T117" s="474"/>
      <c r="U117" s="476"/>
      <c r="V117" s="3"/>
    </row>
    <row r="118" ht="15.75" customHeight="1">
      <c r="A118" s="438" t="s">
        <v>686</v>
      </c>
      <c r="B118" s="439">
        <v>2.0</v>
      </c>
      <c r="C118" s="424" t="s">
        <v>688</v>
      </c>
      <c r="D118" s="449" t="s">
        <v>452</v>
      </c>
      <c r="E118" s="3"/>
      <c r="F118" s="3"/>
      <c r="G118" s="438" t="s">
        <v>686</v>
      </c>
      <c r="H118" s="466">
        <v>1.6</v>
      </c>
      <c r="I118" s="443">
        <v>17.53</v>
      </c>
      <c r="J118" s="428">
        <v>19.13</v>
      </c>
      <c r="N118" s="3"/>
      <c r="O118" s="3"/>
      <c r="P118" s="3"/>
      <c r="Q118" s="3"/>
      <c r="R118" s="3"/>
      <c r="S118" s="3"/>
      <c r="T118" s="3"/>
      <c r="U118" s="3"/>
      <c r="V118" s="3"/>
    </row>
    <row r="119" ht="15.75" customHeight="1">
      <c r="A119" s="423" t="s">
        <v>689</v>
      </c>
      <c r="B119" s="424">
        <v>1.0</v>
      </c>
      <c r="C119" s="424" t="s">
        <v>690</v>
      </c>
      <c r="D119" s="479">
        <v>46115.0</v>
      </c>
      <c r="E119" s="3"/>
      <c r="F119" s="3"/>
      <c r="G119" s="423" t="s">
        <v>689</v>
      </c>
      <c r="H119" s="468">
        <v>1.7</v>
      </c>
      <c r="I119" s="427">
        <v>21.52</v>
      </c>
      <c r="J119" s="428">
        <v>23.22</v>
      </c>
      <c r="N119" s="3"/>
      <c r="O119" s="3"/>
      <c r="P119" s="3"/>
      <c r="Q119" s="3"/>
      <c r="R119" s="3"/>
      <c r="S119" s="3"/>
      <c r="T119" s="3"/>
      <c r="U119" s="3"/>
      <c r="V119" s="3"/>
    </row>
    <row r="120" ht="15.75" customHeight="1">
      <c r="A120" s="262" t="s">
        <v>691</v>
      </c>
      <c r="B120" s="482">
        <v>2.0</v>
      </c>
      <c r="C120" s="482" t="s">
        <v>692</v>
      </c>
      <c r="D120" s="449" t="s">
        <v>452</v>
      </c>
      <c r="E120" s="3"/>
      <c r="F120" s="3"/>
      <c r="G120" s="262" t="s">
        <v>691</v>
      </c>
      <c r="H120" s="483">
        <v>0.18</v>
      </c>
      <c r="I120" s="484">
        <v>14.0</v>
      </c>
      <c r="J120" s="428">
        <v>14.18</v>
      </c>
      <c r="N120" s="3"/>
      <c r="O120" s="3"/>
      <c r="P120" s="3"/>
      <c r="Q120" s="3"/>
      <c r="R120" s="3"/>
      <c r="S120" s="3"/>
      <c r="T120" s="3"/>
      <c r="U120" s="3"/>
      <c r="V120" s="3"/>
    </row>
    <row r="121" ht="15.75" customHeight="1">
      <c r="A121" s="262" t="s">
        <v>693</v>
      </c>
      <c r="B121" s="482">
        <v>6.0</v>
      </c>
      <c r="C121" s="482" t="s">
        <v>694</v>
      </c>
      <c r="D121" s="449" t="s">
        <v>452</v>
      </c>
      <c r="E121" s="3"/>
      <c r="F121" s="3"/>
      <c r="G121" s="262" t="s">
        <v>693</v>
      </c>
      <c r="H121" s="483">
        <v>0.18</v>
      </c>
      <c r="I121" s="487">
        <v>14.41</v>
      </c>
      <c r="J121" s="428">
        <v>14.59</v>
      </c>
      <c r="N121" s="3"/>
      <c r="O121" s="3"/>
      <c r="P121" s="3"/>
      <c r="Q121" s="3"/>
      <c r="R121" s="3"/>
      <c r="S121" s="3"/>
      <c r="T121" s="3"/>
      <c r="U121" s="3"/>
      <c r="V121" s="3"/>
    </row>
    <row r="122" ht="15.75" customHeight="1">
      <c r="A122" s="262" t="s">
        <v>697</v>
      </c>
      <c r="B122" s="482">
        <v>2.0</v>
      </c>
      <c r="C122" s="482" t="s">
        <v>699</v>
      </c>
      <c r="D122" s="449" t="s">
        <v>452</v>
      </c>
      <c r="E122" s="3"/>
      <c r="F122" s="3"/>
      <c r="G122" s="262" t="s">
        <v>697</v>
      </c>
      <c r="H122" s="483">
        <v>0.18</v>
      </c>
      <c r="I122" s="487">
        <v>20.0</v>
      </c>
      <c r="J122" s="428">
        <v>20.18</v>
      </c>
      <c r="N122" s="3"/>
      <c r="O122" s="3"/>
      <c r="P122" s="3"/>
      <c r="Q122" s="3"/>
      <c r="R122" s="3"/>
      <c r="S122" s="3"/>
      <c r="T122" s="3"/>
      <c r="U122" s="3"/>
      <c r="V122" s="3"/>
    </row>
    <row r="123" ht="15.75" customHeight="1">
      <c r="A123" s="262" t="s">
        <v>701</v>
      </c>
      <c r="B123" s="482">
        <v>1.0</v>
      </c>
      <c r="C123" s="482" t="s">
        <v>703</v>
      </c>
      <c r="D123" s="449" t="s">
        <v>452</v>
      </c>
      <c r="E123" s="3"/>
      <c r="F123" s="3"/>
      <c r="G123" s="262" t="s">
        <v>701</v>
      </c>
      <c r="H123" s="483">
        <v>0.18</v>
      </c>
      <c r="I123" s="487">
        <v>22.41</v>
      </c>
      <c r="J123" s="428">
        <v>22.59</v>
      </c>
      <c r="N123" s="3"/>
      <c r="O123" s="3"/>
      <c r="P123" s="3"/>
      <c r="Q123" s="3"/>
      <c r="R123" s="3"/>
      <c r="S123" s="3"/>
      <c r="T123" s="3"/>
      <c r="U123" s="3"/>
      <c r="V123" s="3"/>
    </row>
    <row r="124" ht="15.75" customHeight="1">
      <c r="A124" s="262" t="s">
        <v>705</v>
      </c>
      <c r="B124" s="482">
        <v>2.0</v>
      </c>
      <c r="C124" s="482" t="s">
        <v>706</v>
      </c>
      <c r="D124" s="449" t="s">
        <v>452</v>
      </c>
      <c r="E124" s="3"/>
      <c r="F124" s="3"/>
      <c r="G124" s="262" t="s">
        <v>705</v>
      </c>
      <c r="H124" s="483">
        <v>0.54</v>
      </c>
      <c r="I124" s="487">
        <v>25.38</v>
      </c>
      <c r="J124" s="428">
        <v>25.92</v>
      </c>
      <c r="N124" s="3"/>
      <c r="O124" s="3"/>
      <c r="P124" s="3"/>
      <c r="Q124" s="3"/>
      <c r="R124" s="3"/>
      <c r="S124" s="3"/>
      <c r="T124" s="3"/>
      <c r="U124" s="3"/>
      <c r="V124" s="3"/>
    </row>
    <row r="125" ht="15.75" customHeight="1">
      <c r="A125" s="200"/>
      <c r="B125" s="200"/>
      <c r="C125" s="200"/>
      <c r="D125" s="489"/>
      <c r="E125" s="3"/>
      <c r="F125" s="3"/>
      <c r="G125" s="3"/>
      <c r="H125" s="3"/>
      <c r="I125" s="200"/>
      <c r="J125" s="200"/>
      <c r="K125" s="490"/>
      <c r="L125" s="491"/>
      <c r="M125" s="492"/>
      <c r="N125" s="3"/>
      <c r="O125" s="3"/>
      <c r="P125" s="3"/>
      <c r="Q125" s="3"/>
      <c r="R125" s="3"/>
      <c r="S125" s="3"/>
      <c r="T125" s="3"/>
      <c r="U125" s="3"/>
      <c r="V125" s="3"/>
    </row>
    <row r="126" ht="15.75" customHeight="1">
      <c r="A126" s="493" t="s">
        <v>566</v>
      </c>
      <c r="B126" s="493" t="s">
        <v>567</v>
      </c>
      <c r="C126" s="493" t="s">
        <v>568</v>
      </c>
      <c r="D126" s="493" t="s">
        <v>570</v>
      </c>
      <c r="E126" s="493" t="s">
        <v>572</v>
      </c>
      <c r="F126" s="493" t="s">
        <v>133</v>
      </c>
      <c r="G126" s="493" t="s">
        <v>573</v>
      </c>
    </row>
    <row r="127" ht="15.75" customHeight="1">
      <c r="A127" s="72" t="s">
        <v>709</v>
      </c>
      <c r="B127" s="406">
        <v>19.0</v>
      </c>
      <c r="C127" s="494">
        <v>250.0</v>
      </c>
      <c r="D127" s="495">
        <f>B127*C127</f>
        <v>4750</v>
      </c>
      <c r="E127" s="496" t="s">
        <v>712</v>
      </c>
      <c r="F127" s="496" t="s">
        <v>712</v>
      </c>
      <c r="G127" s="71"/>
    </row>
    <row r="128" ht="15.75" customHeight="1">
      <c r="A128" s="501" t="s">
        <v>642</v>
      </c>
      <c r="B128" s="502">
        <v>76.0</v>
      </c>
      <c r="C128" s="502" t="s">
        <v>719</v>
      </c>
      <c r="D128" s="495">
        <v>152.0</v>
      </c>
      <c r="E128" s="503" t="s">
        <v>720</v>
      </c>
      <c r="F128" s="503" t="s">
        <v>721</v>
      </c>
      <c r="G128" s="50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5.75" customHeight="1">
      <c r="A129" s="371" t="s">
        <v>107</v>
      </c>
      <c r="B129" s="505">
        <v>21.0</v>
      </c>
      <c r="C129" s="506">
        <v>1.95</v>
      </c>
      <c r="D129" s="507">
        <f t="shared" ref="D129:D130" si="8">B129*C129</f>
        <v>40.95</v>
      </c>
      <c r="E129" s="508" t="s">
        <v>712</v>
      </c>
      <c r="F129" s="509" t="s">
        <v>712</v>
      </c>
      <c r="P129" s="3"/>
      <c r="Q129" s="3"/>
      <c r="R129" s="3"/>
      <c r="S129" s="3"/>
      <c r="T129" s="3"/>
      <c r="U129" s="3"/>
      <c r="V129" s="3"/>
    </row>
    <row r="130" ht="15.75" customHeight="1">
      <c r="A130" s="371" t="s">
        <v>110</v>
      </c>
      <c r="B130" s="505">
        <v>55.0</v>
      </c>
      <c r="C130" s="506">
        <v>4.47</v>
      </c>
      <c r="D130" s="507">
        <f t="shared" si="8"/>
        <v>245.85</v>
      </c>
      <c r="E130" s="508" t="s">
        <v>712</v>
      </c>
      <c r="F130" s="509" t="s">
        <v>712</v>
      </c>
      <c r="P130" s="3"/>
      <c r="Q130" s="3"/>
      <c r="R130" s="3"/>
      <c r="S130" s="3"/>
      <c r="T130" s="3"/>
      <c r="U130" s="3"/>
      <c r="V130" s="3"/>
    </row>
    <row r="131" ht="15.75" customHeight="1">
      <c r="A131" s="520" t="s">
        <v>687</v>
      </c>
      <c r="B131" s="521">
        <v>20.0</v>
      </c>
      <c r="C131" s="522">
        <v>2.33</v>
      </c>
      <c r="D131" s="523">
        <v>46.6</v>
      </c>
      <c r="E131" s="503" t="s">
        <v>735</v>
      </c>
      <c r="F131" s="503" t="s">
        <v>736</v>
      </c>
      <c r="G131" s="50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5.75" customHeight="1">
      <c r="A132" s="520" t="s">
        <v>700</v>
      </c>
      <c r="B132" s="521">
        <v>5.0</v>
      </c>
      <c r="C132" s="522">
        <v>7.25</v>
      </c>
      <c r="D132" s="523">
        <v>36.25</v>
      </c>
      <c r="E132" s="524" t="s">
        <v>712</v>
      </c>
      <c r="F132" s="503" t="s">
        <v>737</v>
      </c>
      <c r="G132" s="525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5.75" customHeight="1">
      <c r="A133" s="520" t="s">
        <v>715</v>
      </c>
      <c r="B133" s="521">
        <v>2.0</v>
      </c>
      <c r="C133" s="521" t="s">
        <v>739</v>
      </c>
      <c r="D133" s="523">
        <v>26.4</v>
      </c>
      <c r="E133" s="526" t="s">
        <v>712</v>
      </c>
      <c r="F133" s="503" t="s">
        <v>740</v>
      </c>
      <c r="G133" s="50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5.75" customHeight="1">
      <c r="A134" s="530" t="s">
        <v>718</v>
      </c>
      <c r="B134" s="532">
        <v>4.0</v>
      </c>
      <c r="C134" s="532" t="s">
        <v>743</v>
      </c>
      <c r="D134" s="534">
        <v>42.24</v>
      </c>
      <c r="E134" s="536" t="s">
        <v>744</v>
      </c>
      <c r="F134" s="536" t="s">
        <v>745</v>
      </c>
      <c r="G134" s="525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5.75" customHeight="1">
      <c r="A135" s="538" t="s">
        <v>121</v>
      </c>
      <c r="B135" s="539">
        <v>6.0</v>
      </c>
      <c r="C135" s="541">
        <v>1.65</v>
      </c>
      <c r="D135" s="542">
        <v>9.9</v>
      </c>
      <c r="E135" s="543" t="s">
        <v>712</v>
      </c>
      <c r="F135" s="545" t="s">
        <v>712</v>
      </c>
      <c r="G135" s="525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5.75" customHeight="1">
      <c r="A136" s="538" t="s">
        <v>122</v>
      </c>
      <c r="B136" s="539">
        <v>4.0</v>
      </c>
      <c r="C136" s="548">
        <v>9.0</v>
      </c>
      <c r="D136" s="542">
        <v>36.0</v>
      </c>
      <c r="E136" s="543" t="s">
        <v>712</v>
      </c>
      <c r="F136" s="545" t="s">
        <v>712</v>
      </c>
      <c r="G136" s="525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5.75" customHeight="1">
      <c r="A137" s="552" t="s">
        <v>734</v>
      </c>
      <c r="B137" s="553">
        <v>5.0</v>
      </c>
      <c r="C137" s="553" t="s">
        <v>750</v>
      </c>
      <c r="D137" s="542">
        <v>31.75</v>
      </c>
      <c r="E137" s="555" t="s">
        <v>712</v>
      </c>
      <c r="F137" s="556" t="s">
        <v>752</v>
      </c>
      <c r="G137" s="525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5.75" customHeight="1">
      <c r="A138" s="559" t="s">
        <v>389</v>
      </c>
      <c r="B138" s="553">
        <v>3.0</v>
      </c>
      <c r="C138" s="553" t="s">
        <v>755</v>
      </c>
      <c r="D138" s="542">
        <v>9.6</v>
      </c>
      <c r="E138" s="556" t="s">
        <v>756</v>
      </c>
      <c r="F138" s="556" t="s">
        <v>757</v>
      </c>
      <c r="G138" s="561" t="s">
        <v>749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5.75" customHeight="1">
      <c r="A139" s="559" t="s">
        <v>390</v>
      </c>
      <c r="B139" s="553">
        <v>1.0</v>
      </c>
      <c r="C139" s="553" t="s">
        <v>761</v>
      </c>
      <c r="D139" s="542">
        <v>4.57</v>
      </c>
      <c r="E139" s="556" t="s">
        <v>763</v>
      </c>
      <c r="F139" s="556" t="s">
        <v>764</v>
      </c>
      <c r="G139" s="561" t="s">
        <v>749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5.75" customHeight="1">
      <c r="A140" s="559" t="s">
        <v>765</v>
      </c>
      <c r="B140" s="553">
        <v>21.0</v>
      </c>
      <c r="C140" s="553" t="s">
        <v>766</v>
      </c>
      <c r="D140" s="566" t="s">
        <v>767</v>
      </c>
      <c r="E140" s="567" t="s">
        <v>712</v>
      </c>
      <c r="F140" s="572" t="s">
        <v>769</v>
      </c>
      <c r="G140" s="57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5.75" customHeight="1">
      <c r="A141" s="559" t="s">
        <v>772</v>
      </c>
      <c r="B141" s="553">
        <v>26.0</v>
      </c>
      <c r="C141" s="553" t="s">
        <v>773</v>
      </c>
      <c r="D141" s="566" t="s">
        <v>774</v>
      </c>
      <c r="E141" s="575" t="s">
        <v>775</v>
      </c>
      <c r="F141" s="575" t="s">
        <v>776</v>
      </c>
      <c r="G141" s="576" t="s">
        <v>777</v>
      </c>
      <c r="H141" s="577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5.75" customHeight="1">
      <c r="A142" s="559" t="s">
        <v>779</v>
      </c>
      <c r="B142" s="553">
        <v>4.0</v>
      </c>
      <c r="C142" s="578">
        <v>907.0</v>
      </c>
      <c r="D142" s="566" t="s">
        <v>780</v>
      </c>
      <c r="E142" s="580"/>
      <c r="F142" s="575" t="s">
        <v>781</v>
      </c>
      <c r="G142" s="576" t="s">
        <v>783</v>
      </c>
      <c r="H142" s="577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5.75" customHeight="1">
      <c r="A143" s="584" t="s">
        <v>791</v>
      </c>
      <c r="B143" s="553">
        <v>9.0</v>
      </c>
      <c r="C143" s="553" t="s">
        <v>792</v>
      </c>
      <c r="D143" s="566" t="s">
        <v>793</v>
      </c>
      <c r="E143" s="580"/>
      <c r="F143" s="575" t="s">
        <v>794</v>
      </c>
      <c r="G143" s="57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5.75" customHeight="1">
      <c r="A144" s="584" t="s">
        <v>800</v>
      </c>
      <c r="B144" s="553">
        <v>8.0</v>
      </c>
      <c r="C144" s="553" t="s">
        <v>801</v>
      </c>
      <c r="D144" s="566" t="s">
        <v>802</v>
      </c>
      <c r="E144" s="580"/>
      <c r="F144" s="575" t="s">
        <v>803</v>
      </c>
      <c r="G144" s="57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5.75" customHeight="1">
      <c r="A145" s="559" t="s">
        <v>819</v>
      </c>
      <c r="B145" s="553">
        <v>1.0</v>
      </c>
      <c r="C145" s="553" t="s">
        <v>820</v>
      </c>
      <c r="D145" s="566" t="s">
        <v>821</v>
      </c>
      <c r="E145" s="580"/>
      <c r="F145" s="575" t="s">
        <v>822</v>
      </c>
      <c r="G145" s="57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5.75" customHeight="1">
      <c r="A146" s="559" t="s">
        <v>823</v>
      </c>
      <c r="B146" s="553">
        <v>2.0</v>
      </c>
      <c r="C146" s="553" t="s">
        <v>824</v>
      </c>
      <c r="D146" s="566" t="s">
        <v>825</v>
      </c>
      <c r="E146" s="575" t="s">
        <v>826</v>
      </c>
      <c r="F146" s="575" t="s">
        <v>827</v>
      </c>
      <c r="G146" s="57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5.75" customHeight="1">
      <c r="A147" s="559" t="s">
        <v>828</v>
      </c>
      <c r="B147" s="553">
        <v>2.0</v>
      </c>
      <c r="C147" s="553" t="s">
        <v>829</v>
      </c>
      <c r="D147" s="542">
        <v>460.0</v>
      </c>
      <c r="E147" s="572" t="s">
        <v>830</v>
      </c>
      <c r="F147" s="575" t="s">
        <v>831</v>
      </c>
      <c r="G147" s="57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5.75" customHeight="1">
      <c r="A148" s="559" t="s">
        <v>837</v>
      </c>
      <c r="B148" s="553">
        <v>1.0</v>
      </c>
      <c r="C148" s="553" t="s">
        <v>838</v>
      </c>
      <c r="D148" s="542">
        <v>559.0</v>
      </c>
      <c r="E148" s="580"/>
      <c r="F148" s="575" t="s">
        <v>839</v>
      </c>
      <c r="G148" s="57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5.75" customHeight="1">
      <c r="A149" s="584" t="s">
        <v>840</v>
      </c>
      <c r="B149" s="602">
        <v>8.0</v>
      </c>
      <c r="C149" s="553" t="s">
        <v>841</v>
      </c>
      <c r="D149" s="566" t="s">
        <v>842</v>
      </c>
      <c r="E149" s="575" t="s">
        <v>843</v>
      </c>
      <c r="F149" s="575" t="s">
        <v>844</v>
      </c>
      <c r="G149" s="57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5.75" customHeight="1">
      <c r="A150" s="559" t="s">
        <v>849</v>
      </c>
      <c r="B150" s="604">
        <v>7.0</v>
      </c>
      <c r="C150" s="553" t="s">
        <v>852</v>
      </c>
      <c r="D150" s="566" t="s">
        <v>854</v>
      </c>
      <c r="E150" s="575" t="s">
        <v>855</v>
      </c>
      <c r="F150" s="575" t="s">
        <v>858</v>
      </c>
      <c r="G150" s="57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5.75" customHeight="1">
      <c r="A151" s="608" t="s">
        <v>860</v>
      </c>
      <c r="B151" s="553">
        <v>1.0</v>
      </c>
      <c r="C151" s="553" t="s">
        <v>861</v>
      </c>
      <c r="D151" s="542">
        <v>251.0</v>
      </c>
      <c r="E151" s="580"/>
      <c r="F151" s="575" t="s">
        <v>863</v>
      </c>
      <c r="G151" s="57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5.75" customHeight="1">
      <c r="A152" s="610" t="s">
        <v>682</v>
      </c>
      <c r="B152" s="611">
        <v>3.0</v>
      </c>
      <c r="C152" s="611" t="s">
        <v>866</v>
      </c>
      <c r="D152" s="611" t="s">
        <v>867</v>
      </c>
      <c r="E152" s="612" t="s">
        <v>868</v>
      </c>
      <c r="F152" s="612" t="s">
        <v>869</v>
      </c>
      <c r="G152" s="57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5.75" customHeight="1">
      <c r="A153" s="559" t="s">
        <v>762</v>
      </c>
      <c r="B153" s="615"/>
      <c r="C153" s="616"/>
      <c r="D153" s="617">
        <f> SUM(D127:D152)</f>
        <v>6702.11</v>
      </c>
      <c r="E153" s="574"/>
      <c r="F153" s="574"/>
      <c r="G153" s="57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5.75" customHeight="1">
      <c r="A154" s="568" t="s">
        <v>768</v>
      </c>
      <c r="B154" s="569"/>
      <c r="C154" s="569"/>
      <c r="D154" s="622">
        <f>SUM(D153+'DTC RACK 12'!I49)</f>
        <v>30598.91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624"/>
      <c r="Q155" s="624"/>
      <c r="R155" s="624"/>
      <c r="S155" s="624"/>
      <c r="T155" s="625"/>
      <c r="U155" s="3"/>
      <c r="V155" s="3"/>
    </row>
    <row r="156" ht="28.5" customHeight="1">
      <c r="A156" s="3"/>
      <c r="B156" s="3"/>
      <c r="C156" s="3"/>
      <c r="D156" s="3"/>
      <c r="E156" s="3"/>
      <c r="F156" s="3"/>
      <c r="G156" s="628" t="s">
        <v>32</v>
      </c>
      <c r="H156" s="12"/>
      <c r="I156" s="12"/>
      <c r="J156" s="12"/>
      <c r="K156" s="12"/>
      <c r="L156" s="12"/>
      <c r="M156" s="12"/>
      <c r="N156" s="12"/>
      <c r="O156" s="13"/>
      <c r="P156" s="629"/>
      <c r="Q156" s="629"/>
      <c r="R156" s="629"/>
      <c r="S156" s="630"/>
      <c r="T156" s="631"/>
      <c r="U156" s="1"/>
      <c r="V156" s="3"/>
    </row>
    <row r="157" ht="27.75" customHeight="1">
      <c r="A157" s="632" t="s">
        <v>888</v>
      </c>
      <c r="B157" s="633" t="s">
        <v>889</v>
      </c>
      <c r="C157" s="633" t="s">
        <v>891</v>
      </c>
      <c r="D157" s="633" t="s">
        <v>892</v>
      </c>
      <c r="E157" s="624"/>
      <c r="F157" s="624"/>
      <c r="G157" s="634" t="s">
        <v>893</v>
      </c>
      <c r="H157" s="635" t="s">
        <v>894</v>
      </c>
      <c r="I157" s="635" t="s">
        <v>895</v>
      </c>
      <c r="J157" s="635" t="s">
        <v>896</v>
      </c>
      <c r="K157" s="635" t="s">
        <v>897</v>
      </c>
      <c r="L157" s="635" t="s">
        <v>898</v>
      </c>
      <c r="M157" s="635" t="s">
        <v>899</v>
      </c>
      <c r="N157" s="634" t="s">
        <v>901</v>
      </c>
      <c r="O157" s="639" t="s">
        <v>902</v>
      </c>
      <c r="P157" s="640"/>
      <c r="Q157" s="640"/>
      <c r="R157" s="640"/>
      <c r="S157" s="630"/>
      <c r="T157" s="641"/>
      <c r="U157" s="47"/>
      <c r="V157" s="3"/>
    </row>
    <row r="158" ht="27.75" customHeight="1">
      <c r="A158" s="644" t="s">
        <v>904</v>
      </c>
      <c r="B158" s="646">
        <v>0.5</v>
      </c>
      <c r="C158" s="646">
        <v>0.8</v>
      </c>
      <c r="D158" s="646" t="s">
        <v>909</v>
      </c>
      <c r="E158" s="631"/>
      <c r="F158" s="631"/>
      <c r="G158" s="647" t="s">
        <v>911</v>
      </c>
      <c r="H158" s="648">
        <v>2.0</v>
      </c>
      <c r="I158" s="648">
        <v>0.9</v>
      </c>
      <c r="J158" s="648" t="s">
        <v>915</v>
      </c>
      <c r="K158" s="648" t="s">
        <v>917</v>
      </c>
      <c r="L158" s="648">
        <v>2.0</v>
      </c>
      <c r="M158" s="648" t="s">
        <v>919</v>
      </c>
      <c r="N158" s="649" t="s">
        <v>244</v>
      </c>
      <c r="O158" s="650">
        <v>4.3</v>
      </c>
      <c r="P158" s="640"/>
      <c r="Q158" s="640"/>
      <c r="R158" s="640"/>
      <c r="S158" s="630"/>
      <c r="T158" s="641"/>
      <c r="U158" s="47"/>
      <c r="V158" s="3"/>
    </row>
    <row r="159" ht="27.0" customHeight="1">
      <c r="A159" s="644" t="s">
        <v>924</v>
      </c>
      <c r="B159" s="646">
        <v>0.2</v>
      </c>
      <c r="C159" s="646">
        <v>0.7</v>
      </c>
      <c r="D159" s="646" t="s">
        <v>925</v>
      </c>
      <c r="E159" s="641"/>
      <c r="F159" s="641"/>
      <c r="G159" s="647" t="s">
        <v>926</v>
      </c>
      <c r="H159" s="648">
        <v>5.0</v>
      </c>
      <c r="I159" s="648">
        <v>0.8</v>
      </c>
      <c r="J159" s="648" t="s">
        <v>927</v>
      </c>
      <c r="K159" s="648" t="s">
        <v>928</v>
      </c>
      <c r="L159" s="648">
        <v>10.0</v>
      </c>
      <c r="M159" s="648" t="s">
        <v>929</v>
      </c>
      <c r="N159" s="649" t="s">
        <v>244</v>
      </c>
      <c r="O159" s="650">
        <v>10.85</v>
      </c>
      <c r="P159" s="640"/>
      <c r="Q159" s="640"/>
      <c r="R159" s="640"/>
      <c r="S159" s="630"/>
      <c r="T159" s="641"/>
      <c r="U159" s="641"/>
      <c r="V159" s="3"/>
    </row>
    <row r="160" ht="32.25" customHeight="1">
      <c r="A160" s="644" t="s">
        <v>930</v>
      </c>
      <c r="B160" s="646">
        <v>2.0</v>
      </c>
      <c r="C160" s="658" t="s">
        <v>931</v>
      </c>
      <c r="D160" s="646" t="s">
        <v>932</v>
      </c>
      <c r="E160" s="641"/>
      <c r="F160" s="641"/>
      <c r="G160" s="647" t="s">
        <v>134</v>
      </c>
      <c r="H160" s="648">
        <v>8.0</v>
      </c>
      <c r="I160" s="648">
        <v>0.85</v>
      </c>
      <c r="J160" s="648" t="s">
        <v>933</v>
      </c>
      <c r="K160" s="648" t="s">
        <v>934</v>
      </c>
      <c r="L160" s="648">
        <v>8.0</v>
      </c>
      <c r="M160" s="648" t="s">
        <v>935</v>
      </c>
      <c r="N160" s="649" t="s">
        <v>244</v>
      </c>
      <c r="O160" s="650">
        <v>17.44</v>
      </c>
      <c r="P160" s="640"/>
      <c r="Q160" s="640"/>
      <c r="R160" s="640"/>
      <c r="S160" s="630"/>
      <c r="T160" s="641"/>
      <c r="U160" s="3"/>
      <c r="V160" s="3"/>
    </row>
    <row r="161" ht="28.5" customHeight="1">
      <c r="A161" s="644" t="s">
        <v>936</v>
      </c>
      <c r="B161" s="646">
        <v>3.0</v>
      </c>
      <c r="C161" s="646" t="s">
        <v>937</v>
      </c>
      <c r="D161" s="646" t="s">
        <v>938</v>
      </c>
      <c r="E161" s="641"/>
      <c r="F161" s="641"/>
      <c r="G161" s="647" t="s">
        <v>939</v>
      </c>
      <c r="H161" s="648">
        <v>4.0</v>
      </c>
      <c r="I161" s="648">
        <v>0.9</v>
      </c>
      <c r="J161" s="648" t="s">
        <v>940</v>
      </c>
      <c r="K161" s="648" t="s">
        <v>941</v>
      </c>
      <c r="L161" s="648">
        <v>4.0</v>
      </c>
      <c r="M161" s="648">
        <v>0.68</v>
      </c>
      <c r="N161" s="649" t="s">
        <v>244</v>
      </c>
      <c r="O161" s="650">
        <v>5.72</v>
      </c>
      <c r="P161" s="640"/>
      <c r="Q161" s="640"/>
      <c r="R161" s="640"/>
      <c r="S161" s="630"/>
      <c r="T161" s="641"/>
      <c r="U161" s="3"/>
      <c r="V161" s="3"/>
    </row>
    <row r="162" ht="26.25" customHeight="1">
      <c r="A162" s="644" t="s">
        <v>942</v>
      </c>
      <c r="B162" s="646">
        <v>1.5</v>
      </c>
      <c r="C162" s="646" t="s">
        <v>943</v>
      </c>
      <c r="D162" s="646" t="s">
        <v>944</v>
      </c>
      <c r="E162" s="641"/>
      <c r="F162" s="641"/>
      <c r="G162" s="647" t="s">
        <v>945</v>
      </c>
      <c r="H162" s="648">
        <v>2.0</v>
      </c>
      <c r="I162" s="648">
        <v>0.8</v>
      </c>
      <c r="J162" s="648" t="s">
        <v>947</v>
      </c>
      <c r="K162" s="648" t="s">
        <v>948</v>
      </c>
      <c r="L162" s="648">
        <v>2.0</v>
      </c>
      <c r="M162" s="648">
        <v>0.34</v>
      </c>
      <c r="N162" s="649" t="s">
        <v>244</v>
      </c>
      <c r="O162" s="650">
        <v>3.06</v>
      </c>
      <c r="P162" s="3"/>
      <c r="Q162" s="3"/>
      <c r="R162" s="3"/>
      <c r="S162" s="3"/>
      <c r="T162" s="3"/>
      <c r="U162" s="3"/>
      <c r="V162" s="3"/>
    </row>
    <row r="163" ht="28.5" customHeight="1">
      <c r="A163" s="644" t="s">
        <v>949</v>
      </c>
      <c r="B163" s="646">
        <v>2.0</v>
      </c>
      <c r="C163" s="646" t="s">
        <v>952</v>
      </c>
      <c r="D163" s="646" t="s">
        <v>953</v>
      </c>
      <c r="E163" s="641"/>
      <c r="F163" s="641"/>
      <c r="G163" s="647" t="s">
        <v>954</v>
      </c>
      <c r="H163" s="648">
        <v>6.0</v>
      </c>
      <c r="I163" s="648">
        <v>0.85</v>
      </c>
      <c r="J163" s="648" t="s">
        <v>955</v>
      </c>
      <c r="K163" s="648" t="s">
        <v>956</v>
      </c>
      <c r="L163" s="648">
        <v>6.0</v>
      </c>
      <c r="M163" s="648" t="s">
        <v>957</v>
      </c>
      <c r="N163" s="649" t="s">
        <v>244</v>
      </c>
      <c r="O163" s="650">
        <v>10.2</v>
      </c>
    </row>
    <row r="164" ht="27.0" customHeight="1">
      <c r="A164" s="644" t="s">
        <v>958</v>
      </c>
      <c r="B164" s="646">
        <v>5.0</v>
      </c>
      <c r="C164" s="646">
        <v>0.1</v>
      </c>
      <c r="D164" s="646" t="s">
        <v>959</v>
      </c>
      <c r="E164" s="3"/>
      <c r="F164" s="3"/>
      <c r="G164" s="647" t="s">
        <v>960</v>
      </c>
      <c r="H164" s="648">
        <v>6.0</v>
      </c>
      <c r="I164" s="648">
        <v>0.85</v>
      </c>
      <c r="J164" s="648" t="s">
        <v>961</v>
      </c>
      <c r="K164" s="648" t="s">
        <v>962</v>
      </c>
      <c r="L164" s="648">
        <v>6.0</v>
      </c>
      <c r="M164" s="648">
        <v>1.02</v>
      </c>
      <c r="N164" s="649" t="s">
        <v>244</v>
      </c>
      <c r="O164" s="650">
        <v>9.69</v>
      </c>
    </row>
    <row r="165" ht="15.75" customHeight="1">
      <c r="A165" s="644" t="s">
        <v>963</v>
      </c>
      <c r="B165" s="646">
        <v>3.0</v>
      </c>
      <c r="C165" s="646" t="s">
        <v>965</v>
      </c>
      <c r="D165" s="646" t="s">
        <v>966</v>
      </c>
      <c r="G165" s="647" t="s">
        <v>967</v>
      </c>
      <c r="H165" s="648">
        <v>12.0</v>
      </c>
      <c r="I165" s="648">
        <v>0.7</v>
      </c>
      <c r="J165" s="648" t="s">
        <v>968</v>
      </c>
      <c r="K165" s="648" t="s">
        <v>970</v>
      </c>
      <c r="L165" s="648">
        <v>12.0</v>
      </c>
      <c r="M165" s="648" t="s">
        <v>971</v>
      </c>
      <c r="N165" s="649" t="s">
        <v>972</v>
      </c>
      <c r="O165" s="648">
        <v>23.34</v>
      </c>
    </row>
    <row r="166" ht="15.75" customHeight="1">
      <c r="A166" s="644" t="s">
        <v>973</v>
      </c>
      <c r="B166" s="646">
        <v>0.1</v>
      </c>
      <c r="C166" s="646">
        <v>0.3</v>
      </c>
      <c r="D166" s="646" t="s">
        <v>974</v>
      </c>
      <c r="N166" s="671" t="s">
        <v>975</v>
      </c>
      <c r="O166" s="71">
        <f>SUM(O158:O165)</f>
        <v>84.6</v>
      </c>
    </row>
    <row r="167" ht="15.75" customHeight="1">
      <c r="N167" s="672" t="s">
        <v>883</v>
      </c>
      <c r="O167" s="71">
        <f>O166*1.3</f>
        <v>109.98</v>
      </c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25">
    <mergeCell ref="A15:G15"/>
    <mergeCell ref="A16:F16"/>
    <mergeCell ref="A17:G17"/>
    <mergeCell ref="A19:G19"/>
    <mergeCell ref="A20:F20"/>
    <mergeCell ref="N22:O22"/>
    <mergeCell ref="A2:F2"/>
    <mergeCell ref="A4:G4"/>
    <mergeCell ref="A5:G6"/>
    <mergeCell ref="A7:G8"/>
    <mergeCell ref="A10:G11"/>
    <mergeCell ref="A12:G12"/>
    <mergeCell ref="A14:G14"/>
    <mergeCell ref="L105:M105"/>
    <mergeCell ref="N105:O105"/>
    <mergeCell ref="L109:M109"/>
    <mergeCell ref="L110:M110"/>
    <mergeCell ref="G156:O156"/>
    <mergeCell ref="D40:D53"/>
    <mergeCell ref="L59:L60"/>
    <mergeCell ref="M59:M60"/>
    <mergeCell ref="L94:M94"/>
    <mergeCell ref="L95:M95"/>
    <mergeCell ref="L99:M99"/>
    <mergeCell ref="L104:O104"/>
  </mergeCells>
  <conditionalFormatting sqref="C136">
    <cfRule type="notContainsBlanks" dxfId="5" priority="1">
      <formula>LEN(TRIM(C136))&gt;0</formula>
    </cfRule>
  </conditionalFormatting>
  <dataValidations>
    <dataValidation type="custom" allowBlank="1" showDropDown="1" sqref="I58:I72 I76:I87">
      <formula1>AND(ISNUMBER(I58),(NOT(OR(NOT(ISERROR(DATEVALUE(I58))), AND(ISNUMBER(I58), LEFT(CELL("format", I58))="D")))))</formula1>
    </dataValidation>
  </dataValidations>
  <hyperlinks>
    <hyperlink r:id="rId1" ref="G59"/>
    <hyperlink r:id="rId2" ref="H59"/>
    <hyperlink r:id="rId3" ref="G62"/>
    <hyperlink r:id="rId4" ref="H62"/>
    <hyperlink r:id="rId5" location="pn=DP24688TGY" ref="G63"/>
    <hyperlink r:id="rId6" ref="H63"/>
    <hyperlink r:id="rId7" location="pn=WMP1E" ref="G64"/>
    <hyperlink r:id="rId8" ref="H64"/>
    <hyperlink r:id="rId9" ref="G65"/>
    <hyperlink r:id="rId10" ref="G66"/>
    <hyperlink r:id="rId11" ref="H66"/>
    <hyperlink r:id="rId12" location="q=utp28sp1bu" ref="G69"/>
    <hyperlink r:id="rId13" ref="H69"/>
    <hyperlink r:id="rId14" ref="G70"/>
    <hyperlink r:id="rId15" ref="H70"/>
    <hyperlink r:id="rId16" location="q=utp28sp1bu" ref="G71"/>
    <hyperlink r:id="rId17" ref="H71"/>
    <hyperlink r:id="rId18" ref="G77"/>
    <hyperlink r:id="rId19" ref="H77"/>
    <hyperlink r:id="rId20" ref="G80"/>
    <hyperlink r:id="rId21" ref="H80"/>
    <hyperlink r:id="rId22" ref="G81"/>
    <hyperlink r:id="rId23" ref="G83"/>
    <hyperlink r:id="rId24" ref="H83"/>
    <hyperlink r:id="rId25" ref="G86"/>
    <hyperlink r:id="rId26" ref="H86"/>
    <hyperlink r:id="rId27" ref="E127"/>
    <hyperlink r:id="rId28" ref="F127"/>
    <hyperlink r:id="rId29" ref="E128"/>
    <hyperlink r:id="rId30" location="polycard_client=search-nordic&amp;position=8&amp;search_layout=stack&amp;type=item&amp;tracking_id=58405fbd-cadb-4af1-928f-5abc0bb393cd&amp;wid=MEC581849574&amp;sid=search" ref="F128"/>
    <hyperlink r:id="rId31" ref="E129"/>
    <hyperlink r:id="rId32" ref="F129"/>
    <hyperlink r:id="rId33" ref="E130"/>
    <hyperlink r:id="rId34" ref="F130"/>
    <hyperlink r:id="rId35" ref="E131"/>
    <hyperlink r:id="rId36" ref="F131"/>
    <hyperlink r:id="rId37" ref="E132"/>
    <hyperlink r:id="rId38" ref="F132"/>
    <hyperlink r:id="rId39" ref="F133"/>
    <hyperlink r:id="rId40" ref="E134"/>
    <hyperlink r:id="rId41" ref="F134"/>
    <hyperlink r:id="rId42" ref="E135"/>
    <hyperlink r:id="rId43" location="attr=" ref="F135"/>
    <hyperlink r:id="rId44" ref="E136"/>
    <hyperlink r:id="rId45" ref="F136"/>
    <hyperlink r:id="rId46" ref="E137"/>
    <hyperlink r:id="rId47" ref="F137"/>
    <hyperlink r:id="rId48" ref="E138"/>
    <hyperlink r:id="rId49" ref="F138"/>
    <hyperlink r:id="rId50" ref="E139"/>
    <hyperlink r:id="rId51" ref="F139"/>
    <hyperlink r:id="rId52" ref="E140"/>
    <hyperlink r:id="rId53" ref="F140"/>
    <hyperlink r:id="rId54" ref="E141"/>
    <hyperlink r:id="rId55" ref="F141"/>
    <hyperlink r:id="rId56" ref="F142"/>
    <hyperlink r:id="rId57" ref="F143"/>
    <hyperlink r:id="rId58" ref="F144"/>
    <hyperlink r:id="rId59" ref="F145"/>
    <hyperlink r:id="rId60" ref="E146"/>
    <hyperlink r:id="rId61" location=":~:text=Laser%20-%20monocromático%20HP%20LaserJet%20Enterprise%20Impresora,-%20Nuestro%20precio%20(sin%20IVA):%20670%2C20%20€." ref="F146"/>
    <hyperlink r:id="rId62" ref="E147"/>
    <hyperlink r:id="rId63" ref="F147"/>
    <hyperlink r:id="rId64" ref="F148"/>
    <hyperlink r:id="rId65" ref="E149"/>
    <hyperlink r:id="rId66" ref="F149"/>
    <hyperlink r:id="rId67" ref="E150"/>
    <hyperlink r:id="rId68" ref="F150"/>
    <hyperlink r:id="rId69" ref="F151"/>
    <hyperlink r:id="rId70" ref="E152"/>
    <hyperlink r:id="rId71" ref="F152"/>
  </hyperlinks>
  <printOptions/>
  <pageMargins bottom="0.75" footer="0.0" header="0.0" left="0.7" right="0.7" top="0.75"/>
  <pageSetup orientation="landscape"/>
  <drawing r:id="rId72"/>
  <tableParts count="2">
    <tablePart r:id="rId75"/>
    <tablePart r:id="rId7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4.88"/>
    <col customWidth="1" min="3" max="3" width="15.0"/>
    <col customWidth="1" min="4" max="4" width="22.63"/>
    <col customWidth="1" min="5" max="5" width="29.63"/>
    <col customWidth="1" min="6" max="6" width="59.13"/>
    <col customWidth="1" min="7" max="7" width="39.38"/>
    <col customWidth="1" min="8" max="8" width="21.5"/>
    <col customWidth="1" min="9" max="9" width="14.63"/>
    <col customWidth="1" min="10" max="10" width="17.38"/>
    <col customWidth="1" min="11" max="11" width="23.25"/>
    <col customWidth="1" min="12" max="12" width="17.63"/>
    <col customWidth="1" min="13" max="13" width="18.38"/>
    <col customWidth="1" min="14" max="14" width="14.75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</row>
    <row r="2">
      <c r="A2" s="20" t="s">
        <v>20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</row>
    <row r="4">
      <c r="A4" s="30" t="s">
        <v>37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</row>
    <row r="5">
      <c r="A5" s="37" t="s">
        <v>53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</row>
    <row r="6">
      <c r="A6" s="30" t="s">
        <v>60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</row>
    <row r="7">
      <c r="A7" s="37" t="s">
        <v>64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</row>
    <row r="8">
      <c r="A8" s="30" t="s">
        <v>67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</row>
    <row r="9">
      <c r="A9" s="37" t="s">
        <v>71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</row>
    <row r="10">
      <c r="A10" s="30" t="s">
        <v>73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</row>
    <row r="11">
      <c r="A11" s="37" t="s">
        <v>74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</row>
    <row r="12">
      <c r="A12" s="30" t="s">
        <v>75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</row>
    <row r="13">
      <c r="A13" s="37" t="s">
        <v>78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</row>
    <row r="14">
      <c r="A14" s="30" t="s">
        <v>80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</row>
    <row r="15">
      <c r="A15" s="37" t="s">
        <v>82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</row>
    <row r="16">
      <c r="A16" s="30" t="s">
        <v>86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</row>
    <row r="17">
      <c r="A17" s="37" t="s">
        <v>87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37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</row>
    <row r="19" ht="15.75" customHeight="1">
      <c r="A19" s="4"/>
      <c r="B19" s="54" t="s">
        <v>68</v>
      </c>
      <c r="C19" s="54" t="s">
        <v>39</v>
      </c>
      <c r="D19" s="54" t="s">
        <v>40</v>
      </c>
      <c r="E19" s="54" t="s">
        <v>42</v>
      </c>
      <c r="F19" s="54" t="s">
        <v>43</v>
      </c>
      <c r="G19" s="54" t="s">
        <v>44</v>
      </c>
      <c r="H19" s="54" t="s">
        <v>45</v>
      </c>
      <c r="I19" s="55" t="s">
        <v>46</v>
      </c>
      <c r="J19" s="54" t="s">
        <v>92</v>
      </c>
      <c r="K19" s="54" t="s">
        <v>48</v>
      </c>
      <c r="L19" s="55" t="s">
        <v>49</v>
      </c>
      <c r="N19" s="5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</row>
    <row r="20" ht="15.75" customHeight="1">
      <c r="A20" s="4"/>
      <c r="B20" s="58" t="s">
        <v>52</v>
      </c>
      <c r="C20" s="59" t="s">
        <v>94</v>
      </c>
      <c r="D20" s="59" t="s">
        <v>95</v>
      </c>
      <c r="E20" s="59">
        <v>29.0</v>
      </c>
      <c r="F20" s="59">
        <v>71.0</v>
      </c>
      <c r="G20" s="59">
        <v>23.0</v>
      </c>
      <c r="H20" s="59">
        <v>23.0</v>
      </c>
      <c r="I20" s="59">
        <v>2.0</v>
      </c>
      <c r="J20" s="59">
        <f t="shared" ref="J20:K20" si="1">SUM(J21:J29)</f>
        <v>3</v>
      </c>
      <c r="K20" s="59">
        <f t="shared" si="1"/>
        <v>7</v>
      </c>
      <c r="L20" s="59">
        <v>13.0</v>
      </c>
      <c r="N20" s="56"/>
      <c r="O20" s="72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</row>
    <row r="21" ht="15.75" customHeight="1">
      <c r="A21" s="4"/>
      <c r="B21" s="77" t="s">
        <v>37</v>
      </c>
      <c r="C21" s="79" t="s">
        <v>141</v>
      </c>
      <c r="D21" s="81" t="s">
        <v>142</v>
      </c>
      <c r="E21" s="79">
        <v>6.0</v>
      </c>
      <c r="F21" s="79">
        <f t="shared" ref="F21:F27" si="2">SUM(G21:L21)</f>
        <v>14</v>
      </c>
      <c r="G21" s="79">
        <v>6.0</v>
      </c>
      <c r="H21" s="79">
        <v>6.0</v>
      </c>
      <c r="I21" s="79">
        <v>0.0</v>
      </c>
      <c r="J21" s="79">
        <v>0.0</v>
      </c>
      <c r="K21" s="79">
        <v>1.0</v>
      </c>
      <c r="L21" s="79">
        <v>1.0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</row>
    <row r="22" ht="15.75" customHeight="1">
      <c r="A22" s="4"/>
      <c r="B22" s="95" t="s">
        <v>60</v>
      </c>
      <c r="C22" s="96" t="s">
        <v>180</v>
      </c>
      <c r="D22" s="97" t="s">
        <v>180</v>
      </c>
      <c r="E22" s="96">
        <v>6.0</v>
      </c>
      <c r="F22" s="79">
        <f t="shared" si="2"/>
        <v>14</v>
      </c>
      <c r="G22" s="96">
        <v>6.0</v>
      </c>
      <c r="H22" s="96">
        <v>6.0</v>
      </c>
      <c r="I22" s="96">
        <v>0.0</v>
      </c>
      <c r="J22" s="96">
        <v>0.0</v>
      </c>
      <c r="K22" s="96">
        <v>1.0</v>
      </c>
      <c r="L22" s="96">
        <v>1.0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</row>
    <row r="23" ht="15.75" customHeight="1">
      <c r="A23" s="4"/>
      <c r="B23" s="77" t="s">
        <v>67</v>
      </c>
      <c r="C23" s="79" t="s">
        <v>180</v>
      </c>
      <c r="D23" s="81" t="s">
        <v>180</v>
      </c>
      <c r="E23" s="79">
        <v>6.0</v>
      </c>
      <c r="F23" s="79">
        <f t="shared" si="2"/>
        <v>15</v>
      </c>
      <c r="G23" s="79">
        <v>6.0</v>
      </c>
      <c r="H23" s="79">
        <v>6.0</v>
      </c>
      <c r="I23" s="79">
        <v>0.0</v>
      </c>
      <c r="J23" s="79">
        <v>1.0</v>
      </c>
      <c r="K23" s="79">
        <v>1.0</v>
      </c>
      <c r="L23" s="79">
        <v>1.0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</row>
    <row r="24" ht="15.75" customHeight="1">
      <c r="A24" s="4"/>
      <c r="B24" s="125" t="s">
        <v>73</v>
      </c>
      <c r="C24" s="127" t="s">
        <v>195</v>
      </c>
      <c r="D24" s="128" t="s">
        <v>180</v>
      </c>
      <c r="E24" s="96">
        <v>6.0</v>
      </c>
      <c r="F24" s="79">
        <f t="shared" si="2"/>
        <v>15</v>
      </c>
      <c r="G24" s="96">
        <v>6.0</v>
      </c>
      <c r="H24" s="96">
        <v>6.0</v>
      </c>
      <c r="I24" s="96">
        <v>0.0</v>
      </c>
      <c r="J24" s="96">
        <v>1.0</v>
      </c>
      <c r="K24" s="96">
        <v>1.0</v>
      </c>
      <c r="L24" s="96">
        <v>1.0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</row>
    <row r="25" ht="15.75" customHeight="1">
      <c r="A25" s="4"/>
      <c r="B25" s="77" t="s">
        <v>75</v>
      </c>
      <c r="C25" s="79" t="s">
        <v>196</v>
      </c>
      <c r="D25" s="81" t="s">
        <v>197</v>
      </c>
      <c r="E25" s="79">
        <v>1.0</v>
      </c>
      <c r="F25" s="79">
        <f t="shared" si="2"/>
        <v>4</v>
      </c>
      <c r="G25" s="79">
        <v>1.0</v>
      </c>
      <c r="H25" s="79">
        <v>1.0</v>
      </c>
      <c r="I25" s="79">
        <v>0.0</v>
      </c>
      <c r="J25" s="79">
        <v>0.0</v>
      </c>
      <c r="K25" s="79">
        <v>1.0</v>
      </c>
      <c r="L25" s="79">
        <v>1.0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</row>
    <row r="26" ht="15.75" customHeight="1">
      <c r="A26" s="4"/>
      <c r="B26" s="95" t="s">
        <v>80</v>
      </c>
      <c r="C26" s="96" t="s">
        <v>196</v>
      </c>
      <c r="D26" s="97" t="s">
        <v>197</v>
      </c>
      <c r="E26" s="96">
        <v>0.0</v>
      </c>
      <c r="F26" s="79">
        <f t="shared" si="2"/>
        <v>2</v>
      </c>
      <c r="G26" s="96">
        <v>0.0</v>
      </c>
      <c r="H26" s="96">
        <v>0.0</v>
      </c>
      <c r="I26" s="96">
        <v>2.0</v>
      </c>
      <c r="J26" s="96">
        <v>0.0</v>
      </c>
      <c r="K26" s="96">
        <v>0.0</v>
      </c>
      <c r="L26" s="96">
        <v>0.0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</row>
    <row r="27" ht="15.75" customHeight="1">
      <c r="A27" s="4"/>
      <c r="B27" s="77" t="s">
        <v>86</v>
      </c>
      <c r="C27" s="79" t="s">
        <v>209</v>
      </c>
      <c r="D27" s="81" t="s">
        <v>211</v>
      </c>
      <c r="E27" s="79">
        <v>4.0</v>
      </c>
      <c r="F27" s="79">
        <f t="shared" si="2"/>
        <v>11</v>
      </c>
      <c r="G27" s="79">
        <v>4.0</v>
      </c>
      <c r="H27" s="79">
        <v>4.0</v>
      </c>
      <c r="I27" s="79">
        <v>0.0</v>
      </c>
      <c r="J27" s="79">
        <v>1.0</v>
      </c>
      <c r="K27" s="79">
        <v>1.0</v>
      </c>
      <c r="L27" s="79">
        <v>1.0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</row>
    <row r="28" ht="15.75" customHeight="1">
      <c r="A28" s="4"/>
      <c r="B28" s="95" t="s">
        <v>224</v>
      </c>
      <c r="C28" s="139" t="s">
        <v>102</v>
      </c>
      <c r="D28" s="141" t="s">
        <v>83</v>
      </c>
      <c r="E28" s="139">
        <v>0.0</v>
      </c>
      <c r="F28" s="79">
        <v>4.0</v>
      </c>
      <c r="G28" s="139">
        <v>0.0</v>
      </c>
      <c r="H28" s="139">
        <v>0.0</v>
      </c>
      <c r="I28" s="139">
        <v>0.0</v>
      </c>
      <c r="J28" s="139">
        <v>0.0</v>
      </c>
      <c r="K28" s="139">
        <v>0.0</v>
      </c>
      <c r="L28" s="139">
        <v>4.0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</row>
    <row r="29" ht="15.75" customHeight="1">
      <c r="A29" s="4"/>
      <c r="B29" s="150" t="s">
        <v>192</v>
      </c>
      <c r="C29" s="150">
        <v>0.0</v>
      </c>
      <c r="D29" s="150">
        <v>0.0</v>
      </c>
      <c r="E29" s="150">
        <v>0.0</v>
      </c>
      <c r="F29" s="79">
        <f>SUM(G29:L29)</f>
        <v>1</v>
      </c>
      <c r="G29" s="150">
        <v>0.0</v>
      </c>
      <c r="H29" s="150">
        <v>0.0</v>
      </c>
      <c r="I29" s="150">
        <v>0.0</v>
      </c>
      <c r="J29" s="150">
        <v>0.0</v>
      </c>
      <c r="K29" s="150">
        <v>1.0</v>
      </c>
      <c r="L29" s="150">
        <v>0.0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</row>
    <row r="31" ht="15.75" customHeight="1">
      <c r="A31" s="4"/>
      <c r="B31" s="170"/>
      <c r="C31" s="170"/>
      <c r="D31" s="170"/>
      <c r="E31" s="170"/>
      <c r="F31" s="170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</row>
    <row r="32" ht="15.75" customHeight="1">
      <c r="A32" s="4"/>
      <c r="B32" s="174" t="s">
        <v>208</v>
      </c>
      <c r="C32" s="174" t="s">
        <v>210</v>
      </c>
      <c r="D32" s="174" t="s">
        <v>212</v>
      </c>
      <c r="E32" s="174" t="s">
        <v>269</v>
      </c>
      <c r="F32" s="170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</row>
    <row r="33" ht="15.75" customHeight="1">
      <c r="A33" s="4"/>
      <c r="B33" s="177" t="s">
        <v>278</v>
      </c>
      <c r="C33" s="178">
        <v>1.0</v>
      </c>
      <c r="D33" s="178" t="s">
        <v>259</v>
      </c>
      <c r="E33" s="178" t="s">
        <v>280</v>
      </c>
      <c r="F33" s="170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</row>
    <row r="34" ht="15.75" customHeight="1">
      <c r="A34" s="4"/>
      <c r="B34" s="177" t="s">
        <v>285</v>
      </c>
      <c r="C34" s="178">
        <v>4.0</v>
      </c>
      <c r="D34" s="178" t="s">
        <v>221</v>
      </c>
      <c r="E34" s="178" t="s">
        <v>287</v>
      </c>
      <c r="F34" s="170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</row>
    <row r="35" ht="15.75" customHeight="1">
      <c r="A35" s="4"/>
      <c r="B35" s="177" t="s">
        <v>242</v>
      </c>
      <c r="C35" s="178">
        <v>4.0</v>
      </c>
      <c r="D35" s="178" t="s">
        <v>221</v>
      </c>
      <c r="E35" s="178" t="s">
        <v>304</v>
      </c>
      <c r="F35" s="170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</row>
    <row r="36" ht="15.75" customHeight="1">
      <c r="A36" s="4"/>
      <c r="B36" s="177" t="s">
        <v>310</v>
      </c>
      <c r="C36" s="178">
        <v>1.0</v>
      </c>
      <c r="D36" s="178" t="s">
        <v>259</v>
      </c>
      <c r="E36" s="178" t="s">
        <v>312</v>
      </c>
      <c r="F36" s="170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</row>
    <row r="37" ht="15.75" customHeight="1">
      <c r="A37" s="4"/>
      <c r="B37" s="177" t="s">
        <v>326</v>
      </c>
      <c r="C37" s="178">
        <v>1.0</v>
      </c>
      <c r="D37" s="178" t="s">
        <v>259</v>
      </c>
      <c r="E37" s="178" t="s">
        <v>331</v>
      </c>
      <c r="F37" s="170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</row>
    <row r="38" ht="15.75" customHeight="1">
      <c r="A38" s="4"/>
      <c r="B38" s="177" t="s">
        <v>338</v>
      </c>
      <c r="C38" s="178">
        <v>1.0</v>
      </c>
      <c r="D38" s="178" t="s">
        <v>341</v>
      </c>
      <c r="E38" s="178" t="s">
        <v>342</v>
      </c>
      <c r="F38" s="170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</row>
    <row r="39" ht="15.75" customHeight="1">
      <c r="A39" s="4"/>
      <c r="B39" s="177" t="s">
        <v>351</v>
      </c>
      <c r="C39" s="178">
        <v>80.0</v>
      </c>
      <c r="D39" s="178" t="s">
        <v>221</v>
      </c>
      <c r="E39" s="178" t="s">
        <v>354</v>
      </c>
      <c r="F39" s="170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</row>
    <row r="40" ht="15.75" customHeight="1">
      <c r="A40" s="4"/>
      <c r="B40" s="177" t="s">
        <v>362</v>
      </c>
      <c r="C40" s="193">
        <v>4.0</v>
      </c>
      <c r="D40" s="178" t="s">
        <v>221</v>
      </c>
      <c r="E40" s="178" t="s">
        <v>364</v>
      </c>
      <c r="F40" s="170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</row>
    <row r="43" ht="15.75" customHeight="1">
      <c r="A43" s="4"/>
      <c r="B43" s="4"/>
      <c r="C43" s="4"/>
      <c r="D43" s="4"/>
      <c r="G43" s="37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</row>
    <row r="44" ht="15.75" customHeight="1">
      <c r="A44" s="4"/>
      <c r="B44" s="54" t="s">
        <v>68</v>
      </c>
      <c r="C44" s="54" t="s">
        <v>384</v>
      </c>
      <c r="D44" s="54" t="s">
        <v>107</v>
      </c>
      <c r="E44" s="209" t="s">
        <v>108</v>
      </c>
      <c r="F44" s="108" t="s">
        <v>110</v>
      </c>
      <c r="G44" s="54" t="s">
        <v>112</v>
      </c>
      <c r="H44" s="54" t="s">
        <v>387</v>
      </c>
      <c r="I44" s="54" t="s">
        <v>388</v>
      </c>
      <c r="J44" s="54" t="s">
        <v>115</v>
      </c>
      <c r="K44" s="54" t="s">
        <v>389</v>
      </c>
      <c r="L44" s="54" t="s">
        <v>390</v>
      </c>
      <c r="M44" s="212" t="s">
        <v>391</v>
      </c>
      <c r="N44" s="214" t="s">
        <v>121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</row>
    <row r="45" ht="15.75" customHeight="1">
      <c r="A45" s="4"/>
      <c r="B45" s="217" t="s">
        <v>396</v>
      </c>
      <c r="C45" s="218">
        <f t="shared" ref="C45:D45" si="3">SUM(C46:C54)</f>
        <v>80</v>
      </c>
      <c r="D45" s="218">
        <f t="shared" si="3"/>
        <v>20</v>
      </c>
      <c r="E45" s="123">
        <v>80.0</v>
      </c>
      <c r="F45" s="221">
        <f t="shared" ref="F45:K45" si="4">SUM(F46:F54)</f>
        <v>60</v>
      </c>
      <c r="G45" s="218">
        <f t="shared" si="4"/>
        <v>20</v>
      </c>
      <c r="H45" s="218">
        <f t="shared" si="4"/>
        <v>20</v>
      </c>
      <c r="I45" s="218">
        <f t="shared" si="4"/>
        <v>5</v>
      </c>
      <c r="J45" s="218">
        <f t="shared" si="4"/>
        <v>80</v>
      </c>
      <c r="K45" s="218">
        <f t="shared" si="4"/>
        <v>20</v>
      </c>
      <c r="L45" s="218">
        <v>2.0</v>
      </c>
      <c r="M45" s="218">
        <f t="shared" ref="M45:N45" si="5">SUM(M46:M54)</f>
        <v>36</v>
      </c>
      <c r="N45" s="218">
        <f t="shared" si="5"/>
        <v>16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</row>
    <row r="46" ht="15.75" customHeight="1">
      <c r="A46" s="4"/>
      <c r="B46" s="77" t="s">
        <v>37</v>
      </c>
      <c r="C46" s="79">
        <f t="shared" ref="C46:C54" si="6">SUM(D46+F46)</f>
        <v>14</v>
      </c>
      <c r="D46" s="79">
        <v>2.0</v>
      </c>
      <c r="E46" s="24"/>
      <c r="F46" s="144">
        <v>12.0</v>
      </c>
      <c r="G46" s="79">
        <v>2.0</v>
      </c>
      <c r="H46" s="79">
        <v>0.0</v>
      </c>
      <c r="I46" s="79">
        <v>3.0</v>
      </c>
      <c r="J46" s="79">
        <v>14.0</v>
      </c>
      <c r="K46" s="79">
        <v>2.0</v>
      </c>
      <c r="L46" s="79">
        <v>0.0</v>
      </c>
      <c r="M46" s="79">
        <v>8.0</v>
      </c>
      <c r="N46" s="79">
        <v>6.0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</row>
    <row r="47" ht="15.75" customHeight="1">
      <c r="A47" s="4"/>
      <c r="B47" s="95" t="s">
        <v>60</v>
      </c>
      <c r="C47" s="79">
        <f t="shared" si="6"/>
        <v>14</v>
      </c>
      <c r="D47" s="79">
        <v>2.0</v>
      </c>
      <c r="E47" s="24"/>
      <c r="F47" s="51">
        <v>12.0</v>
      </c>
      <c r="G47" s="79">
        <v>2.0</v>
      </c>
      <c r="H47" s="96">
        <v>6.0</v>
      </c>
      <c r="I47" s="96">
        <v>0.0</v>
      </c>
      <c r="J47" s="79">
        <v>14.0</v>
      </c>
      <c r="K47" s="79">
        <v>4.0</v>
      </c>
      <c r="L47" s="79">
        <v>0.0</v>
      </c>
      <c r="M47" s="96">
        <v>4.0</v>
      </c>
      <c r="N47" s="96">
        <v>0.0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</row>
    <row r="48" ht="15.75" customHeight="1">
      <c r="A48" s="4"/>
      <c r="B48" s="77" t="s">
        <v>67</v>
      </c>
      <c r="C48" s="79">
        <f t="shared" si="6"/>
        <v>15</v>
      </c>
      <c r="D48" s="79">
        <v>3.0</v>
      </c>
      <c r="E48" s="24"/>
      <c r="F48" s="51">
        <v>12.0</v>
      </c>
      <c r="G48" s="79">
        <v>3.0</v>
      </c>
      <c r="H48" s="79">
        <v>6.0</v>
      </c>
      <c r="I48" s="79">
        <v>0.0</v>
      </c>
      <c r="J48" s="79">
        <v>15.0</v>
      </c>
      <c r="K48" s="79">
        <v>4.0</v>
      </c>
      <c r="L48" s="79">
        <v>0.0</v>
      </c>
      <c r="M48" s="79">
        <v>4.0</v>
      </c>
      <c r="N48" s="79">
        <v>0.0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</row>
    <row r="49" ht="15.75" customHeight="1">
      <c r="A49" s="4"/>
      <c r="B49" s="125" t="s">
        <v>73</v>
      </c>
      <c r="C49" s="79">
        <f t="shared" si="6"/>
        <v>15</v>
      </c>
      <c r="D49" s="79">
        <v>3.0</v>
      </c>
      <c r="E49" s="24"/>
      <c r="F49" s="51">
        <v>12.0</v>
      </c>
      <c r="G49" s="79">
        <v>3.0</v>
      </c>
      <c r="H49" s="79">
        <v>6.0</v>
      </c>
      <c r="I49" s="79">
        <v>0.0</v>
      </c>
      <c r="J49" s="79">
        <v>15.0</v>
      </c>
      <c r="K49" s="79">
        <v>4.0</v>
      </c>
      <c r="L49" s="79">
        <v>0.0</v>
      </c>
      <c r="M49" s="79">
        <v>4.0</v>
      </c>
      <c r="N49" s="79">
        <v>0.0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</row>
    <row r="50" ht="15.75" customHeight="1">
      <c r="A50" s="4"/>
      <c r="B50" s="77" t="s">
        <v>75</v>
      </c>
      <c r="C50" s="79">
        <f t="shared" si="6"/>
        <v>4</v>
      </c>
      <c r="D50" s="79">
        <v>2.0</v>
      </c>
      <c r="E50" s="24"/>
      <c r="F50" s="51">
        <v>2.0</v>
      </c>
      <c r="G50" s="96">
        <v>2.0</v>
      </c>
      <c r="H50" s="96">
        <v>1.0</v>
      </c>
      <c r="I50" s="96">
        <v>0.0</v>
      </c>
      <c r="J50" s="79">
        <v>4.0</v>
      </c>
      <c r="K50" s="79">
        <v>1.0</v>
      </c>
      <c r="L50" s="79">
        <v>1.0</v>
      </c>
      <c r="M50" s="96">
        <v>3.0</v>
      </c>
      <c r="N50" s="96">
        <v>2.0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</row>
    <row r="51" ht="15.75" customHeight="1">
      <c r="A51" s="4"/>
      <c r="B51" s="95" t="s">
        <v>80</v>
      </c>
      <c r="C51" s="79">
        <f t="shared" si="6"/>
        <v>2</v>
      </c>
      <c r="D51" s="79">
        <v>0.0</v>
      </c>
      <c r="E51" s="24"/>
      <c r="F51" s="51">
        <v>2.0</v>
      </c>
      <c r="G51" s="96">
        <v>0.0</v>
      </c>
      <c r="H51" s="96">
        <v>1.0</v>
      </c>
      <c r="I51" s="96">
        <v>0.0</v>
      </c>
      <c r="J51" s="79">
        <v>2.0</v>
      </c>
      <c r="K51" s="79">
        <v>1.0</v>
      </c>
      <c r="L51" s="79">
        <v>0.0</v>
      </c>
      <c r="M51" s="96">
        <v>3.0</v>
      </c>
      <c r="N51" s="96">
        <v>2.0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</row>
    <row r="52" ht="15.75" customHeight="1">
      <c r="A52" s="4"/>
      <c r="B52" s="77" t="s">
        <v>86</v>
      </c>
      <c r="C52" s="79">
        <f t="shared" si="6"/>
        <v>11</v>
      </c>
      <c r="D52" s="79">
        <v>3.0</v>
      </c>
      <c r="E52" s="24"/>
      <c r="F52" s="51">
        <v>8.0</v>
      </c>
      <c r="G52" s="96">
        <v>3.0</v>
      </c>
      <c r="H52" s="96">
        <v>0.0</v>
      </c>
      <c r="I52" s="96">
        <v>2.0</v>
      </c>
      <c r="J52" s="79">
        <v>11.0</v>
      </c>
      <c r="K52" s="79">
        <v>2.0</v>
      </c>
      <c r="L52" s="79">
        <v>1.0</v>
      </c>
      <c r="M52" s="96">
        <v>6.0</v>
      </c>
      <c r="N52" s="96">
        <v>4.0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</row>
    <row r="53" ht="15.75" customHeight="1">
      <c r="A53" s="4"/>
      <c r="B53" s="95" t="s">
        <v>224</v>
      </c>
      <c r="C53" s="79">
        <f t="shared" si="6"/>
        <v>4</v>
      </c>
      <c r="D53" s="79">
        <v>4.0</v>
      </c>
      <c r="E53" s="24"/>
      <c r="F53" s="51">
        <v>0.0</v>
      </c>
      <c r="G53" s="96">
        <v>4.0</v>
      </c>
      <c r="H53" s="96">
        <v>0.0</v>
      </c>
      <c r="I53" s="96">
        <v>0.0</v>
      </c>
      <c r="J53" s="79">
        <v>4.0</v>
      </c>
      <c r="K53" s="79">
        <v>2.0</v>
      </c>
      <c r="L53" s="79">
        <v>0.0</v>
      </c>
      <c r="M53" s="96">
        <v>3.0</v>
      </c>
      <c r="N53" s="96">
        <v>2.0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</row>
    <row r="54" ht="15.75" customHeight="1">
      <c r="A54" s="4"/>
      <c r="B54" s="150" t="s">
        <v>192</v>
      </c>
      <c r="C54" s="79">
        <f t="shared" si="6"/>
        <v>1</v>
      </c>
      <c r="D54" s="150">
        <v>1.0</v>
      </c>
      <c r="E54" s="31"/>
      <c r="F54" s="51">
        <v>0.0</v>
      </c>
      <c r="G54" s="150">
        <v>1.0</v>
      </c>
      <c r="H54" s="79">
        <v>0.0</v>
      </c>
      <c r="I54" s="150">
        <v>0.0</v>
      </c>
      <c r="J54" s="150">
        <v>1.0</v>
      </c>
      <c r="K54" s="150">
        <v>0.0</v>
      </c>
      <c r="L54" s="150">
        <v>0.0</v>
      </c>
      <c r="M54" s="150">
        <v>1.0</v>
      </c>
      <c r="N54" s="150">
        <v>0.0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</row>
    <row r="55" ht="15.75" customHeight="1">
      <c r="A55" s="4"/>
      <c r="B55" s="4"/>
      <c r="C55" s="4"/>
      <c r="D55" s="4"/>
      <c r="E55" s="206"/>
      <c r="F55" s="29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</row>
    <row r="56" ht="15.75" customHeight="1">
      <c r="A56" s="4"/>
      <c r="C56" s="131"/>
      <c r="D56" s="131"/>
      <c r="E56" s="131"/>
      <c r="F56" s="131"/>
      <c r="G56" s="131"/>
      <c r="H56" s="131"/>
      <c r="I56" s="131"/>
      <c r="J56" s="131"/>
      <c r="K56" s="131"/>
      <c r="L56" s="132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</row>
    <row r="57" ht="15.75" customHeight="1">
      <c r="A57" s="4"/>
      <c r="B57" s="133"/>
      <c r="C57" s="133"/>
      <c r="D57" s="133"/>
      <c r="E57" s="133"/>
      <c r="F57" s="133"/>
      <c r="G57" s="133"/>
      <c r="H57" s="131"/>
      <c r="I57" s="131"/>
      <c r="J57" s="131"/>
      <c r="K57" s="131"/>
      <c r="L57" s="132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</row>
    <row r="58" ht="15.75" customHeight="1">
      <c r="A58" s="4"/>
      <c r="B58" s="134" t="s">
        <v>198</v>
      </c>
      <c r="C58" s="134" t="s">
        <v>199</v>
      </c>
      <c r="D58" s="134" t="s">
        <v>200</v>
      </c>
      <c r="E58" s="134" t="s">
        <v>201</v>
      </c>
      <c r="F58" s="134" t="s">
        <v>202</v>
      </c>
      <c r="G58" s="134" t="s">
        <v>203</v>
      </c>
      <c r="H58" s="135" t="s">
        <v>204</v>
      </c>
      <c r="I58" s="135" t="s">
        <v>205</v>
      </c>
      <c r="J58" s="135" t="s">
        <v>206</v>
      </c>
      <c r="K58" s="135" t="s">
        <v>207</v>
      </c>
      <c r="L58" s="132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</row>
    <row r="59" ht="15.75" customHeight="1">
      <c r="A59" s="4"/>
      <c r="B59" s="136" t="s">
        <v>208</v>
      </c>
      <c r="C59" s="136" t="s">
        <v>210</v>
      </c>
      <c r="D59" s="136" t="s">
        <v>212</v>
      </c>
      <c r="E59" s="136" t="s">
        <v>213</v>
      </c>
      <c r="F59" s="136" t="s">
        <v>214</v>
      </c>
      <c r="G59" s="136" t="s">
        <v>215</v>
      </c>
      <c r="H59" s="137" t="s">
        <v>216</v>
      </c>
      <c r="I59" s="137" t="s">
        <v>217</v>
      </c>
      <c r="J59" s="137" t="s">
        <v>218</v>
      </c>
      <c r="K59" s="137" t="s">
        <v>219</v>
      </c>
      <c r="L59" s="132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</row>
    <row r="60" ht="15.75" customHeight="1">
      <c r="A60" s="4"/>
      <c r="B60" s="138" t="s">
        <v>220</v>
      </c>
      <c r="C60" s="138">
        <v>4.0</v>
      </c>
      <c r="D60" s="138" t="s">
        <v>221</v>
      </c>
      <c r="E60" s="138" t="s">
        <v>222</v>
      </c>
      <c r="F60" s="138" t="s">
        <v>223</v>
      </c>
      <c r="G60" s="140" t="s">
        <v>522</v>
      </c>
      <c r="H60" s="148" t="s">
        <v>226</v>
      </c>
      <c r="I60" s="148" t="s">
        <v>230</v>
      </c>
      <c r="J60" s="152">
        <v>1000.0</v>
      </c>
      <c r="K60" s="154">
        <f>J60*C60</f>
        <v>4000</v>
      </c>
      <c r="L60" s="132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</row>
    <row r="61" ht="15.75" customHeight="1">
      <c r="A61" s="4"/>
      <c r="B61" s="157" t="s">
        <v>231</v>
      </c>
      <c r="C61" s="160"/>
      <c r="D61" s="160"/>
      <c r="E61" s="160"/>
      <c r="F61" s="161"/>
      <c r="G61" s="161"/>
      <c r="H61" s="161"/>
      <c r="I61" s="161"/>
      <c r="J61" s="163"/>
      <c r="K61" s="161"/>
      <c r="L61" s="132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</row>
    <row r="62" ht="15.75" customHeight="1">
      <c r="A62" s="4"/>
      <c r="B62" s="166" t="s">
        <v>208</v>
      </c>
      <c r="C62" s="166" t="s">
        <v>210</v>
      </c>
      <c r="D62" s="166" t="s">
        <v>212</v>
      </c>
      <c r="E62" s="166" t="s">
        <v>248</v>
      </c>
      <c r="F62" s="166" t="s">
        <v>249</v>
      </c>
      <c r="G62" s="167"/>
      <c r="H62" s="169" t="s">
        <v>216</v>
      </c>
      <c r="I62" s="169" t="s">
        <v>217</v>
      </c>
      <c r="J62" s="169" t="s">
        <v>218</v>
      </c>
      <c r="K62" s="169" t="s">
        <v>219</v>
      </c>
      <c r="L62" s="132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</row>
    <row r="63" ht="15.75" customHeight="1">
      <c r="A63" s="4"/>
      <c r="B63" s="138" t="s">
        <v>258</v>
      </c>
      <c r="C63" s="138">
        <v>1.0</v>
      </c>
      <c r="D63" s="138" t="s">
        <v>259</v>
      </c>
      <c r="E63" s="138" t="s">
        <v>538</v>
      </c>
      <c r="F63" s="138" t="s">
        <v>441</v>
      </c>
      <c r="G63" s="172"/>
      <c r="H63" s="173" t="s">
        <v>216</v>
      </c>
      <c r="I63" s="148" t="s">
        <v>216</v>
      </c>
      <c r="J63" s="175">
        <v>220.0</v>
      </c>
      <c r="K63" s="154">
        <f t="shared" ref="K63:K67" si="7">J63*C63</f>
        <v>220</v>
      </c>
      <c r="L63" s="132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</row>
    <row r="64" ht="15.75" customHeight="1">
      <c r="A64" s="4"/>
      <c r="B64" s="138" t="s">
        <v>292</v>
      </c>
      <c r="C64" s="138">
        <v>4.0</v>
      </c>
      <c r="D64" s="138" t="s">
        <v>221</v>
      </c>
      <c r="E64" s="138" t="s">
        <v>558</v>
      </c>
      <c r="F64" s="138" t="s">
        <v>295</v>
      </c>
      <c r="G64" s="172"/>
      <c r="H64" s="148" t="s">
        <v>216</v>
      </c>
      <c r="I64" s="148" t="s">
        <v>216</v>
      </c>
      <c r="J64" s="175">
        <v>80.0</v>
      </c>
      <c r="K64" s="154">
        <f t="shared" si="7"/>
        <v>320</v>
      </c>
      <c r="L64" s="132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</row>
    <row r="65" ht="15.75" customHeight="1">
      <c r="A65" s="4"/>
      <c r="B65" s="138" t="s">
        <v>308</v>
      </c>
      <c r="C65" s="138">
        <v>4.0</v>
      </c>
      <c r="D65" s="138" t="s">
        <v>221</v>
      </c>
      <c r="E65" s="138" t="s">
        <v>311</v>
      </c>
      <c r="F65" s="138" t="s">
        <v>313</v>
      </c>
      <c r="G65" s="172"/>
      <c r="H65" s="148" t="s">
        <v>216</v>
      </c>
      <c r="I65" s="148" t="s">
        <v>216</v>
      </c>
      <c r="J65" s="175">
        <v>40.0</v>
      </c>
      <c r="K65" s="154">
        <f t="shared" si="7"/>
        <v>160</v>
      </c>
      <c r="L65" s="132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</row>
    <row r="66" ht="15.75" customHeight="1">
      <c r="A66" s="4"/>
      <c r="B66" s="138" t="s">
        <v>332</v>
      </c>
      <c r="C66" s="138">
        <v>1.0</v>
      </c>
      <c r="D66" s="138" t="s">
        <v>259</v>
      </c>
      <c r="E66" s="138" t="s">
        <v>333</v>
      </c>
      <c r="F66" s="138" t="s">
        <v>334</v>
      </c>
      <c r="G66" s="172"/>
      <c r="H66" s="148" t="s">
        <v>216</v>
      </c>
      <c r="I66" s="172"/>
      <c r="J66" s="175">
        <v>120.0</v>
      </c>
      <c r="K66" s="154">
        <f t="shared" si="7"/>
        <v>120</v>
      </c>
      <c r="L66" s="132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</row>
    <row r="67" ht="15.75" customHeight="1">
      <c r="A67" s="4"/>
      <c r="B67" s="138" t="s">
        <v>344</v>
      </c>
      <c r="C67" s="138">
        <v>1.0</v>
      </c>
      <c r="D67" s="138" t="s">
        <v>259</v>
      </c>
      <c r="E67" s="138" t="s">
        <v>346</v>
      </c>
      <c r="F67" s="138" t="s">
        <v>349</v>
      </c>
      <c r="G67" s="172"/>
      <c r="H67" s="148" t="s">
        <v>216</v>
      </c>
      <c r="I67" s="148" t="s">
        <v>216</v>
      </c>
      <c r="J67" s="175">
        <v>5000.0</v>
      </c>
      <c r="K67" s="154">
        <f t="shared" si="7"/>
        <v>5000</v>
      </c>
      <c r="L67" s="132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</row>
    <row r="68" ht="15.75" customHeight="1">
      <c r="A68" s="4"/>
      <c r="B68" s="192" t="s">
        <v>361</v>
      </c>
      <c r="C68" s="194"/>
      <c r="D68" s="194"/>
      <c r="E68" s="194"/>
      <c r="F68" s="194"/>
      <c r="G68" s="194"/>
      <c r="H68" s="194"/>
      <c r="I68" s="194"/>
      <c r="J68" s="196"/>
      <c r="K68" s="194"/>
      <c r="L68" s="132"/>
      <c r="M68" s="387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</row>
    <row r="69" ht="15.75" customHeight="1">
      <c r="A69" s="4"/>
      <c r="B69" s="197" t="s">
        <v>208</v>
      </c>
      <c r="C69" s="197" t="s">
        <v>210</v>
      </c>
      <c r="D69" s="197" t="s">
        <v>212</v>
      </c>
      <c r="E69" s="197" t="s">
        <v>248</v>
      </c>
      <c r="F69" s="197" t="s">
        <v>249</v>
      </c>
      <c r="G69" s="198"/>
      <c r="H69" s="199" t="s">
        <v>216</v>
      </c>
      <c r="I69" s="199" t="s">
        <v>217</v>
      </c>
      <c r="J69" s="199" t="s">
        <v>218</v>
      </c>
      <c r="K69" s="199" t="s">
        <v>219</v>
      </c>
      <c r="L69" s="132"/>
      <c r="M69" s="387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</row>
    <row r="70" ht="15.75" customHeight="1">
      <c r="A70" s="4"/>
      <c r="B70" s="202" t="s">
        <v>378</v>
      </c>
      <c r="C70" s="202">
        <v>80.0</v>
      </c>
      <c r="D70" s="202" t="s">
        <v>221</v>
      </c>
      <c r="E70" s="202" t="s">
        <v>379</v>
      </c>
      <c r="F70" s="202" t="s">
        <v>380</v>
      </c>
      <c r="G70" s="172"/>
      <c r="H70" s="148" t="s">
        <v>216</v>
      </c>
      <c r="I70" s="148" t="s">
        <v>216</v>
      </c>
      <c r="J70" s="152">
        <v>1.95</v>
      </c>
      <c r="K70" s="154">
        <f t="shared" ref="K70:K71" si="8">J70*C70</f>
        <v>156</v>
      </c>
      <c r="L70" s="132"/>
      <c r="M70" s="392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</row>
    <row r="71" ht="15.75" customHeight="1">
      <c r="A71" s="4"/>
      <c r="B71" s="202" t="s">
        <v>381</v>
      </c>
      <c r="C71" s="202">
        <v>4.0</v>
      </c>
      <c r="D71" s="202" t="s">
        <v>221</v>
      </c>
      <c r="E71" s="202" t="s">
        <v>383</v>
      </c>
      <c r="F71" s="202" t="s">
        <v>612</v>
      </c>
      <c r="G71" s="210" t="s">
        <v>386</v>
      </c>
      <c r="H71" s="148" t="s">
        <v>216</v>
      </c>
      <c r="I71" s="148" t="s">
        <v>216</v>
      </c>
      <c r="J71" s="152">
        <v>7.49</v>
      </c>
      <c r="K71" s="154">
        <f t="shared" si="8"/>
        <v>29.96</v>
      </c>
      <c r="L71" s="132"/>
      <c r="M71" s="392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</row>
    <row r="72" ht="15.75" customHeight="1">
      <c r="A72" s="4"/>
      <c r="B72" s="225"/>
      <c r="C72" s="225"/>
      <c r="D72" s="225"/>
      <c r="E72" s="225"/>
      <c r="F72" s="225"/>
      <c r="G72" s="227"/>
      <c r="H72" s="229"/>
      <c r="I72" s="229"/>
      <c r="J72" s="230" t="s">
        <v>411</v>
      </c>
      <c r="K72" s="232">
        <f>SUM(K60,K63:K67,K70:K71)</f>
        <v>10005.96</v>
      </c>
      <c r="L72" s="132"/>
      <c r="M72" s="392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</row>
    <row r="73" ht="15.75" customHeight="1">
      <c r="A73" s="4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2"/>
      <c r="M73" s="392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</row>
    <row r="74" ht="15.75" customHeight="1">
      <c r="A74" s="4"/>
      <c r="H74" s="412"/>
      <c r="I74" s="392"/>
      <c r="J74" s="392"/>
      <c r="K74" s="392"/>
      <c r="L74" s="392"/>
      <c r="M74" s="392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</row>
    <row r="75" ht="15.75" customHeight="1">
      <c r="A75" s="4"/>
      <c r="B75" s="416" t="s">
        <v>417</v>
      </c>
      <c r="C75" s="418"/>
      <c r="D75" s="420"/>
      <c r="E75" s="422"/>
      <c r="F75" s="294"/>
      <c r="G75" s="387"/>
      <c r="H75" s="412"/>
      <c r="I75" s="392"/>
      <c r="J75" s="392"/>
      <c r="K75" s="392"/>
      <c r="L75" s="392"/>
      <c r="M75" s="392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</row>
    <row r="76" ht="15.75" customHeight="1">
      <c r="A76" s="4"/>
      <c r="B76" s="416" t="s">
        <v>425</v>
      </c>
      <c r="C76" s="416" t="s">
        <v>427</v>
      </c>
      <c r="D76" s="416" t="s">
        <v>428</v>
      </c>
      <c r="E76" s="416" t="s">
        <v>430</v>
      </c>
      <c r="F76" s="387"/>
      <c r="G76" s="387"/>
      <c r="H76" s="269" t="s">
        <v>445</v>
      </c>
      <c r="I76" s="13"/>
      <c r="J76" s="271"/>
      <c r="K76" s="269" t="s">
        <v>626</v>
      </c>
      <c r="L76" s="13"/>
      <c r="M76" s="392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</row>
    <row r="77" ht="15.75" customHeight="1">
      <c r="A77" s="4"/>
      <c r="B77" s="433" t="s">
        <v>93</v>
      </c>
      <c r="C77" s="434">
        <f t="shared" ref="C77:E77" si="9">SUM(C78:C91)</f>
        <v>80</v>
      </c>
      <c r="D77" s="434">
        <f t="shared" si="9"/>
        <v>65.03</v>
      </c>
      <c r="E77" s="435">
        <f t="shared" si="9"/>
        <v>0</v>
      </c>
      <c r="F77" s="387"/>
      <c r="G77" s="387"/>
      <c r="H77" s="280">
        <f>D77+K77</f>
        <v>123.03</v>
      </c>
      <c r="I77" s="13"/>
      <c r="J77" s="259"/>
      <c r="K77" s="436">
        <v>58.0</v>
      </c>
      <c r="L77" s="13"/>
      <c r="M77" s="392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</row>
    <row r="78" ht="15.75" customHeight="1">
      <c r="A78" s="4"/>
      <c r="B78" s="440" t="s">
        <v>623</v>
      </c>
      <c r="C78" s="442">
        <v>16.0</v>
      </c>
      <c r="D78" s="442">
        <v>9.36</v>
      </c>
      <c r="E78" s="444" t="s">
        <v>153</v>
      </c>
      <c r="F78" s="445" t="s">
        <v>632</v>
      </c>
      <c r="H78" s="285"/>
      <c r="I78" s="285"/>
      <c r="J78" s="271"/>
      <c r="K78" s="260"/>
      <c r="L78" s="392"/>
      <c r="M78" s="392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</row>
    <row r="79" ht="15.75" customHeight="1">
      <c r="A79" s="4"/>
      <c r="B79" s="451" t="s">
        <v>462</v>
      </c>
      <c r="C79" s="452">
        <v>14.0</v>
      </c>
      <c r="D79" s="442">
        <v>9.36</v>
      </c>
      <c r="E79" s="444" t="s">
        <v>153</v>
      </c>
      <c r="F79" s="445" t="s">
        <v>637</v>
      </c>
      <c r="J79" s="259"/>
      <c r="K79" s="286"/>
      <c r="L79" s="392"/>
      <c r="M79" s="392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</row>
    <row r="80" ht="15.75" customHeight="1">
      <c r="A80" s="4"/>
      <c r="B80" s="440" t="s">
        <v>468</v>
      </c>
      <c r="C80" s="442">
        <v>9.0</v>
      </c>
      <c r="D80" s="442">
        <v>3.32</v>
      </c>
      <c r="E80" s="444" t="s">
        <v>151</v>
      </c>
      <c r="F80" s="445" t="s">
        <v>643</v>
      </c>
      <c r="J80" s="271"/>
      <c r="K80" s="286"/>
      <c r="L80" s="392"/>
      <c r="M80" s="392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</row>
    <row r="81" ht="15.75" customHeight="1">
      <c r="A81" s="4"/>
      <c r="B81" s="440" t="s">
        <v>476</v>
      </c>
      <c r="C81" s="442">
        <v>6.0</v>
      </c>
      <c r="D81" s="442">
        <v>1.62</v>
      </c>
      <c r="E81" s="444" t="s">
        <v>148</v>
      </c>
      <c r="F81" s="445" t="s">
        <v>643</v>
      </c>
      <c r="H81" s="291" t="s">
        <v>651</v>
      </c>
      <c r="I81" s="13"/>
      <c r="J81" s="259"/>
      <c r="K81" s="259"/>
      <c r="L81" s="392"/>
      <c r="M81" s="392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</row>
    <row r="82" ht="15.75" customHeight="1">
      <c r="A82" s="4"/>
      <c r="B82" s="440" t="s">
        <v>477</v>
      </c>
      <c r="C82" s="442">
        <v>1.0</v>
      </c>
      <c r="D82" s="442">
        <v>0.13</v>
      </c>
      <c r="E82" s="444" t="s">
        <v>659</v>
      </c>
      <c r="F82" s="445" t="s">
        <v>643</v>
      </c>
      <c r="H82" s="292" t="s">
        <v>39</v>
      </c>
      <c r="I82" s="292">
        <v>18.07</v>
      </c>
      <c r="J82" s="271"/>
      <c r="K82" s="271"/>
      <c r="L82" s="392"/>
      <c r="M82" s="392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</row>
    <row r="83" ht="15.75" customHeight="1">
      <c r="A83" s="4"/>
      <c r="B83" s="451" t="s">
        <v>491</v>
      </c>
      <c r="C83" s="452">
        <v>17.0</v>
      </c>
      <c r="D83" s="442">
        <v>9.66</v>
      </c>
      <c r="E83" s="444" t="s">
        <v>159</v>
      </c>
      <c r="F83" s="445" t="s">
        <v>666</v>
      </c>
      <c r="H83" s="293" t="s">
        <v>502</v>
      </c>
      <c r="I83" s="293">
        <v>0.1</v>
      </c>
      <c r="J83" s="259"/>
      <c r="K83" s="259"/>
      <c r="L83" s="392"/>
      <c r="M83" s="392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</row>
    <row r="84" ht="15.75" customHeight="1">
      <c r="A84" s="4"/>
      <c r="B84" s="451" t="s">
        <v>501</v>
      </c>
      <c r="C84" s="452">
        <v>4.0</v>
      </c>
      <c r="D84" s="442">
        <v>9.77</v>
      </c>
      <c r="E84" s="444" t="s">
        <v>148</v>
      </c>
      <c r="F84" s="445" t="s">
        <v>673</v>
      </c>
      <c r="H84" s="292" t="s">
        <v>504</v>
      </c>
      <c r="I84" s="292">
        <v>0.6</v>
      </c>
      <c r="J84" s="271"/>
      <c r="K84" s="271"/>
      <c r="L84" s="392"/>
      <c r="M84" s="392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</row>
    <row r="85" ht="15.75" customHeight="1">
      <c r="A85" s="4"/>
      <c r="B85" s="451" t="s">
        <v>503</v>
      </c>
      <c r="C85" s="452">
        <v>1.0</v>
      </c>
      <c r="D85" s="442">
        <v>0.2</v>
      </c>
      <c r="E85" s="444" t="s">
        <v>659</v>
      </c>
      <c r="F85" s="445" t="s">
        <v>673</v>
      </c>
      <c r="J85" s="259"/>
      <c r="K85" s="259"/>
      <c r="L85" s="392"/>
      <c r="M85" s="392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</row>
    <row r="86" ht="15.75" customHeight="1">
      <c r="A86" s="4"/>
      <c r="B86" s="451" t="s">
        <v>507</v>
      </c>
      <c r="C86" s="452">
        <v>3.0</v>
      </c>
      <c r="D86" s="442">
        <v>0.2</v>
      </c>
      <c r="E86" s="444" t="s">
        <v>659</v>
      </c>
      <c r="F86" s="445" t="s">
        <v>673</v>
      </c>
      <c r="H86" s="302"/>
      <c r="L86" s="470"/>
      <c r="M86" s="392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</row>
    <row r="87" ht="15.75" customHeight="1">
      <c r="A87" s="4"/>
      <c r="B87" s="451" t="s">
        <v>510</v>
      </c>
      <c r="C87" s="452">
        <v>1.0</v>
      </c>
      <c r="D87" s="442">
        <v>2.45</v>
      </c>
      <c r="E87" s="444" t="s">
        <v>659</v>
      </c>
      <c r="F87" s="445" t="s">
        <v>666</v>
      </c>
      <c r="H87" s="302"/>
      <c r="J87" s="480"/>
      <c r="L87" s="481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</row>
    <row r="88" ht="15.75" customHeight="1">
      <c r="A88" s="4"/>
      <c r="B88" s="451" t="s">
        <v>512</v>
      </c>
      <c r="C88" s="452">
        <v>1.0</v>
      </c>
      <c r="D88" s="442">
        <v>0.23</v>
      </c>
      <c r="E88" s="444" t="s">
        <v>659</v>
      </c>
      <c r="F88" s="445" t="s">
        <v>695</v>
      </c>
      <c r="H88" s="485"/>
      <c r="I88" s="485"/>
      <c r="J88" s="485"/>
      <c r="K88" s="486"/>
      <c r="L88" s="481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</row>
    <row r="89" ht="15.75" customHeight="1">
      <c r="A89" s="4"/>
      <c r="B89" s="440" t="s">
        <v>516</v>
      </c>
      <c r="C89" s="442">
        <v>4.0</v>
      </c>
      <c r="D89" s="442">
        <v>9.67</v>
      </c>
      <c r="E89" s="444" t="s">
        <v>148</v>
      </c>
      <c r="F89" s="445" t="s">
        <v>702</v>
      </c>
      <c r="H89" s="485"/>
      <c r="I89" s="485"/>
      <c r="J89" s="485"/>
      <c r="K89" s="486"/>
      <c r="L89" s="481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</row>
    <row r="90" ht="15.75" customHeight="1">
      <c r="A90" s="4"/>
      <c r="B90" s="440" t="s">
        <v>517</v>
      </c>
      <c r="C90" s="452">
        <v>1.0</v>
      </c>
      <c r="D90" s="442">
        <v>7.68</v>
      </c>
      <c r="E90" s="444" t="s">
        <v>659</v>
      </c>
      <c r="F90" s="445" t="s">
        <v>708</v>
      </c>
      <c r="H90" s="485"/>
      <c r="I90" s="485"/>
      <c r="J90" s="485"/>
      <c r="K90" s="486"/>
      <c r="L90" s="481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</row>
    <row r="91" ht="15.75" customHeight="1">
      <c r="A91" s="4"/>
      <c r="B91" s="440" t="s">
        <v>518</v>
      </c>
      <c r="C91" s="452">
        <v>2.0</v>
      </c>
      <c r="D91" s="442">
        <v>1.38</v>
      </c>
      <c r="E91" s="444" t="s">
        <v>659</v>
      </c>
      <c r="F91" s="445" t="s">
        <v>714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</row>
    <row r="94" ht="15.75" customHeight="1">
      <c r="A94" s="4"/>
      <c r="B94" s="54" t="s">
        <v>566</v>
      </c>
      <c r="C94" s="54" t="s">
        <v>567</v>
      </c>
      <c r="D94" s="54" t="s">
        <v>568</v>
      </c>
      <c r="E94" s="54" t="s">
        <v>570</v>
      </c>
      <c r="F94" s="54" t="s">
        <v>572</v>
      </c>
      <c r="G94" s="54" t="s">
        <v>133</v>
      </c>
      <c r="H94" s="54" t="s">
        <v>573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</row>
    <row r="95" ht="15.75" customHeight="1">
      <c r="A95" s="4"/>
      <c r="B95" s="72" t="s">
        <v>724</v>
      </c>
      <c r="C95" s="97">
        <v>6.0</v>
      </c>
      <c r="D95" s="511">
        <v>33.68</v>
      </c>
      <c r="E95" s="514">
        <f t="shared" ref="E95:E119" si="10">C95*D95</f>
        <v>202.08</v>
      </c>
      <c r="F95" s="515" t="s">
        <v>725</v>
      </c>
      <c r="G95" s="516" t="s">
        <v>728</v>
      </c>
      <c r="H95" s="517"/>
      <c r="I95" s="518"/>
      <c r="J95" s="518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</row>
    <row r="96" ht="15.75" customHeight="1">
      <c r="A96" s="4"/>
      <c r="B96" s="95" t="s">
        <v>112</v>
      </c>
      <c r="C96" s="97">
        <v>1.0</v>
      </c>
      <c r="D96" s="519">
        <v>2.4</v>
      </c>
      <c r="E96" s="527">
        <f t="shared" si="10"/>
        <v>2.4</v>
      </c>
      <c r="F96" s="528" t="s">
        <v>741</v>
      </c>
      <c r="G96" s="533" t="s">
        <v>742</v>
      </c>
      <c r="H96" s="517"/>
      <c r="I96" s="518"/>
      <c r="J96" s="518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</row>
    <row r="97" ht="15.75" customHeight="1">
      <c r="A97" s="4"/>
      <c r="B97" s="77" t="s">
        <v>387</v>
      </c>
      <c r="C97" s="81">
        <v>20.0</v>
      </c>
      <c r="D97" s="544">
        <v>2.5</v>
      </c>
      <c r="E97" s="527">
        <f t="shared" si="10"/>
        <v>50</v>
      </c>
      <c r="F97" s="528" t="s">
        <v>758</v>
      </c>
      <c r="G97" s="564" t="s">
        <v>760</v>
      </c>
      <c r="H97" s="565"/>
      <c r="I97" s="518"/>
      <c r="J97" s="518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</row>
    <row r="98" ht="15.75" customHeight="1">
      <c r="A98" s="4"/>
      <c r="B98" s="77" t="s">
        <v>388</v>
      </c>
      <c r="C98" s="81">
        <v>5.0</v>
      </c>
      <c r="D98" s="544">
        <v>1.0</v>
      </c>
      <c r="E98" s="527">
        <f t="shared" si="10"/>
        <v>5</v>
      </c>
      <c r="F98" s="528" t="s">
        <v>770</v>
      </c>
      <c r="G98" s="573" t="s">
        <v>771</v>
      </c>
      <c r="H98" s="565"/>
      <c r="I98" s="518"/>
      <c r="J98" s="518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</row>
    <row r="99" ht="15.75" customHeight="1">
      <c r="A99" s="4"/>
      <c r="B99" s="581" t="s">
        <v>391</v>
      </c>
      <c r="C99" s="97">
        <v>7.0</v>
      </c>
      <c r="D99" s="519">
        <v>1.65</v>
      </c>
      <c r="E99" s="527">
        <f t="shared" si="10"/>
        <v>11.55</v>
      </c>
      <c r="F99" s="589"/>
      <c r="G99" s="590" t="s">
        <v>592</v>
      </c>
      <c r="H99" s="517"/>
      <c r="I99" s="518"/>
      <c r="J99" s="518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</row>
    <row r="100" ht="15.75" customHeight="1">
      <c r="A100" s="4"/>
      <c r="B100" s="591" t="s">
        <v>121</v>
      </c>
      <c r="C100" s="592">
        <v>16.0</v>
      </c>
      <c r="D100" s="594">
        <v>1.65</v>
      </c>
      <c r="E100" s="595">
        <f t="shared" si="10"/>
        <v>26.4</v>
      </c>
      <c r="F100" s="596"/>
      <c r="G100" s="597" t="s">
        <v>832</v>
      </c>
      <c r="H100" s="598"/>
      <c r="I100" s="518"/>
      <c r="J100" s="518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</row>
    <row r="101" ht="15.75" customHeight="1">
      <c r="A101" s="4"/>
      <c r="B101" s="77" t="s">
        <v>107</v>
      </c>
      <c r="C101" s="81">
        <v>20.0</v>
      </c>
      <c r="D101" s="599">
        <v>1.95</v>
      </c>
      <c r="E101" s="527">
        <f t="shared" si="10"/>
        <v>39</v>
      </c>
      <c r="F101" s="600" t="s">
        <v>614</v>
      </c>
      <c r="G101" s="601" t="s">
        <v>615</v>
      </c>
      <c r="H101" s="565"/>
      <c r="I101" s="518"/>
      <c r="J101" s="518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</row>
    <row r="102" ht="15.75" customHeight="1">
      <c r="A102" s="4"/>
      <c r="B102" s="77" t="s">
        <v>110</v>
      </c>
      <c r="C102" s="97">
        <v>60.0</v>
      </c>
      <c r="D102" s="599">
        <v>4.47</v>
      </c>
      <c r="E102" s="527">
        <f t="shared" si="10"/>
        <v>268.2</v>
      </c>
      <c r="F102" s="603" t="s">
        <v>627</v>
      </c>
      <c r="G102" s="605" t="s">
        <v>627</v>
      </c>
      <c r="H102" s="517"/>
      <c r="I102" s="518"/>
      <c r="J102" s="518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</row>
    <row r="103" ht="15.75" customHeight="1">
      <c r="A103" s="4"/>
      <c r="B103" s="95" t="s">
        <v>116</v>
      </c>
      <c r="C103" s="97">
        <v>26.0</v>
      </c>
      <c r="D103" s="519">
        <v>3.0</v>
      </c>
      <c r="E103" s="527">
        <f t="shared" si="10"/>
        <v>78</v>
      </c>
      <c r="F103" s="600" t="s">
        <v>859</v>
      </c>
      <c r="G103" s="601" t="s">
        <v>862</v>
      </c>
      <c r="H103" s="517"/>
      <c r="I103" s="518"/>
      <c r="J103" s="518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</row>
    <row r="104" ht="15.75" customHeight="1">
      <c r="A104" s="4"/>
      <c r="B104" s="77" t="s">
        <v>871</v>
      </c>
      <c r="C104" s="81">
        <v>80.0</v>
      </c>
      <c r="D104" s="599">
        <v>5.0</v>
      </c>
      <c r="E104" s="527">
        <f t="shared" si="10"/>
        <v>400</v>
      </c>
      <c r="F104" s="620" t="s">
        <v>646</v>
      </c>
      <c r="G104" s="621" t="s">
        <v>881</v>
      </c>
      <c r="H104" s="565"/>
      <c r="I104" s="518"/>
      <c r="J104" s="518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</row>
    <row r="105" ht="15.75" customHeight="1">
      <c r="A105" s="4"/>
      <c r="B105" s="95" t="s">
        <v>650</v>
      </c>
      <c r="C105" s="97">
        <v>29.0</v>
      </c>
      <c r="D105" s="519">
        <v>75.0</v>
      </c>
      <c r="E105" s="527">
        <f t="shared" si="10"/>
        <v>2175</v>
      </c>
      <c r="F105" s="515" t="s">
        <v>882</v>
      </c>
      <c r="G105" s="516" t="s">
        <v>884</v>
      </c>
      <c r="H105" s="517"/>
      <c r="I105" s="518"/>
      <c r="J105" s="518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</row>
    <row r="106" ht="15.75" customHeight="1">
      <c r="A106" s="4"/>
      <c r="B106" s="77" t="s">
        <v>672</v>
      </c>
      <c r="C106" s="81">
        <v>29.0</v>
      </c>
      <c r="D106" s="599">
        <v>310.0</v>
      </c>
      <c r="E106" s="527">
        <f t="shared" si="10"/>
        <v>8990</v>
      </c>
      <c r="F106" s="637" t="s">
        <v>890</v>
      </c>
      <c r="G106" s="564" t="s">
        <v>900</v>
      </c>
      <c r="H106" s="565"/>
      <c r="I106" s="518"/>
      <c r="J106" s="518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</row>
    <row r="107" ht="15.75" customHeight="1">
      <c r="A107" s="4"/>
      <c r="B107" s="95" t="s">
        <v>677</v>
      </c>
      <c r="C107" s="97">
        <v>29.0</v>
      </c>
      <c r="D107" s="519">
        <v>110.0</v>
      </c>
      <c r="E107" s="527">
        <f t="shared" si="10"/>
        <v>3190</v>
      </c>
      <c r="F107" s="637" t="s">
        <v>946</v>
      </c>
      <c r="G107" s="564" t="s">
        <v>951</v>
      </c>
      <c r="H107" s="517"/>
      <c r="I107" s="518"/>
      <c r="J107" s="518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</row>
    <row r="108" ht="15.75" customHeight="1">
      <c r="A108" s="4"/>
      <c r="B108" s="77" t="s">
        <v>656</v>
      </c>
      <c r="C108" s="81">
        <v>2.0</v>
      </c>
      <c r="D108" s="599">
        <v>500.0</v>
      </c>
      <c r="E108" s="527">
        <f t="shared" si="10"/>
        <v>1000</v>
      </c>
      <c r="F108" s="515" t="s">
        <v>964</v>
      </c>
      <c r="G108" s="516" t="s">
        <v>969</v>
      </c>
      <c r="H108" s="565"/>
      <c r="I108" s="518"/>
      <c r="J108" s="518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</row>
    <row r="109" ht="15.75" customHeight="1">
      <c r="A109" s="4"/>
      <c r="B109" s="95" t="s">
        <v>663</v>
      </c>
      <c r="C109" s="97">
        <v>7.0</v>
      </c>
      <c r="D109" s="519">
        <v>290.0</v>
      </c>
      <c r="E109" s="527">
        <f t="shared" si="10"/>
        <v>2030</v>
      </c>
      <c r="F109" s="515" t="s">
        <v>976</v>
      </c>
      <c r="G109" s="564" t="s">
        <v>978</v>
      </c>
      <c r="H109" s="674" t="s">
        <v>669</v>
      </c>
      <c r="K109" s="675"/>
      <c r="L109" s="676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</row>
    <row r="110" ht="15.75" customHeight="1">
      <c r="A110" s="4"/>
      <c r="B110" s="677" t="s">
        <v>682</v>
      </c>
      <c r="C110" s="678">
        <v>3.0</v>
      </c>
      <c r="D110" s="679">
        <v>640.0</v>
      </c>
      <c r="E110" s="527">
        <f t="shared" si="10"/>
        <v>1920</v>
      </c>
      <c r="F110" s="637" t="s">
        <v>979</v>
      </c>
      <c r="G110" s="680" t="s">
        <v>980</v>
      </c>
      <c r="H110" s="681"/>
      <c r="I110" s="518"/>
      <c r="J110" s="518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</row>
    <row r="111" ht="15.75" customHeight="1">
      <c r="A111" s="4"/>
      <c r="B111" s="451" t="s">
        <v>726</v>
      </c>
      <c r="C111" s="683">
        <v>7.0</v>
      </c>
      <c r="D111" s="684">
        <v>58.13</v>
      </c>
      <c r="E111" s="527">
        <f t="shared" si="10"/>
        <v>406.91</v>
      </c>
      <c r="F111" s="685" t="s">
        <v>982</v>
      </c>
      <c r="G111" s="686" t="s">
        <v>727</v>
      </c>
      <c r="H111" s="565"/>
      <c r="I111" s="518"/>
      <c r="J111" s="518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</row>
    <row r="112" ht="15.75" customHeight="1">
      <c r="A112" s="4"/>
      <c r="B112" s="451" t="s">
        <v>729</v>
      </c>
      <c r="C112" s="683">
        <v>1.0</v>
      </c>
      <c r="D112" s="684">
        <v>14.6</v>
      </c>
      <c r="E112" s="527">
        <f t="shared" si="10"/>
        <v>14.6</v>
      </c>
      <c r="F112" s="687" t="s">
        <v>730</v>
      </c>
      <c r="G112" s="686" t="s">
        <v>730</v>
      </c>
      <c r="H112" s="565"/>
      <c r="I112" s="518"/>
      <c r="J112" s="518"/>
      <c r="K112" s="387"/>
      <c r="L112" s="387"/>
      <c r="M112" s="387"/>
      <c r="N112" s="387"/>
      <c r="O112" s="387"/>
      <c r="P112" s="387"/>
      <c r="Q112" s="387"/>
      <c r="R112" s="387"/>
      <c r="S112" s="387"/>
      <c r="T112" s="387"/>
      <c r="U112" s="387"/>
      <c r="V112" s="387"/>
      <c r="W112" s="387"/>
      <c r="X112" s="387"/>
      <c r="Y112" s="387"/>
      <c r="Z112" s="387"/>
      <c r="AA112" s="387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</row>
    <row r="113" ht="15.75" customHeight="1">
      <c r="A113" s="4"/>
      <c r="B113" s="77" t="s">
        <v>985</v>
      </c>
      <c r="C113" s="81">
        <v>10.0</v>
      </c>
      <c r="D113" s="599">
        <v>3.37</v>
      </c>
      <c r="E113" s="527">
        <f t="shared" si="10"/>
        <v>33.7</v>
      </c>
      <c r="F113" s="515" t="s">
        <v>986</v>
      </c>
      <c r="G113" s="564" t="s">
        <v>987</v>
      </c>
      <c r="H113" s="565"/>
      <c r="I113" s="518"/>
      <c r="J113" s="518"/>
      <c r="K113" s="387"/>
      <c r="L113" s="387"/>
      <c r="M113" s="387"/>
      <c r="N113" s="387"/>
      <c r="O113" s="387"/>
      <c r="P113" s="387"/>
      <c r="Q113" s="387"/>
      <c r="R113" s="387"/>
      <c r="S113" s="387"/>
      <c r="T113" s="387"/>
      <c r="U113" s="387"/>
      <c r="V113" s="387"/>
      <c r="W113" s="387"/>
      <c r="X113" s="387"/>
      <c r="Y113" s="387"/>
      <c r="Z113" s="387"/>
      <c r="AA113" s="387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</row>
    <row r="114" ht="15.75" customHeight="1">
      <c r="A114" s="4"/>
      <c r="B114" s="689" t="s">
        <v>687</v>
      </c>
      <c r="C114" s="690">
        <v>7.0</v>
      </c>
      <c r="D114" s="691">
        <v>4.77</v>
      </c>
      <c r="E114" s="527">
        <f t="shared" si="10"/>
        <v>33.39</v>
      </c>
      <c r="F114" s="692" t="s">
        <v>988</v>
      </c>
      <c r="G114" s="693" t="s">
        <v>989</v>
      </c>
      <c r="H114" s="694"/>
      <c r="I114" s="518"/>
      <c r="J114" s="518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</row>
    <row r="115" ht="15.75" customHeight="1">
      <c r="A115" s="4"/>
      <c r="B115" s="695" t="s">
        <v>700</v>
      </c>
      <c r="C115" s="81">
        <v>3.0</v>
      </c>
      <c r="D115" s="599">
        <v>7.25</v>
      </c>
      <c r="E115" s="527">
        <f t="shared" si="10"/>
        <v>21.75</v>
      </c>
      <c r="F115" s="637" t="s">
        <v>990</v>
      </c>
      <c r="G115" s="564" t="s">
        <v>991</v>
      </c>
      <c r="H115" s="565"/>
      <c r="I115" s="518"/>
      <c r="J115" s="518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</row>
    <row r="116" ht="15.75" customHeight="1">
      <c r="A116" s="4"/>
      <c r="B116" s="150" t="s">
        <v>992</v>
      </c>
      <c r="C116" s="696">
        <v>2.0</v>
      </c>
      <c r="D116" s="697">
        <v>1.74</v>
      </c>
      <c r="E116" s="595">
        <f t="shared" si="10"/>
        <v>3.48</v>
      </c>
      <c r="F116" s="698" t="s">
        <v>993</v>
      </c>
      <c r="G116" s="699" t="s">
        <v>993</v>
      </c>
      <c r="H116" s="565"/>
      <c r="I116" s="518"/>
      <c r="J116" s="518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</row>
    <row r="117" ht="15.75" customHeight="1">
      <c r="A117" s="4"/>
      <c r="B117" s="150" t="s">
        <v>996</v>
      </c>
      <c r="C117" s="696">
        <v>2.0</v>
      </c>
      <c r="D117" s="697">
        <v>4.02</v>
      </c>
      <c r="E117" s="595">
        <f t="shared" si="10"/>
        <v>8.04</v>
      </c>
      <c r="F117" s="698" t="s">
        <v>997</v>
      </c>
      <c r="G117" s="699" t="s">
        <v>998</v>
      </c>
      <c r="H117" s="565"/>
      <c r="I117" s="518"/>
      <c r="J117" s="518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</row>
    <row r="118" ht="15.75" customHeight="1">
      <c r="A118" s="4"/>
      <c r="B118" s="689" t="s">
        <v>389</v>
      </c>
      <c r="C118" s="97">
        <v>20.0</v>
      </c>
      <c r="D118" s="519">
        <v>3.2</v>
      </c>
      <c r="E118" s="527">
        <f t="shared" si="10"/>
        <v>64</v>
      </c>
      <c r="F118" s="515" t="s">
        <v>1005</v>
      </c>
      <c r="G118" s="564" t="s">
        <v>1008</v>
      </c>
      <c r="H118" s="713" t="s">
        <v>749</v>
      </c>
      <c r="I118" s="518"/>
      <c r="J118" s="518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</row>
    <row r="119" ht="15.75" customHeight="1">
      <c r="A119" s="4"/>
      <c r="B119" s="77" t="s">
        <v>390</v>
      </c>
      <c r="C119" s="81">
        <v>2.0</v>
      </c>
      <c r="D119" s="599">
        <v>4.57</v>
      </c>
      <c r="E119" s="527">
        <f t="shared" si="10"/>
        <v>9.14</v>
      </c>
      <c r="F119" s="718" t="s">
        <v>1019</v>
      </c>
      <c r="G119" s="720" t="s">
        <v>1020</v>
      </c>
      <c r="H119" s="721" t="s">
        <v>749</v>
      </c>
      <c r="I119" s="723"/>
      <c r="J119" s="72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</row>
    <row r="120" ht="15.75" customHeight="1">
      <c r="A120" s="4"/>
      <c r="B120" s="726" t="s">
        <v>93</v>
      </c>
      <c r="C120" s="727">
        <f>SUM(C96:C119)</f>
        <v>388</v>
      </c>
      <c r="D120" s="728"/>
      <c r="E120" s="729">
        <f>SUM(E95:E119)</f>
        <v>20982.64</v>
      </c>
      <c r="F120" s="730"/>
      <c r="G120" s="730"/>
      <c r="H120" s="730"/>
      <c r="I120" s="518"/>
      <c r="J120" s="518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</row>
    <row r="121" ht="15.75" customHeight="1">
      <c r="A121" s="4"/>
      <c r="B121" s="568" t="s">
        <v>768</v>
      </c>
      <c r="C121" s="569"/>
      <c r="D121" s="569"/>
      <c r="E121" s="734">
        <f>SUM(E120+K72)</f>
        <v>30988.6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</row>
    <row r="122" ht="15.75" customHeight="1">
      <c r="A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</row>
    <row r="123" ht="15.75" customHeight="1">
      <c r="A123" s="4"/>
      <c r="C123" s="20"/>
      <c r="D123" s="20"/>
      <c r="E123" s="20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</row>
    <row r="124" ht="15.75" customHeight="1">
      <c r="A124" s="4"/>
      <c r="B124" s="20" t="s">
        <v>1096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</row>
    <row r="126" ht="15.75" customHeight="1">
      <c r="A126" s="4"/>
      <c r="B126" s="756" t="s">
        <v>1114</v>
      </c>
      <c r="C126" s="757"/>
      <c r="D126" s="757"/>
      <c r="E126" s="757"/>
      <c r="F126" s="757"/>
      <c r="G126" s="757"/>
      <c r="H126" s="760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</row>
    <row r="127" ht="15.75" customHeight="1">
      <c r="A127" s="4"/>
      <c r="B127" s="764" t="s">
        <v>782</v>
      </c>
      <c r="C127" s="764" t="s">
        <v>1115</v>
      </c>
      <c r="D127" s="764" t="s">
        <v>785</v>
      </c>
      <c r="E127" s="764" t="s">
        <v>786</v>
      </c>
      <c r="F127" s="764" t="s">
        <v>787</v>
      </c>
      <c r="G127" s="764" t="s">
        <v>788</v>
      </c>
      <c r="H127" s="764" t="s">
        <v>789</v>
      </c>
      <c r="I127" s="76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</row>
    <row r="128" ht="15.75" customHeight="1">
      <c r="A128" s="4"/>
      <c r="B128" s="771" t="s">
        <v>1116</v>
      </c>
      <c r="C128" s="771">
        <v>40.0</v>
      </c>
      <c r="D128" s="771" t="s">
        <v>1117</v>
      </c>
      <c r="E128" s="771" t="s">
        <v>1118</v>
      </c>
      <c r="F128" s="771" t="s">
        <v>1119</v>
      </c>
      <c r="G128" s="771" t="s">
        <v>1120</v>
      </c>
      <c r="H128" s="771" t="s">
        <v>1121</v>
      </c>
      <c r="I128" s="77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</row>
    <row r="129" ht="15.75" customHeight="1">
      <c r="A129" s="4"/>
      <c r="B129" s="771" t="s">
        <v>1122</v>
      </c>
      <c r="C129" s="771">
        <v>30.0</v>
      </c>
      <c r="D129" s="771" t="s">
        <v>1123</v>
      </c>
      <c r="E129" s="771" t="s">
        <v>1124</v>
      </c>
      <c r="F129" s="771" t="s">
        <v>1125</v>
      </c>
      <c r="G129" s="771" t="s">
        <v>1126</v>
      </c>
      <c r="H129" s="771">
        <v>46.0</v>
      </c>
      <c r="I129" s="77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</row>
    <row r="130" ht="15.75" customHeight="1">
      <c r="A130" s="4"/>
      <c r="B130" s="771" t="s">
        <v>1128</v>
      </c>
      <c r="C130" s="771">
        <v>35.0</v>
      </c>
      <c r="D130" s="771" t="s">
        <v>1129</v>
      </c>
      <c r="E130" s="771" t="s">
        <v>1130</v>
      </c>
      <c r="F130" s="771" t="s">
        <v>1119</v>
      </c>
      <c r="G130" s="771" t="s">
        <v>1131</v>
      </c>
      <c r="H130" s="771">
        <v>54.0</v>
      </c>
      <c r="I130" s="77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</row>
    <row r="131" ht="15.75" customHeight="1">
      <c r="A131" s="4"/>
      <c r="B131" s="780"/>
      <c r="C131" s="781">
        <v>105.0</v>
      </c>
      <c r="D131" s="780"/>
      <c r="E131" s="780"/>
      <c r="F131" s="780"/>
      <c r="G131" s="782" t="s">
        <v>93</v>
      </c>
      <c r="H131" s="771" t="s">
        <v>1134</v>
      </c>
      <c r="I131" s="78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</row>
    <row r="132" ht="15.75" customHeight="1">
      <c r="A132" s="4"/>
      <c r="B132" s="780"/>
      <c r="C132" s="780"/>
      <c r="D132" s="780"/>
      <c r="E132" s="780"/>
      <c r="F132" s="780"/>
      <c r="G132" s="771" t="s">
        <v>864</v>
      </c>
      <c r="H132" s="771" t="s">
        <v>1138</v>
      </c>
      <c r="I132" s="78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</row>
    <row r="133" ht="15.75" customHeight="1">
      <c r="A133" s="4"/>
      <c r="B133" s="780"/>
      <c r="C133" s="780"/>
      <c r="D133" s="780"/>
      <c r="E133" s="780"/>
      <c r="F133" s="780"/>
      <c r="G133" s="771" t="s">
        <v>883</v>
      </c>
      <c r="H133" s="771" t="s">
        <v>1140</v>
      </c>
      <c r="I133" s="78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</row>
    <row r="134" ht="15.75" customHeight="1">
      <c r="A134" s="4"/>
      <c r="B134" s="780"/>
      <c r="C134" s="780"/>
      <c r="D134" s="780"/>
      <c r="E134" s="780"/>
      <c r="F134" s="780"/>
      <c r="G134" s="786" t="s">
        <v>885</v>
      </c>
      <c r="H134" s="786" t="s">
        <v>1142</v>
      </c>
      <c r="I134" s="78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</row>
    <row r="136" ht="15.75" customHeight="1">
      <c r="A136" s="4"/>
      <c r="B136" s="791" t="s">
        <v>68</v>
      </c>
      <c r="C136" s="792" t="s">
        <v>44</v>
      </c>
      <c r="D136" s="791" t="s">
        <v>45</v>
      </c>
      <c r="E136" s="791" t="s">
        <v>46</v>
      </c>
      <c r="F136" s="791" t="s">
        <v>1144</v>
      </c>
      <c r="G136" s="794" t="s">
        <v>48</v>
      </c>
      <c r="H136" s="791" t="s">
        <v>905</v>
      </c>
      <c r="I136" s="796" t="s">
        <v>906</v>
      </c>
      <c r="J136" s="791" t="s">
        <v>907</v>
      </c>
      <c r="K136" s="791" t="s">
        <v>908</v>
      </c>
      <c r="L136" s="791" t="s">
        <v>1145</v>
      </c>
      <c r="M136" s="794" t="s">
        <v>912</v>
      </c>
      <c r="N136" s="791" t="s">
        <v>913</v>
      </c>
      <c r="O136" s="796" t="s">
        <v>914</v>
      </c>
      <c r="P136" s="791" t="s">
        <v>916</v>
      </c>
      <c r="Q136" s="791" t="s">
        <v>918</v>
      </c>
      <c r="R136" s="791" t="s">
        <v>1146</v>
      </c>
      <c r="S136" s="794" t="s">
        <v>921</v>
      </c>
      <c r="T136" s="791" t="s">
        <v>922</v>
      </c>
      <c r="U136" s="799" t="s">
        <v>923</v>
      </c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</row>
    <row r="137" ht="15.75" customHeight="1">
      <c r="A137" s="4"/>
      <c r="B137" s="806" t="s">
        <v>1148</v>
      </c>
      <c r="C137" s="807">
        <v>12.0</v>
      </c>
      <c r="D137" s="807">
        <v>12.0</v>
      </c>
      <c r="E137" s="807">
        <v>0.0</v>
      </c>
      <c r="F137" s="807">
        <v>1.0</v>
      </c>
      <c r="G137" s="810">
        <v>2.0</v>
      </c>
      <c r="H137" s="127">
        <v>2.0</v>
      </c>
      <c r="I137" s="811">
        <v>5.0</v>
      </c>
      <c r="J137" s="807" t="s">
        <v>1149</v>
      </c>
      <c r="K137" s="807">
        <v>2.0</v>
      </c>
      <c r="L137" s="807">
        <v>30.0</v>
      </c>
      <c r="M137" s="810">
        <v>4.0</v>
      </c>
      <c r="N137" s="807" t="s">
        <v>1149</v>
      </c>
      <c r="O137" s="812">
        <v>0.7</v>
      </c>
      <c r="P137" s="813">
        <v>1.0</v>
      </c>
      <c r="Q137" s="813">
        <v>0.3</v>
      </c>
      <c r="R137" s="813">
        <v>0.8</v>
      </c>
      <c r="S137" s="815">
        <v>1.0</v>
      </c>
      <c r="T137" s="816">
        <v>1.0</v>
      </c>
      <c r="U137" s="811" t="s">
        <v>1121</v>
      </c>
      <c r="V137" s="818" t="s">
        <v>790</v>
      </c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</row>
    <row r="138" ht="15.75" customHeight="1">
      <c r="A138" s="4"/>
      <c r="B138" s="806" t="s">
        <v>1156</v>
      </c>
      <c r="C138" s="824">
        <v>7.0</v>
      </c>
      <c r="D138" s="824">
        <v>7.0</v>
      </c>
      <c r="E138" s="824">
        <v>2.0</v>
      </c>
      <c r="F138" s="824">
        <v>1.0</v>
      </c>
      <c r="G138" s="825">
        <v>1.0</v>
      </c>
      <c r="H138" s="826">
        <v>5.0</v>
      </c>
      <c r="I138" s="827">
        <v>5.0</v>
      </c>
      <c r="J138" s="824" t="s">
        <v>1149</v>
      </c>
      <c r="K138" s="824">
        <v>2.0</v>
      </c>
      <c r="L138" s="824">
        <v>20.0</v>
      </c>
      <c r="M138" s="825">
        <v>4.0</v>
      </c>
      <c r="N138" s="826" t="s">
        <v>1149</v>
      </c>
      <c r="O138" s="829">
        <v>0.7</v>
      </c>
      <c r="P138" s="830">
        <v>1.0</v>
      </c>
      <c r="Q138" s="830">
        <v>0.2</v>
      </c>
      <c r="R138" s="813">
        <v>0.8</v>
      </c>
      <c r="S138" s="832">
        <v>1.0</v>
      </c>
      <c r="T138" s="816">
        <v>1.0</v>
      </c>
      <c r="U138" s="827">
        <v>46.0</v>
      </c>
      <c r="V138" s="83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</row>
    <row r="139" ht="15.75" customHeight="1">
      <c r="A139" s="4"/>
      <c r="B139" s="806" t="s">
        <v>1162</v>
      </c>
      <c r="C139" s="824">
        <v>10.0</v>
      </c>
      <c r="D139" s="824">
        <v>10.0</v>
      </c>
      <c r="E139" s="824">
        <v>0.0</v>
      </c>
      <c r="F139" s="824">
        <v>1.0</v>
      </c>
      <c r="G139" s="825">
        <v>3.0</v>
      </c>
      <c r="H139" s="826">
        <v>2.0</v>
      </c>
      <c r="I139" s="827">
        <v>3.0</v>
      </c>
      <c r="J139" s="824" t="s">
        <v>1149</v>
      </c>
      <c r="K139" s="824">
        <v>2.0</v>
      </c>
      <c r="L139" s="824">
        <v>25.0</v>
      </c>
      <c r="M139" s="825">
        <v>4.0</v>
      </c>
      <c r="N139" s="826" t="s">
        <v>1149</v>
      </c>
      <c r="O139" s="829">
        <v>0.7</v>
      </c>
      <c r="P139" s="830">
        <v>1.0</v>
      </c>
      <c r="Q139" s="830">
        <v>0.2</v>
      </c>
      <c r="R139" s="813">
        <v>0.8</v>
      </c>
      <c r="S139" s="832">
        <v>1.0</v>
      </c>
      <c r="T139" s="816">
        <v>1.0</v>
      </c>
      <c r="U139" s="827">
        <v>54.0</v>
      </c>
      <c r="V139" s="83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</row>
  </sheetData>
  <mergeCells count="39">
    <mergeCell ref="A13:J13"/>
    <mergeCell ref="A15:J15"/>
    <mergeCell ref="A17:J17"/>
    <mergeCell ref="N19:O19"/>
    <mergeCell ref="A4:B4"/>
    <mergeCell ref="A5:J5"/>
    <mergeCell ref="A6:B6"/>
    <mergeCell ref="A7:J7"/>
    <mergeCell ref="A8:B8"/>
    <mergeCell ref="A9:J9"/>
    <mergeCell ref="A11:J11"/>
    <mergeCell ref="K76:L76"/>
    <mergeCell ref="K77:L77"/>
    <mergeCell ref="A10:B10"/>
    <mergeCell ref="A12:B12"/>
    <mergeCell ref="A14:B14"/>
    <mergeCell ref="A16:B16"/>
    <mergeCell ref="E45:E54"/>
    <mergeCell ref="H76:I76"/>
    <mergeCell ref="H77:I77"/>
    <mergeCell ref="F78:G78"/>
    <mergeCell ref="F79:G79"/>
    <mergeCell ref="F80:G80"/>
    <mergeCell ref="F81:G81"/>
    <mergeCell ref="H81:I81"/>
    <mergeCell ref="F82:G82"/>
    <mergeCell ref="F83:G83"/>
    <mergeCell ref="F88:G88"/>
    <mergeCell ref="F89:G89"/>
    <mergeCell ref="F90:G90"/>
    <mergeCell ref="F91:G91"/>
    <mergeCell ref="H109:J109"/>
    <mergeCell ref="F84:G84"/>
    <mergeCell ref="F85:G85"/>
    <mergeCell ref="F86:G86"/>
    <mergeCell ref="H86:K86"/>
    <mergeCell ref="F87:G87"/>
    <mergeCell ref="H87:I87"/>
    <mergeCell ref="J87:K87"/>
  </mergeCells>
  <dataValidations>
    <dataValidation type="custom" allowBlank="1" showDropDown="1" sqref="J59:J72">
      <formula1>AND(ISNUMBER(J59),(NOT(OR(NOT(ISERROR(DATEVALUE(J59))), AND(ISNUMBER(J59), LEFT(CELL("format", J59))="D")))))</formula1>
    </dataValidation>
  </dataValidations>
  <hyperlinks>
    <hyperlink r:id="rId1" ref="H60"/>
    <hyperlink r:id="rId2" ref="I60"/>
    <hyperlink r:id="rId3" ref="H63"/>
    <hyperlink r:id="rId4" ref="I63"/>
    <hyperlink r:id="rId5" location="pn=DP24688TGY" ref="H64"/>
    <hyperlink r:id="rId6" ref="I64"/>
    <hyperlink r:id="rId7" location="pn=WMP1E" ref="H65"/>
    <hyperlink r:id="rId8" ref="I65"/>
    <hyperlink r:id="rId9" ref="H66"/>
    <hyperlink r:id="rId10" ref="H67"/>
    <hyperlink r:id="rId11" ref="I67"/>
    <hyperlink r:id="rId12" location="q=utp28sp1bu" ref="H70"/>
    <hyperlink r:id="rId13" ref="I70"/>
    <hyperlink r:id="rId14" ref="H71"/>
    <hyperlink r:id="rId15" ref="I71"/>
    <hyperlink r:id="rId16" ref="F95"/>
    <hyperlink r:id="rId17" ref="G95"/>
    <hyperlink r:id="rId18" ref="F96"/>
    <hyperlink r:id="rId19" ref="G96"/>
    <hyperlink r:id="rId20" ref="F97"/>
    <hyperlink r:id="rId21" ref="G97"/>
    <hyperlink r:id="rId22" location="polycard_client=search-desktop&amp;search_layout=grid&amp;position=2&amp;type=product&amp;tracking_id=49956257-b359-4957-9d70-8acb032d43cd&amp;wid=MEC517551538&amp;sid=sea" ref="F98"/>
    <hyperlink r:id="rId23" location="polycard_client=search-desktop&amp;search_layout=grid&amp;position=2&amp;type=product&amp;tracking_id=49956257-b359-4957-9d70-8acb032d43cd&amp;wid=MEC517551538&amp;sid=sea" ref="G98"/>
    <hyperlink r:id="rId24" location="attr=" ref="G99"/>
    <hyperlink r:id="rId25" location="attr=" ref="G100"/>
    <hyperlink r:id="rId26" ref="F101"/>
    <hyperlink r:id="rId27" ref="G101"/>
    <hyperlink r:id="rId28" ref="F102"/>
    <hyperlink r:id="rId29" ref="G102"/>
    <hyperlink r:id="rId30" ref="F103"/>
    <hyperlink r:id="rId31" ref="G103"/>
    <hyperlink r:id="rId32" ref="F104"/>
    <hyperlink r:id="rId33" ref="G104"/>
    <hyperlink r:id="rId34" ref="F105"/>
    <hyperlink r:id="rId35" ref="G105"/>
    <hyperlink r:id="rId36" ref="F106"/>
    <hyperlink r:id="rId37" ref="G106"/>
    <hyperlink r:id="rId38" ref="F107"/>
    <hyperlink r:id="rId39" ref="G107"/>
    <hyperlink r:id="rId40" ref="F108"/>
    <hyperlink r:id="rId41" ref="G108"/>
    <hyperlink r:id="rId42" ref="F109"/>
    <hyperlink r:id="rId43" ref="G109"/>
    <hyperlink r:id="rId44" ref="F110"/>
    <hyperlink r:id="rId45" ref="G110"/>
    <hyperlink r:id="rId46" ref="F111"/>
    <hyperlink r:id="rId47" ref="F113"/>
    <hyperlink r:id="rId48" ref="G113"/>
    <hyperlink r:id="rId49" ref="F114"/>
    <hyperlink r:id="rId50" ref="G114"/>
    <hyperlink r:id="rId51" ref="F115"/>
    <hyperlink r:id="rId52" ref="G115"/>
    <hyperlink r:id="rId53" ref="F116"/>
    <hyperlink r:id="rId54" ref="G116"/>
    <hyperlink r:id="rId55" ref="F117"/>
    <hyperlink r:id="rId56" ref="G117"/>
    <hyperlink r:id="rId57" ref="F118"/>
    <hyperlink r:id="rId58" ref="G118"/>
    <hyperlink r:id="rId59" ref="F119"/>
    <hyperlink r:id="rId60" ref="G119"/>
  </hyperlinks>
  <drawing r:id="rId61"/>
  <tableParts count="2">
    <tablePart r:id="rId64"/>
    <tablePart r:id="rId6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8.5"/>
    <col customWidth="1" min="7" max="7" width="19.88"/>
    <col customWidth="1" min="10" max="10" width="63.75"/>
  </cols>
  <sheetData>
    <row r="1">
      <c r="A1" s="145" t="s">
        <v>228</v>
      </c>
      <c r="B1" s="12"/>
      <c r="C1" s="12"/>
      <c r="D1" s="12"/>
      <c r="E1" s="12"/>
      <c r="F1" s="12"/>
      <c r="G1" s="12"/>
      <c r="H1" s="13"/>
      <c r="I1" s="155" t="s">
        <v>229</v>
      </c>
      <c r="K1" s="156"/>
    </row>
    <row r="2">
      <c r="A2" s="158" t="s">
        <v>232</v>
      </c>
      <c r="B2" s="158" t="s">
        <v>233</v>
      </c>
      <c r="C2" s="158" t="s">
        <v>234</v>
      </c>
      <c r="D2" s="158" t="s">
        <v>235</v>
      </c>
      <c r="E2" s="158" t="s">
        <v>236</v>
      </c>
      <c r="F2" s="158" t="s">
        <v>237</v>
      </c>
      <c r="G2" s="158" t="s">
        <v>238</v>
      </c>
      <c r="H2" s="158" t="s">
        <v>239</v>
      </c>
      <c r="I2" s="158" t="s">
        <v>240</v>
      </c>
      <c r="J2" s="158" t="s">
        <v>241</v>
      </c>
      <c r="K2" s="156"/>
    </row>
    <row r="3">
      <c r="A3" s="162">
        <v>42.0</v>
      </c>
      <c r="B3" s="162" t="s">
        <v>242</v>
      </c>
      <c r="C3" s="164" t="s">
        <v>243</v>
      </c>
      <c r="D3" s="164" t="s">
        <v>244</v>
      </c>
      <c r="E3" s="164" t="s">
        <v>245</v>
      </c>
      <c r="F3" s="164" t="s">
        <v>244</v>
      </c>
      <c r="G3" s="164" t="s">
        <v>244</v>
      </c>
      <c r="H3" s="164" t="s">
        <v>246</v>
      </c>
      <c r="I3" s="165">
        <v>79.89</v>
      </c>
      <c r="J3" s="168" t="s">
        <v>247</v>
      </c>
      <c r="K3" s="156"/>
    </row>
    <row r="4">
      <c r="A4" s="162">
        <v>41.0</v>
      </c>
      <c r="B4" s="162" t="s">
        <v>250</v>
      </c>
      <c r="C4" s="164" t="s">
        <v>251</v>
      </c>
      <c r="D4" s="164" t="s">
        <v>252</v>
      </c>
      <c r="E4" s="164" t="s">
        <v>253</v>
      </c>
      <c r="F4" s="164" t="s">
        <v>254</v>
      </c>
      <c r="G4" s="164" t="s">
        <v>255</v>
      </c>
      <c r="H4" s="164" t="s">
        <v>256</v>
      </c>
      <c r="I4" s="165">
        <v>45.0</v>
      </c>
      <c r="J4" s="171" t="s">
        <v>257</v>
      </c>
      <c r="K4" s="156"/>
    </row>
    <row r="5">
      <c r="A5" s="162">
        <v>40.0</v>
      </c>
      <c r="B5" s="162" t="s">
        <v>242</v>
      </c>
      <c r="C5" s="164" t="s">
        <v>262</v>
      </c>
      <c r="D5" s="164" t="s">
        <v>244</v>
      </c>
      <c r="E5" s="164" t="s">
        <v>263</v>
      </c>
      <c r="F5" s="164" t="s">
        <v>244</v>
      </c>
      <c r="G5" s="164" t="s">
        <v>244</v>
      </c>
      <c r="H5" s="164" t="s">
        <v>264</v>
      </c>
      <c r="I5" s="165">
        <v>79.89</v>
      </c>
      <c r="J5" s="171" t="s">
        <v>247</v>
      </c>
      <c r="K5" s="156"/>
    </row>
    <row r="6">
      <c r="A6" s="162">
        <v>39.0</v>
      </c>
      <c r="B6" s="162" t="s">
        <v>265</v>
      </c>
      <c r="C6" s="164" t="s">
        <v>266</v>
      </c>
      <c r="D6" s="164" t="s">
        <v>244</v>
      </c>
      <c r="E6" s="164" t="s">
        <v>267</v>
      </c>
      <c r="F6" s="164" t="s">
        <v>244</v>
      </c>
      <c r="G6" s="164" t="s">
        <v>244</v>
      </c>
      <c r="H6" s="164" t="s">
        <v>268</v>
      </c>
      <c r="I6" s="165">
        <v>7.95</v>
      </c>
      <c r="J6" s="171" t="s">
        <v>270</v>
      </c>
      <c r="K6" s="156"/>
    </row>
    <row r="7">
      <c r="A7" s="162">
        <v>38.0</v>
      </c>
      <c r="B7" s="162" t="s">
        <v>271</v>
      </c>
      <c r="C7" s="164" t="s">
        <v>272</v>
      </c>
      <c r="D7" s="164" t="s">
        <v>273</v>
      </c>
      <c r="E7" s="164" t="s">
        <v>274</v>
      </c>
      <c r="F7" s="164" t="s">
        <v>275</v>
      </c>
      <c r="G7" s="176" t="s">
        <v>276</v>
      </c>
      <c r="H7" s="164" t="s">
        <v>277</v>
      </c>
      <c r="I7" s="165">
        <v>708.9</v>
      </c>
      <c r="J7" s="171" t="s">
        <v>279</v>
      </c>
      <c r="K7" s="156"/>
    </row>
    <row r="8">
      <c r="A8" s="179" t="s">
        <v>281</v>
      </c>
      <c r="B8" s="162" t="s">
        <v>282</v>
      </c>
      <c r="C8" s="164" t="s">
        <v>283</v>
      </c>
      <c r="D8" s="164" t="s">
        <v>244</v>
      </c>
      <c r="E8" s="164" t="s">
        <v>244</v>
      </c>
      <c r="F8" s="164" t="s">
        <v>244</v>
      </c>
      <c r="G8" s="164" t="s">
        <v>244</v>
      </c>
      <c r="H8" s="164" t="s">
        <v>284</v>
      </c>
      <c r="I8" s="180"/>
      <c r="J8" s="181"/>
      <c r="K8" s="156"/>
    </row>
    <row r="9">
      <c r="A9" s="179">
        <v>34.0</v>
      </c>
      <c r="B9" s="179" t="s">
        <v>286</v>
      </c>
      <c r="C9" s="176" t="s">
        <v>288</v>
      </c>
      <c r="D9" s="164"/>
      <c r="E9" s="176" t="s">
        <v>289</v>
      </c>
      <c r="F9" s="182" t="s">
        <v>290</v>
      </c>
      <c r="G9" s="183" t="s">
        <v>276</v>
      </c>
      <c r="H9" s="164" t="s">
        <v>284</v>
      </c>
      <c r="I9" s="184">
        <v>1567.0</v>
      </c>
      <c r="J9" s="186" t="s">
        <v>291</v>
      </c>
      <c r="K9" s="156"/>
    </row>
    <row r="10">
      <c r="A10" s="162">
        <v>33.0</v>
      </c>
      <c r="B10" s="179" t="s">
        <v>294</v>
      </c>
      <c r="C10" s="164" t="s">
        <v>296</v>
      </c>
      <c r="D10" s="164" t="s">
        <v>297</v>
      </c>
      <c r="E10" s="176" t="s">
        <v>298</v>
      </c>
      <c r="F10" s="164" t="s">
        <v>300</v>
      </c>
      <c r="G10" s="164" t="s">
        <v>301</v>
      </c>
      <c r="H10" s="164" t="s">
        <v>302</v>
      </c>
      <c r="I10" s="189">
        <v>544.87</v>
      </c>
      <c r="J10" s="171" t="s">
        <v>303</v>
      </c>
      <c r="K10" s="156"/>
    </row>
    <row r="11">
      <c r="A11" s="162">
        <v>32.0</v>
      </c>
      <c r="B11" s="162" t="s">
        <v>242</v>
      </c>
      <c r="C11" s="164" t="s">
        <v>305</v>
      </c>
      <c r="D11" s="164" t="s">
        <v>244</v>
      </c>
      <c r="E11" s="164" t="s">
        <v>306</v>
      </c>
      <c r="F11" s="164" t="s">
        <v>244</v>
      </c>
      <c r="G11" s="164" t="s">
        <v>244</v>
      </c>
      <c r="H11" s="164" t="s">
        <v>244</v>
      </c>
      <c r="I11" s="165">
        <v>79.89</v>
      </c>
      <c r="J11" s="171" t="s">
        <v>247</v>
      </c>
      <c r="K11" s="156"/>
    </row>
    <row r="12">
      <c r="A12" s="162">
        <v>31.0</v>
      </c>
      <c r="B12" s="162" t="s">
        <v>307</v>
      </c>
      <c r="C12" s="164" t="s">
        <v>309</v>
      </c>
      <c r="D12" s="164" t="s">
        <v>244</v>
      </c>
      <c r="E12" s="164" t="s">
        <v>267</v>
      </c>
      <c r="F12" s="164" t="s">
        <v>244</v>
      </c>
      <c r="G12" s="164" t="s">
        <v>244</v>
      </c>
      <c r="H12" s="164" t="s">
        <v>244</v>
      </c>
      <c r="I12" s="165">
        <v>7.95</v>
      </c>
      <c r="J12" s="171" t="s">
        <v>270</v>
      </c>
      <c r="K12" s="156"/>
    </row>
    <row r="13">
      <c r="A13" s="162" t="s">
        <v>314</v>
      </c>
      <c r="B13" s="162" t="s">
        <v>315</v>
      </c>
      <c r="C13" s="164" t="s">
        <v>316</v>
      </c>
      <c r="D13" s="164" t="s">
        <v>317</v>
      </c>
      <c r="E13" s="164" t="s">
        <v>318</v>
      </c>
      <c r="F13" s="164" t="s">
        <v>319</v>
      </c>
      <c r="G13" s="164" t="s">
        <v>276</v>
      </c>
      <c r="H13" s="164" t="s">
        <v>320</v>
      </c>
      <c r="I13" s="165">
        <v>90.0</v>
      </c>
      <c r="J13" s="171" t="s">
        <v>321</v>
      </c>
      <c r="K13" s="156"/>
    </row>
    <row r="14">
      <c r="A14" s="162" t="s">
        <v>322</v>
      </c>
      <c r="B14" s="162" t="s">
        <v>323</v>
      </c>
      <c r="C14" s="164" t="s">
        <v>324</v>
      </c>
      <c r="D14" s="164" t="s">
        <v>325</v>
      </c>
      <c r="E14" s="164" t="s">
        <v>327</v>
      </c>
      <c r="F14" s="164" t="s">
        <v>328</v>
      </c>
      <c r="G14" s="164" t="s">
        <v>276</v>
      </c>
      <c r="H14" s="164" t="s">
        <v>329</v>
      </c>
      <c r="I14" s="165">
        <v>1034.35</v>
      </c>
      <c r="J14" s="171" t="s">
        <v>330</v>
      </c>
      <c r="K14" s="156"/>
    </row>
    <row r="15">
      <c r="A15" s="162" t="s">
        <v>335</v>
      </c>
      <c r="B15" s="162" t="s">
        <v>336</v>
      </c>
      <c r="C15" s="164" t="s">
        <v>337</v>
      </c>
      <c r="D15" s="164" t="s">
        <v>317</v>
      </c>
      <c r="E15" s="164" t="s">
        <v>318</v>
      </c>
      <c r="F15" s="164" t="s">
        <v>319</v>
      </c>
      <c r="G15" s="164" t="s">
        <v>276</v>
      </c>
      <c r="H15" s="164" t="s">
        <v>244</v>
      </c>
      <c r="I15" s="165">
        <v>90.0</v>
      </c>
      <c r="J15" s="171" t="s">
        <v>321</v>
      </c>
      <c r="K15" s="156"/>
    </row>
    <row r="16">
      <c r="A16" s="162" t="s">
        <v>339</v>
      </c>
      <c r="B16" s="162" t="s">
        <v>340</v>
      </c>
      <c r="C16" s="164" t="s">
        <v>324</v>
      </c>
      <c r="D16" s="164" t="s">
        <v>325</v>
      </c>
      <c r="E16" s="164" t="s">
        <v>327</v>
      </c>
      <c r="F16" s="164" t="s">
        <v>343</v>
      </c>
      <c r="G16" s="164" t="s">
        <v>276</v>
      </c>
      <c r="H16" s="164" t="s">
        <v>345</v>
      </c>
      <c r="I16" s="165">
        <v>1034.35</v>
      </c>
      <c r="J16" s="171" t="s">
        <v>330</v>
      </c>
      <c r="K16" s="156"/>
    </row>
    <row r="17">
      <c r="A17" s="162" t="s">
        <v>347</v>
      </c>
      <c r="B17" s="162" t="s">
        <v>348</v>
      </c>
      <c r="C17" s="164" t="s">
        <v>350</v>
      </c>
      <c r="D17" s="164" t="s">
        <v>317</v>
      </c>
      <c r="E17" s="164" t="s">
        <v>318</v>
      </c>
      <c r="F17" s="164" t="s">
        <v>319</v>
      </c>
      <c r="G17" s="164" t="s">
        <v>276</v>
      </c>
      <c r="H17" s="164" t="s">
        <v>244</v>
      </c>
      <c r="I17" s="165">
        <v>90.0</v>
      </c>
      <c r="J17" s="171" t="s">
        <v>321</v>
      </c>
      <c r="K17" s="156"/>
    </row>
    <row r="18">
      <c r="A18" s="162" t="s">
        <v>352</v>
      </c>
      <c r="B18" s="162" t="s">
        <v>353</v>
      </c>
      <c r="C18" s="164" t="s">
        <v>324</v>
      </c>
      <c r="D18" s="164" t="s">
        <v>325</v>
      </c>
      <c r="E18" s="164" t="s">
        <v>327</v>
      </c>
      <c r="F18" s="164" t="s">
        <v>343</v>
      </c>
      <c r="G18" s="164" t="s">
        <v>276</v>
      </c>
      <c r="H18" s="164" t="s">
        <v>244</v>
      </c>
      <c r="I18" s="165">
        <v>1034.35</v>
      </c>
      <c r="J18" s="171" t="s">
        <v>330</v>
      </c>
      <c r="K18" s="156"/>
    </row>
    <row r="19">
      <c r="A19" s="162" t="s">
        <v>355</v>
      </c>
      <c r="B19" s="162" t="s">
        <v>356</v>
      </c>
      <c r="C19" s="164" t="s">
        <v>357</v>
      </c>
      <c r="D19" s="164" t="s">
        <v>317</v>
      </c>
      <c r="E19" s="164" t="s">
        <v>318</v>
      </c>
      <c r="F19" s="164" t="s">
        <v>319</v>
      </c>
      <c r="G19" s="164" t="s">
        <v>276</v>
      </c>
      <c r="H19" s="164" t="s">
        <v>244</v>
      </c>
      <c r="I19" s="165">
        <v>90.0</v>
      </c>
      <c r="J19" s="171" t="s">
        <v>321</v>
      </c>
      <c r="K19" s="156"/>
    </row>
    <row r="20">
      <c r="A20" s="162" t="s">
        <v>358</v>
      </c>
      <c r="B20" s="162" t="s">
        <v>359</v>
      </c>
      <c r="C20" s="164" t="s">
        <v>324</v>
      </c>
      <c r="D20" s="164" t="s">
        <v>325</v>
      </c>
      <c r="E20" s="164" t="s">
        <v>327</v>
      </c>
      <c r="F20" s="164" t="s">
        <v>343</v>
      </c>
      <c r="G20" s="164" t="s">
        <v>276</v>
      </c>
      <c r="H20" s="164" t="s">
        <v>360</v>
      </c>
      <c r="I20" s="165">
        <v>1034.35</v>
      </c>
      <c r="J20" s="171" t="s">
        <v>330</v>
      </c>
      <c r="K20" s="156"/>
    </row>
    <row r="21">
      <c r="A21" s="162">
        <v>22.0</v>
      </c>
      <c r="B21" s="162" t="s">
        <v>242</v>
      </c>
      <c r="C21" s="164" t="s">
        <v>363</v>
      </c>
      <c r="D21" s="164" t="s">
        <v>244</v>
      </c>
      <c r="E21" s="164" t="s">
        <v>306</v>
      </c>
      <c r="F21" s="164" t="s">
        <v>244</v>
      </c>
      <c r="G21" s="164" t="s">
        <v>244</v>
      </c>
      <c r="H21" s="164" t="s">
        <v>244</v>
      </c>
      <c r="I21" s="165">
        <v>90.0</v>
      </c>
      <c r="J21" s="195" t="s">
        <v>321</v>
      </c>
      <c r="K21" s="156"/>
    </row>
    <row r="22">
      <c r="A22" s="162">
        <v>21.0</v>
      </c>
      <c r="B22" s="162" t="s">
        <v>365</v>
      </c>
      <c r="C22" s="164" t="s">
        <v>366</v>
      </c>
      <c r="D22" s="164" t="s">
        <v>367</v>
      </c>
      <c r="E22" s="164" t="s">
        <v>368</v>
      </c>
      <c r="F22" s="164" t="s">
        <v>244</v>
      </c>
      <c r="G22" s="164" t="s">
        <v>244</v>
      </c>
      <c r="H22" s="164" t="s">
        <v>369</v>
      </c>
      <c r="I22" s="165">
        <v>170.0</v>
      </c>
      <c r="J22" s="195" t="s">
        <v>370</v>
      </c>
      <c r="K22" s="156"/>
    </row>
    <row r="23">
      <c r="A23" s="162" t="s">
        <v>371</v>
      </c>
      <c r="B23" s="162" t="s">
        <v>372</v>
      </c>
      <c r="C23" s="164" t="s">
        <v>373</v>
      </c>
      <c r="D23" s="164" t="s">
        <v>374</v>
      </c>
      <c r="E23" s="164" t="s">
        <v>375</v>
      </c>
      <c r="F23" s="164" t="s">
        <v>244</v>
      </c>
      <c r="G23" s="164" t="s">
        <v>244</v>
      </c>
      <c r="H23" s="164" t="s">
        <v>376</v>
      </c>
      <c r="I23" s="165">
        <v>1822.85</v>
      </c>
      <c r="J23" s="195" t="s">
        <v>377</v>
      </c>
      <c r="K23" s="156"/>
    </row>
    <row r="24">
      <c r="A24" s="156"/>
      <c r="B24" s="156"/>
      <c r="C24" s="156"/>
      <c r="D24" s="156"/>
      <c r="E24" s="156"/>
      <c r="F24" s="156"/>
      <c r="G24" s="156"/>
      <c r="H24" s="205" t="s">
        <v>93</v>
      </c>
      <c r="I24" s="211">
        <f>SUM(I3:I23)</f>
        <v>9701.59</v>
      </c>
      <c r="J24" s="156"/>
      <c r="K24" s="156"/>
    </row>
    <row r="25">
      <c r="A25" s="156"/>
      <c r="B25" s="156"/>
      <c r="C25" s="156"/>
      <c r="D25" s="156"/>
      <c r="E25" s="156"/>
      <c r="F25" s="156"/>
      <c r="G25" s="156"/>
      <c r="H25" s="156"/>
      <c r="I25" s="156"/>
      <c r="J25" s="156"/>
      <c r="K25" s="156"/>
    </row>
    <row r="26">
      <c r="A26" s="158" t="s">
        <v>392</v>
      </c>
      <c r="B26" s="158" t="s">
        <v>233</v>
      </c>
      <c r="C26" s="158" t="s">
        <v>234</v>
      </c>
      <c r="D26" s="158" t="s">
        <v>235</v>
      </c>
      <c r="E26" s="158" t="s">
        <v>236</v>
      </c>
      <c r="F26" s="158" t="s">
        <v>393</v>
      </c>
      <c r="G26" s="158" t="s">
        <v>394</v>
      </c>
      <c r="H26" s="158" t="s">
        <v>239</v>
      </c>
      <c r="I26" s="215" t="s">
        <v>240</v>
      </c>
      <c r="J26" s="215" t="s">
        <v>241</v>
      </c>
      <c r="K26" s="156"/>
    </row>
    <row r="27">
      <c r="A27" s="216">
        <v>42.0</v>
      </c>
      <c r="B27" s="216" t="s">
        <v>395</v>
      </c>
      <c r="C27" s="164" t="s">
        <v>243</v>
      </c>
      <c r="D27" s="164" t="s">
        <v>244</v>
      </c>
      <c r="E27" s="164" t="s">
        <v>397</v>
      </c>
      <c r="F27" s="164" t="s">
        <v>244</v>
      </c>
      <c r="G27" s="164" t="s">
        <v>244</v>
      </c>
      <c r="H27" s="164" t="s">
        <v>398</v>
      </c>
      <c r="I27" s="219">
        <v>29.99</v>
      </c>
      <c r="J27" s="224" t="s">
        <v>399</v>
      </c>
      <c r="K27" s="156"/>
    </row>
    <row r="28">
      <c r="A28" s="216">
        <v>41.0</v>
      </c>
      <c r="B28" s="216" t="s">
        <v>401</v>
      </c>
      <c r="C28" s="164" t="s">
        <v>402</v>
      </c>
      <c r="D28" s="164" t="s">
        <v>403</v>
      </c>
      <c r="E28" s="164" t="s">
        <v>404</v>
      </c>
      <c r="F28" s="164" t="s">
        <v>405</v>
      </c>
      <c r="G28" s="164" t="s">
        <v>255</v>
      </c>
      <c r="H28" s="164" t="s">
        <v>406</v>
      </c>
      <c r="I28" s="219">
        <v>39.99</v>
      </c>
      <c r="J28" s="226" t="s">
        <v>407</v>
      </c>
      <c r="K28" s="156"/>
    </row>
    <row r="29">
      <c r="A29" s="216">
        <v>40.0</v>
      </c>
      <c r="B29" s="216" t="s">
        <v>395</v>
      </c>
      <c r="C29" s="164" t="s">
        <v>409</v>
      </c>
      <c r="D29" s="164" t="s">
        <v>244</v>
      </c>
      <c r="E29" s="164" t="s">
        <v>306</v>
      </c>
      <c r="F29" s="164" t="s">
        <v>244</v>
      </c>
      <c r="G29" s="164" t="s">
        <v>244</v>
      </c>
      <c r="H29" s="164" t="s">
        <v>410</v>
      </c>
      <c r="I29" s="228">
        <v>79.89</v>
      </c>
      <c r="J29" s="171" t="s">
        <v>247</v>
      </c>
      <c r="K29" s="156"/>
    </row>
    <row r="30">
      <c r="A30" s="216">
        <v>39.0</v>
      </c>
      <c r="B30" s="216" t="s">
        <v>412</v>
      </c>
      <c r="C30" s="164" t="s">
        <v>413</v>
      </c>
      <c r="D30" s="164" t="s">
        <v>244</v>
      </c>
      <c r="E30" s="164" t="s">
        <v>267</v>
      </c>
      <c r="F30" s="164" t="s">
        <v>244</v>
      </c>
      <c r="G30" s="164" t="s">
        <v>244</v>
      </c>
      <c r="H30" s="164" t="s">
        <v>414</v>
      </c>
      <c r="I30" s="228">
        <v>7.95</v>
      </c>
      <c r="J30" s="171" t="s">
        <v>270</v>
      </c>
      <c r="K30" s="156"/>
    </row>
    <row r="31">
      <c r="A31" s="216">
        <v>38.0</v>
      </c>
      <c r="B31" s="234"/>
      <c r="C31" s="236"/>
      <c r="D31" s="236"/>
      <c r="E31" s="236"/>
      <c r="F31" s="236"/>
      <c r="G31" s="236"/>
      <c r="H31" s="236"/>
      <c r="I31" s="236"/>
      <c r="J31" s="181"/>
      <c r="K31" s="156"/>
    </row>
    <row r="32">
      <c r="A32" s="216">
        <v>37.0</v>
      </c>
      <c r="B32" s="216" t="s">
        <v>415</v>
      </c>
      <c r="C32" s="164" t="s">
        <v>416</v>
      </c>
      <c r="D32" s="164" t="s">
        <v>418</v>
      </c>
      <c r="E32" s="164" t="s">
        <v>419</v>
      </c>
      <c r="F32" s="164" t="s">
        <v>420</v>
      </c>
      <c r="G32" s="164" t="s">
        <v>421</v>
      </c>
      <c r="H32" s="164" t="s">
        <v>423</v>
      </c>
      <c r="I32" s="243">
        <v>1659.99</v>
      </c>
      <c r="J32" s="224" t="s">
        <v>424</v>
      </c>
      <c r="K32" s="156"/>
    </row>
    <row r="33">
      <c r="A33" s="216">
        <v>36.0</v>
      </c>
      <c r="B33" s="216" t="s">
        <v>429</v>
      </c>
      <c r="C33" s="164" t="s">
        <v>431</v>
      </c>
      <c r="D33" s="164" t="s">
        <v>418</v>
      </c>
      <c r="E33" s="164" t="s">
        <v>432</v>
      </c>
      <c r="F33" s="164" t="s">
        <v>244</v>
      </c>
      <c r="G33" s="164" t="s">
        <v>244</v>
      </c>
      <c r="H33" s="164" t="s">
        <v>434</v>
      </c>
      <c r="I33" s="255">
        <v>79.0</v>
      </c>
      <c r="J33" s="264" t="s">
        <v>435</v>
      </c>
      <c r="K33" s="156"/>
    </row>
    <row r="34">
      <c r="A34" s="216">
        <v>35.0</v>
      </c>
      <c r="B34" s="216" t="s">
        <v>436</v>
      </c>
      <c r="C34" s="164" t="s">
        <v>437</v>
      </c>
      <c r="D34" s="164" t="s">
        <v>418</v>
      </c>
      <c r="E34" s="164" t="s">
        <v>438</v>
      </c>
      <c r="F34" s="164" t="s">
        <v>244</v>
      </c>
      <c r="G34" s="164" t="s">
        <v>244</v>
      </c>
      <c r="H34" s="164" t="s">
        <v>440</v>
      </c>
      <c r="I34" s="228">
        <v>7.95</v>
      </c>
      <c r="J34" s="267" t="s">
        <v>270</v>
      </c>
      <c r="K34" s="156"/>
    </row>
    <row r="35">
      <c r="A35" s="216">
        <v>34.0</v>
      </c>
      <c r="B35" s="270" t="s">
        <v>446</v>
      </c>
      <c r="C35" s="164" t="s">
        <v>447</v>
      </c>
      <c r="D35" s="164" t="s">
        <v>418</v>
      </c>
      <c r="E35" s="274" t="s">
        <v>448</v>
      </c>
      <c r="F35" s="164" t="s">
        <v>450</v>
      </c>
      <c r="G35" s="164" t="s">
        <v>421</v>
      </c>
      <c r="H35" s="164" t="s">
        <v>451</v>
      </c>
      <c r="I35" s="255">
        <v>1659.99</v>
      </c>
      <c r="J35" s="224" t="s">
        <v>453</v>
      </c>
      <c r="K35" s="156"/>
    </row>
    <row r="36">
      <c r="A36" s="216">
        <v>33.0</v>
      </c>
      <c r="B36" s="216" t="s">
        <v>454</v>
      </c>
      <c r="C36" s="164" t="s">
        <v>455</v>
      </c>
      <c r="D36" s="164" t="s">
        <v>456</v>
      </c>
      <c r="E36" s="274" t="s">
        <v>457</v>
      </c>
      <c r="F36" s="164" t="s">
        <v>458</v>
      </c>
      <c r="G36" s="164" t="s">
        <v>459</v>
      </c>
      <c r="H36" s="164" t="s">
        <v>460</v>
      </c>
      <c r="I36" s="255">
        <v>3242.0</v>
      </c>
      <c r="J36" s="267" t="s">
        <v>461</v>
      </c>
      <c r="K36" s="156"/>
    </row>
    <row r="37">
      <c r="A37" s="216">
        <v>32.0</v>
      </c>
      <c r="B37" s="216" t="s">
        <v>463</v>
      </c>
      <c r="C37" s="164" t="s">
        <v>465</v>
      </c>
      <c r="D37" s="164" t="s">
        <v>418</v>
      </c>
      <c r="E37" s="164" t="s">
        <v>448</v>
      </c>
      <c r="F37" s="164" t="s">
        <v>466</v>
      </c>
      <c r="G37" s="164" t="s">
        <v>421</v>
      </c>
      <c r="H37" s="164" t="s">
        <v>467</v>
      </c>
      <c r="I37" s="255">
        <v>1659.99</v>
      </c>
      <c r="J37" s="224" t="s">
        <v>453</v>
      </c>
      <c r="K37" s="156"/>
    </row>
    <row r="38">
      <c r="A38" s="216">
        <v>31.0</v>
      </c>
      <c r="B38" s="216" t="s">
        <v>469</v>
      </c>
      <c r="C38" s="164" t="s">
        <v>470</v>
      </c>
      <c r="D38" s="164" t="s">
        <v>418</v>
      </c>
      <c r="E38" s="274" t="s">
        <v>471</v>
      </c>
      <c r="F38" s="164" t="s">
        <v>472</v>
      </c>
      <c r="G38" s="164" t="s">
        <v>421</v>
      </c>
      <c r="H38" s="164" t="s">
        <v>473</v>
      </c>
      <c r="I38" s="255">
        <v>389.99</v>
      </c>
      <c r="J38" s="267" t="s">
        <v>474</v>
      </c>
      <c r="K38" s="156"/>
    </row>
    <row r="39">
      <c r="A39" s="216">
        <v>30.0</v>
      </c>
      <c r="B39" s="216" t="s">
        <v>478</v>
      </c>
      <c r="C39" s="164" t="s">
        <v>479</v>
      </c>
      <c r="D39" s="164" t="s">
        <v>418</v>
      </c>
      <c r="E39" s="274" t="s">
        <v>471</v>
      </c>
      <c r="F39" s="164" t="s">
        <v>466</v>
      </c>
      <c r="G39" s="164" t="s">
        <v>421</v>
      </c>
      <c r="H39" s="164" t="s">
        <v>480</v>
      </c>
      <c r="I39" s="255">
        <v>389.99</v>
      </c>
      <c r="J39" s="267" t="s">
        <v>474</v>
      </c>
      <c r="K39" s="156"/>
    </row>
    <row r="40">
      <c r="A40" s="216">
        <v>29.0</v>
      </c>
      <c r="B40" s="216" t="s">
        <v>481</v>
      </c>
      <c r="C40" s="164" t="s">
        <v>482</v>
      </c>
      <c r="D40" s="164" t="s">
        <v>483</v>
      </c>
      <c r="E40" s="274" t="s">
        <v>457</v>
      </c>
      <c r="F40" s="164" t="s">
        <v>484</v>
      </c>
      <c r="G40" s="164" t="s">
        <v>421</v>
      </c>
      <c r="H40" s="164" t="s">
        <v>485</v>
      </c>
      <c r="I40" s="255">
        <v>3242.0</v>
      </c>
      <c r="J40" s="267" t="s">
        <v>461</v>
      </c>
      <c r="K40" s="156"/>
    </row>
    <row r="41">
      <c r="A41" s="216">
        <v>28.0</v>
      </c>
      <c r="B41" s="216" t="s">
        <v>412</v>
      </c>
      <c r="C41" s="164" t="s">
        <v>486</v>
      </c>
      <c r="D41" s="164" t="s">
        <v>418</v>
      </c>
      <c r="E41" s="164" t="s">
        <v>267</v>
      </c>
      <c r="F41" s="164" t="s">
        <v>244</v>
      </c>
      <c r="G41" s="164" t="s">
        <v>244</v>
      </c>
      <c r="H41" s="164" t="s">
        <v>244</v>
      </c>
      <c r="I41" s="288">
        <v>7.95</v>
      </c>
      <c r="J41" s="289" t="s">
        <v>270</v>
      </c>
      <c r="K41" s="156"/>
    </row>
    <row r="42">
      <c r="A42" s="216" t="s">
        <v>487</v>
      </c>
      <c r="B42" s="234"/>
      <c r="C42" s="236"/>
      <c r="D42" s="236"/>
      <c r="E42" s="236"/>
      <c r="F42" s="236"/>
      <c r="G42" s="236"/>
      <c r="H42" s="236"/>
      <c r="I42" s="290"/>
      <c r="J42" s="236"/>
      <c r="K42" s="156"/>
    </row>
    <row r="43">
      <c r="A43" s="216">
        <v>25.0</v>
      </c>
      <c r="B43" s="216" t="s">
        <v>489</v>
      </c>
      <c r="C43" s="164" t="s">
        <v>490</v>
      </c>
      <c r="D43" s="164" t="s">
        <v>418</v>
      </c>
      <c r="E43" s="164" t="s">
        <v>267</v>
      </c>
      <c r="F43" s="164" t="s">
        <v>244</v>
      </c>
      <c r="G43" s="164" t="s">
        <v>244</v>
      </c>
      <c r="H43" s="164" t="s">
        <v>244</v>
      </c>
      <c r="I43" s="288">
        <v>7.95</v>
      </c>
      <c r="J43" s="289" t="s">
        <v>270</v>
      </c>
      <c r="K43" s="156"/>
    </row>
    <row r="44">
      <c r="A44" s="216">
        <v>24.0</v>
      </c>
      <c r="B44" s="216" t="s">
        <v>492</v>
      </c>
      <c r="C44" s="164" t="s">
        <v>366</v>
      </c>
      <c r="D44" s="164" t="s">
        <v>418</v>
      </c>
      <c r="E44" s="274" t="s">
        <v>493</v>
      </c>
      <c r="F44" s="164" t="s">
        <v>244</v>
      </c>
      <c r="G44" s="164" t="s">
        <v>244</v>
      </c>
      <c r="H44" s="164" t="s">
        <v>494</v>
      </c>
      <c r="I44" s="255">
        <v>291.59</v>
      </c>
      <c r="J44" s="224" t="s">
        <v>495</v>
      </c>
      <c r="K44" s="156"/>
    </row>
    <row r="45">
      <c r="A45" s="216" t="s">
        <v>496</v>
      </c>
      <c r="B45" s="216" t="s">
        <v>372</v>
      </c>
      <c r="C45" s="164" t="s">
        <v>373</v>
      </c>
      <c r="D45" s="164" t="s">
        <v>497</v>
      </c>
      <c r="E45" s="274" t="s">
        <v>498</v>
      </c>
      <c r="F45" s="164" t="s">
        <v>244</v>
      </c>
      <c r="G45" s="164" t="s">
        <v>244</v>
      </c>
      <c r="H45" s="164" t="s">
        <v>499</v>
      </c>
      <c r="I45" s="255">
        <v>1399.0</v>
      </c>
      <c r="J45" s="224" t="s">
        <v>500</v>
      </c>
      <c r="K45" s="156"/>
    </row>
    <row r="46">
      <c r="A46" s="216" t="s">
        <v>505</v>
      </c>
      <c r="B46" s="216" t="s">
        <v>506</v>
      </c>
      <c r="C46" s="164" t="s">
        <v>508</v>
      </c>
      <c r="D46" s="164" t="s">
        <v>244</v>
      </c>
      <c r="E46" s="164" t="s">
        <v>244</v>
      </c>
      <c r="F46" s="164" t="s">
        <v>244</v>
      </c>
      <c r="G46" s="164" t="s">
        <v>244</v>
      </c>
      <c r="H46" s="164" t="s">
        <v>509</v>
      </c>
      <c r="I46" s="290"/>
      <c r="J46" s="181"/>
      <c r="K46" s="156"/>
    </row>
    <row r="47">
      <c r="A47" s="156"/>
      <c r="B47" s="156"/>
      <c r="C47" s="156"/>
      <c r="D47" s="156"/>
      <c r="E47" s="156"/>
      <c r="F47" s="156"/>
      <c r="G47" s="156"/>
      <c r="H47" s="205" t="s">
        <v>93</v>
      </c>
      <c r="I47" s="295">
        <f>SUM(I27:I46)</f>
        <v>14195.21</v>
      </c>
      <c r="J47" s="156"/>
      <c r="K47" s="156"/>
    </row>
    <row r="49">
      <c r="G49" s="296" t="s">
        <v>513</v>
      </c>
      <c r="H49" s="13"/>
      <c r="I49" s="297">
        <f>SUM(I47+I24)</f>
        <v>23896.8</v>
      </c>
    </row>
  </sheetData>
  <mergeCells count="3">
    <mergeCell ref="A1:H1"/>
    <mergeCell ref="I1:J1"/>
    <mergeCell ref="G49:H49"/>
  </mergeCells>
  <hyperlinks>
    <hyperlink r:id="rId1" ref="I1"/>
    <hyperlink r:id="rId2" location="polycard_client=search-desktop&amp;search_layout=grid&amp;position=1&amp;type=product&amp;tracking_id=202a82b7-6526-43a1-b4e2-5c64b053e9bb&amp;wid=MEC516152963&amp;sid=search" ref="J3"/>
    <hyperlink r:id="rId3" location="polycard_client=search-desktop&amp;search_layout=grid&amp;position=1&amp;type=product&amp;tracking_id=efb31816-171c-43c1-950c-4ac973487c63&amp;wid=MEC521209598&amp;sid=search" ref="J4"/>
    <hyperlink r:id="rId4" location="polycard_client=search-desktop&amp;search_layout=grid&amp;position=1&amp;type=product&amp;tracking_id=202a82b7-6526-43a1-b4e2-5c64b053e9bb&amp;wid=MEC516152963&amp;sid=search" ref="J5"/>
    <hyperlink r:id="rId5" ref="J6"/>
    <hyperlink r:id="rId6" ref="J7"/>
    <hyperlink r:id="rId7" ref="J9"/>
    <hyperlink r:id="rId8" ref="J10"/>
    <hyperlink r:id="rId9" location="polycard_client=search-desktop&amp;search_layout=grid&amp;position=1&amp;type=product&amp;tracking_id=202a82b7-6526-43a1-b4e2-5c64b053e9bb&amp;wid=MEC516152963&amp;sid=search" ref="J11"/>
    <hyperlink r:id="rId10" ref="J12"/>
    <hyperlink r:id="rId11" location="polycard_client=search-desktop&amp;search_layout=grid&amp;position=1&amp;type=product&amp;tracking_id=f9258e4b-2927-4abb-b7a9-c57a6ee54aef&amp;wid=MEC521040590&amp;sid=search" ref="J13"/>
    <hyperlink r:id="rId12" ref="J14"/>
    <hyperlink r:id="rId13" location="polycard_client=search-desktop&amp;search_layout=grid&amp;position=1&amp;type=product&amp;tracking_id=f9258e4b-2927-4abb-b7a9-c57a6ee54aef&amp;wid=MEC521040590&amp;sid=search" ref="J15"/>
    <hyperlink r:id="rId14" ref="J16"/>
    <hyperlink r:id="rId15" location="polycard_client=search-desktop&amp;search_layout=grid&amp;position=1&amp;type=product&amp;tracking_id=f9258e4b-2927-4abb-b7a9-c57a6ee54aef&amp;wid=MEC521040590&amp;sid=search" ref="J17"/>
    <hyperlink r:id="rId16" ref="J18"/>
    <hyperlink r:id="rId17" location="polycard_client=search-desktop&amp;search_layout=grid&amp;position=1&amp;type=product&amp;tracking_id=f9258e4b-2927-4abb-b7a9-c57a6ee54aef&amp;wid=MEC521040590&amp;sid=search" ref="J19"/>
    <hyperlink r:id="rId18" ref="J20"/>
    <hyperlink r:id="rId19" location="polycard_client=search-desktop&amp;search_layout=grid&amp;position=1&amp;type=product&amp;tracking_id=f9258e4b-2927-4abb-b7a9-c57a6ee54aef&amp;wid=MEC521040590&amp;sid=search" ref="J21"/>
    <hyperlink r:id="rId20" ref="J22"/>
    <hyperlink r:id="rId21" ref="J23"/>
    <hyperlink r:id="rId22" location="polycard_client=search-desktop&amp;search_layout=grid&amp;position=1&amp;type=product&amp;tracking_id=58fa6740-8b1f-4e39-9442-fbecbdaa3fbb&amp;wid=MEC516172004&amp;sid=search" ref="J27"/>
    <hyperlink r:id="rId23" location="polycard_client=search-desktop&amp;search_layout=grid&amp;position=4&amp;type=product&amp;tracking_id=816d4ea3-ec9f-4656-8931-7423e63825bc&amp;wid=MEC759434504&amp;sid=search" ref="J28"/>
    <hyperlink r:id="rId24" location="polycard_client=search-desktop&amp;search_layout=grid&amp;position=1&amp;type=product&amp;tracking_id=202a82b7-6526-43a1-b4e2-5c64b053e9bb&amp;wid=MEC516152963&amp;sid=search" ref="J29"/>
    <hyperlink r:id="rId25" ref="J30"/>
    <hyperlink r:id="rId26" location="polycard_client=search-desktop&amp;search_layout=grid&amp;position=1&amp;type=product&amp;tracking_id=53f710ef-7493-45b9-8cf0-63cabc68afb5&amp;wid=MEC514157061&amp;sid=search" ref="J32"/>
    <hyperlink r:id="rId27" location="polycard_client=search-desktop&amp;search_layout=grid&amp;position=1&amp;type=item&amp;tracking_id=6b66e102-d83f-4445-8b44-9a66e69a3600&amp;wid=MEC732316570&amp;sid=search" ref="J33"/>
    <hyperlink r:id="rId28" ref="J34"/>
    <hyperlink r:id="rId29" location="polycard_client=search-desktop&amp;search_layout=grid&amp;position=2&amp;type=product&amp;tracking_id=a19b9b59-9366-42c4-9c06-bd0f374a98ef&amp;wid=MEC514157061&amp;sid=search" ref="J35"/>
    <hyperlink r:id="rId30" ref="J36"/>
    <hyperlink r:id="rId31" location="polycard_client=search-desktop&amp;search_layout=grid&amp;position=2&amp;type=product&amp;tracking_id=a19b9b59-9366-42c4-9c06-bd0f374a98ef&amp;wid=MEC514157061&amp;sid=search" ref="J37"/>
    <hyperlink r:id="rId32" ref="J38"/>
    <hyperlink r:id="rId33" ref="J39"/>
    <hyperlink r:id="rId34" ref="J40"/>
    <hyperlink r:id="rId35" ref="J41"/>
    <hyperlink r:id="rId36" ref="J43"/>
    <hyperlink r:id="rId37" ref="J44"/>
    <hyperlink r:id="rId38" ref="J45"/>
  </hyperlinks>
  <drawing r:id="rId3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37.88"/>
    <col customWidth="1" min="5" max="5" width="23.88"/>
    <col customWidth="1" min="6" max="6" width="26.0"/>
    <col customWidth="1" min="7" max="7" width="23.38"/>
    <col customWidth="1" min="8" max="8" width="52.38"/>
    <col customWidth="1" min="9" max="9" width="21.13"/>
    <col customWidth="1" min="10" max="11" width="21.5"/>
    <col customWidth="1" min="12" max="12" width="10.63"/>
    <col customWidth="1" min="13" max="13" width="15.13"/>
    <col customWidth="1" min="14" max="14" width="10.63"/>
    <col customWidth="1" min="15" max="15" width="17.0"/>
    <col customWidth="1" min="16" max="16" width="13.0"/>
    <col customWidth="1" min="17" max="17" width="10.63"/>
    <col customWidth="1" min="18" max="18" width="15.38"/>
    <col customWidth="1" min="19" max="19" width="10.63"/>
    <col customWidth="1" min="20" max="20" width="28.38"/>
    <col customWidth="1" min="21" max="23" width="10.63"/>
    <col customWidth="1" min="24" max="24" width="35.5"/>
    <col customWidth="1" min="25" max="25" width="23.75"/>
    <col customWidth="1" min="26" max="26" width="24.13"/>
    <col customWidth="1" min="27" max="27" width="21.38"/>
    <col customWidth="1" min="28" max="28" width="15.25"/>
    <col customWidth="1" min="53" max="53" width="20.0"/>
    <col customWidth="1" min="54" max="54" width="19.13"/>
    <col customWidth="1" min="55" max="55" width="19.38"/>
    <col customWidth="1" min="56" max="56" width="20.0"/>
    <col customWidth="1" min="58" max="58" width="23.38"/>
  </cols>
  <sheetData>
    <row r="1" ht="15.0" customHeight="1">
      <c r="A1" s="306"/>
      <c r="B1" s="306"/>
      <c r="C1" s="306"/>
      <c r="E1" s="306" t="s">
        <v>526</v>
      </c>
      <c r="F1" s="306"/>
      <c r="G1" s="306"/>
      <c r="H1" s="306"/>
      <c r="I1" s="306"/>
      <c r="J1" s="306"/>
      <c r="K1" s="306"/>
      <c r="L1" s="306"/>
      <c r="M1" s="306"/>
      <c r="N1" s="306"/>
      <c r="O1" s="308" t="s">
        <v>527</v>
      </c>
      <c r="P1" s="309" t="s">
        <v>528</v>
      </c>
      <c r="Q1" s="309" t="s">
        <v>529</v>
      </c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6"/>
      <c r="BC1" s="306"/>
      <c r="BD1" s="306"/>
      <c r="BE1" s="306"/>
      <c r="BF1" s="306"/>
      <c r="BG1" s="306"/>
      <c r="BH1" s="306"/>
      <c r="BI1" s="306"/>
      <c r="BJ1" s="306"/>
      <c r="BK1" s="306"/>
    </row>
    <row r="2" ht="15.0" customHeight="1">
      <c r="A2" s="306"/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1"/>
      <c r="P2" s="309" t="s">
        <v>532</v>
      </c>
      <c r="Q2" s="309" t="s">
        <v>533</v>
      </c>
      <c r="R2" s="306"/>
      <c r="S2" s="306"/>
      <c r="T2" s="306"/>
      <c r="U2" s="306"/>
      <c r="V2" s="306"/>
      <c r="W2" s="306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6"/>
      <c r="AP2" s="306"/>
      <c r="AQ2" s="306"/>
      <c r="AR2" s="306"/>
      <c r="AS2" s="306"/>
      <c r="AT2" s="306"/>
      <c r="AU2" s="306"/>
      <c r="AV2" s="306"/>
      <c r="AW2" s="306"/>
      <c r="AX2" s="306"/>
      <c r="AY2" s="306"/>
      <c r="AZ2" s="306"/>
      <c r="BA2" s="306"/>
      <c r="BB2" s="306"/>
      <c r="BC2" s="306"/>
      <c r="BD2" s="306"/>
      <c r="BE2" s="306"/>
      <c r="BF2" s="306"/>
      <c r="BG2" s="306"/>
      <c r="BH2" s="306"/>
      <c r="BI2" s="306"/>
      <c r="BJ2" s="306"/>
      <c r="BK2" s="306"/>
    </row>
    <row r="3" ht="15.0" customHeight="1">
      <c r="A3" s="306"/>
      <c r="B3" s="306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W3" s="306"/>
      <c r="X3" s="306"/>
      <c r="Y3" s="306"/>
      <c r="Z3" s="306"/>
      <c r="AA3" s="317"/>
      <c r="AB3" s="317"/>
      <c r="AC3" s="319" t="s">
        <v>537</v>
      </c>
      <c r="AD3" s="12"/>
      <c r="AE3" s="12"/>
      <c r="AF3" s="13"/>
      <c r="AG3" s="306"/>
      <c r="AH3" s="306"/>
      <c r="AI3" s="306"/>
      <c r="AJ3" s="306"/>
      <c r="AK3" s="306"/>
      <c r="AL3" s="306"/>
      <c r="AM3" s="306"/>
      <c r="AN3" s="306"/>
      <c r="AO3" s="306"/>
      <c r="AP3" s="306"/>
      <c r="AQ3" s="306"/>
      <c r="AR3" s="306"/>
      <c r="AS3" s="306"/>
      <c r="AT3" s="306"/>
      <c r="AU3" s="306"/>
      <c r="AV3" s="306"/>
      <c r="AW3" s="306"/>
      <c r="AX3" s="306"/>
      <c r="AY3" s="306"/>
      <c r="AZ3" s="306"/>
      <c r="BA3" s="306"/>
      <c r="BB3" s="306"/>
      <c r="BC3" s="306"/>
      <c r="BD3" s="306"/>
      <c r="BE3" s="306"/>
      <c r="BF3" s="306"/>
      <c r="BG3" s="306"/>
      <c r="BH3" s="306"/>
      <c r="BI3" s="306"/>
      <c r="BJ3" s="306"/>
      <c r="BK3" s="306"/>
    </row>
    <row r="4" ht="15.0" customHeight="1">
      <c r="A4" s="306"/>
      <c r="B4" s="306"/>
      <c r="C4" s="306"/>
      <c r="D4" s="320" t="s">
        <v>540</v>
      </c>
      <c r="E4" s="320" t="s">
        <v>541</v>
      </c>
      <c r="F4" s="320" t="s">
        <v>542</v>
      </c>
      <c r="G4" s="320" t="s">
        <v>543</v>
      </c>
      <c r="H4" s="320" t="s">
        <v>5</v>
      </c>
      <c r="I4" s="320" t="s">
        <v>533</v>
      </c>
      <c r="J4" s="320" t="s">
        <v>19</v>
      </c>
      <c r="K4" s="320" t="s">
        <v>544</v>
      </c>
      <c r="L4" s="320" t="s">
        <v>545</v>
      </c>
      <c r="M4" s="320" t="s">
        <v>546</v>
      </c>
      <c r="N4" s="320" t="s">
        <v>547</v>
      </c>
      <c r="O4" s="320" t="s">
        <v>548</v>
      </c>
      <c r="P4" s="320" t="s">
        <v>549</v>
      </c>
      <c r="Q4" s="320" t="s">
        <v>550</v>
      </c>
      <c r="R4" s="320" t="s">
        <v>551</v>
      </c>
      <c r="S4" s="320" t="s">
        <v>552</v>
      </c>
      <c r="T4" s="320" t="s">
        <v>553</v>
      </c>
      <c r="U4" s="306"/>
      <c r="V4" s="306"/>
      <c r="W4" s="306"/>
      <c r="X4" s="321" t="s">
        <v>38</v>
      </c>
      <c r="Y4" s="321" t="s">
        <v>554</v>
      </c>
      <c r="Z4" s="322" t="s">
        <v>555</v>
      </c>
      <c r="AA4" s="324" t="s">
        <v>556</v>
      </c>
      <c r="AB4" s="326" t="s">
        <v>557</v>
      </c>
      <c r="AC4" s="328" t="s">
        <v>559</v>
      </c>
      <c r="AD4" s="328" t="s">
        <v>560</v>
      </c>
      <c r="AE4" s="329" t="s">
        <v>561</v>
      </c>
      <c r="AF4" s="328" t="s">
        <v>562</v>
      </c>
      <c r="AG4" s="331"/>
      <c r="AH4" s="331"/>
      <c r="AI4" s="331"/>
      <c r="AJ4" s="333"/>
      <c r="AK4" s="335" t="s">
        <v>563</v>
      </c>
      <c r="AL4" s="12"/>
      <c r="AM4" s="13"/>
      <c r="AN4" s="335" t="s">
        <v>565</v>
      </c>
      <c r="AO4" s="13"/>
      <c r="AP4" s="333"/>
      <c r="AQ4" s="333" t="s">
        <v>569</v>
      </c>
      <c r="AR4" s="335" t="s">
        <v>571</v>
      </c>
      <c r="AS4" s="12"/>
      <c r="AT4" s="12"/>
      <c r="AU4" s="13"/>
      <c r="AV4" s="335" t="s">
        <v>574</v>
      </c>
      <c r="AW4" s="13"/>
      <c r="AX4" s="333" t="s">
        <v>575</v>
      </c>
      <c r="AY4" s="333" t="s">
        <v>576</v>
      </c>
      <c r="AZ4" s="333"/>
      <c r="BA4" s="335" t="s">
        <v>577</v>
      </c>
      <c r="BB4" s="13"/>
      <c r="BC4" s="343"/>
      <c r="BD4" s="343"/>
      <c r="BE4" s="331"/>
      <c r="BF4" s="3"/>
      <c r="BG4" s="3"/>
      <c r="BH4" s="331"/>
      <c r="BI4" s="331"/>
      <c r="BJ4" s="331"/>
      <c r="BK4" s="306"/>
    </row>
    <row r="5" ht="15.0" customHeight="1">
      <c r="A5" s="306"/>
      <c r="B5" s="306"/>
      <c r="C5" s="306"/>
      <c r="D5" s="347" t="s">
        <v>580</v>
      </c>
      <c r="E5" s="348">
        <v>8.0</v>
      </c>
      <c r="F5" s="348">
        <v>5.0</v>
      </c>
      <c r="G5" s="348">
        <v>3.0</v>
      </c>
      <c r="H5" s="348">
        <v>1.0</v>
      </c>
      <c r="I5" s="348">
        <v>1.0</v>
      </c>
      <c r="J5" s="348">
        <v>1.0</v>
      </c>
      <c r="K5" s="348"/>
      <c r="L5" s="348"/>
      <c r="M5" s="350">
        <v>1.0</v>
      </c>
      <c r="N5" s="350">
        <v>2.0</v>
      </c>
      <c r="O5" s="348"/>
      <c r="P5" s="355"/>
      <c r="Q5" s="355"/>
      <c r="R5" s="355"/>
      <c r="S5" s="355"/>
      <c r="T5" s="357">
        <f>SUM(I5:S5)</f>
        <v>5</v>
      </c>
      <c r="U5" s="306"/>
      <c r="V5" s="306"/>
      <c r="W5" s="306"/>
      <c r="X5" s="358" t="s">
        <v>580</v>
      </c>
      <c r="Y5" s="358" t="s">
        <v>44</v>
      </c>
      <c r="Z5" s="358">
        <v>1.0</v>
      </c>
      <c r="AA5" s="359">
        <v>4.0</v>
      </c>
      <c r="AB5" s="360">
        <f>SUM(Z5:Z9)</f>
        <v>5</v>
      </c>
      <c r="AC5" s="361">
        <v>3.0</v>
      </c>
      <c r="AD5" s="361">
        <v>1.0</v>
      </c>
      <c r="AE5" s="362">
        <v>0.0</v>
      </c>
      <c r="AF5" s="361">
        <v>0.0</v>
      </c>
      <c r="AG5" s="331"/>
      <c r="AH5" s="331"/>
      <c r="AI5" s="331"/>
      <c r="AJ5" s="333"/>
      <c r="AK5" s="333"/>
      <c r="AL5" s="333"/>
      <c r="AM5" s="333"/>
      <c r="AN5" s="333"/>
      <c r="AO5" s="333"/>
      <c r="AP5" s="333"/>
      <c r="AQ5" s="333"/>
      <c r="AR5" s="333" t="s">
        <v>582</v>
      </c>
      <c r="AS5" s="333"/>
      <c r="AT5" s="333" t="s">
        <v>583</v>
      </c>
      <c r="AU5" s="333"/>
      <c r="AV5" s="333" t="s">
        <v>582</v>
      </c>
      <c r="AW5" s="333" t="s">
        <v>583</v>
      </c>
      <c r="AX5" s="333" t="s">
        <v>583</v>
      </c>
      <c r="AY5" s="333" t="s">
        <v>582</v>
      </c>
      <c r="AZ5" s="333" t="s">
        <v>585</v>
      </c>
      <c r="BA5" s="364" t="s">
        <v>587</v>
      </c>
      <c r="BB5" s="333"/>
      <c r="BC5" s="365" t="s">
        <v>589</v>
      </c>
      <c r="BD5" s="343"/>
      <c r="BE5" s="331"/>
      <c r="BF5" s="33" t="s">
        <v>50</v>
      </c>
      <c r="BG5" s="13"/>
      <c r="BH5" s="331"/>
      <c r="BI5" s="331"/>
      <c r="BJ5" s="331"/>
      <c r="BK5" s="306"/>
    </row>
    <row r="6" ht="15.0" customHeight="1">
      <c r="A6" s="306"/>
      <c r="B6" s="368"/>
      <c r="C6" s="368"/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69"/>
      <c r="P6" s="369"/>
      <c r="Q6" s="369"/>
      <c r="R6" s="369"/>
      <c r="S6" s="369"/>
      <c r="T6" s="369"/>
      <c r="U6" s="306"/>
      <c r="V6" s="306"/>
      <c r="W6" s="306"/>
      <c r="X6" s="358"/>
      <c r="Y6" s="358" t="s">
        <v>45</v>
      </c>
      <c r="Z6" s="358">
        <v>1.0</v>
      </c>
      <c r="AA6" s="24"/>
      <c r="AB6" s="24"/>
      <c r="AC6" s="24"/>
      <c r="AD6" s="24"/>
      <c r="AE6" s="24"/>
      <c r="AF6" s="24"/>
      <c r="AG6" s="331"/>
      <c r="AH6" s="331"/>
      <c r="AI6" s="331"/>
      <c r="AJ6" s="321" t="s">
        <v>38</v>
      </c>
      <c r="AK6" s="321" t="s">
        <v>379</v>
      </c>
      <c r="AL6" s="321" t="s">
        <v>593</v>
      </c>
      <c r="AM6" s="321" t="s">
        <v>383</v>
      </c>
      <c r="AN6" s="321" t="s">
        <v>559</v>
      </c>
      <c r="AO6" s="322" t="s">
        <v>560</v>
      </c>
      <c r="AP6" s="321" t="s">
        <v>115</v>
      </c>
      <c r="AQ6" s="321" t="s">
        <v>594</v>
      </c>
      <c r="AR6" s="322" t="s">
        <v>595</v>
      </c>
      <c r="AS6" s="321" t="s">
        <v>118</v>
      </c>
      <c r="AT6" s="321" t="s">
        <v>597</v>
      </c>
      <c r="AU6" s="321" t="s">
        <v>118</v>
      </c>
      <c r="AV6" s="321" t="s">
        <v>598</v>
      </c>
      <c r="AW6" s="321" t="s">
        <v>599</v>
      </c>
      <c r="AX6" s="321" t="s">
        <v>599</v>
      </c>
      <c r="AY6" s="321" t="s">
        <v>600</v>
      </c>
      <c r="AZ6" s="321" t="s">
        <v>601</v>
      </c>
      <c r="BA6" s="321" t="s">
        <v>603</v>
      </c>
      <c r="BB6" s="321" t="s">
        <v>118</v>
      </c>
      <c r="BC6" s="383" t="s">
        <v>604</v>
      </c>
      <c r="BD6" s="383" t="s">
        <v>118</v>
      </c>
      <c r="BE6" s="331"/>
      <c r="BF6" s="385" t="s">
        <v>605</v>
      </c>
      <c r="BG6" s="386">
        <v>1.0</v>
      </c>
      <c r="BH6" s="331"/>
      <c r="BI6" s="331"/>
      <c r="BJ6" s="331"/>
      <c r="BK6" s="306"/>
    </row>
    <row r="7" ht="15.0" customHeight="1">
      <c r="A7" s="306"/>
      <c r="B7" s="306"/>
      <c r="C7" s="306"/>
      <c r="D7" s="347" t="s">
        <v>607</v>
      </c>
      <c r="E7" s="348">
        <v>8.0</v>
      </c>
      <c r="F7" s="348">
        <v>7.0</v>
      </c>
      <c r="G7" s="348">
        <v>3.0</v>
      </c>
      <c r="H7" s="348">
        <v>6.0</v>
      </c>
      <c r="I7" s="348">
        <v>6.0</v>
      </c>
      <c r="J7" s="348">
        <v>6.0</v>
      </c>
      <c r="K7" s="348">
        <v>1.0</v>
      </c>
      <c r="L7" s="348">
        <v>1.0</v>
      </c>
      <c r="M7" s="348">
        <v>2.0</v>
      </c>
      <c r="N7" s="348">
        <v>1.0</v>
      </c>
      <c r="O7" s="348"/>
      <c r="P7" s="355"/>
      <c r="Q7" s="355"/>
      <c r="R7" s="355"/>
      <c r="S7" s="355"/>
      <c r="T7" s="357">
        <f>SUM(I7:S7)</f>
        <v>17</v>
      </c>
      <c r="U7" s="306"/>
      <c r="V7" s="306"/>
      <c r="W7" s="306"/>
      <c r="X7" s="358"/>
      <c r="Y7" s="358" t="s">
        <v>48</v>
      </c>
      <c r="Z7" s="358">
        <v>1.0</v>
      </c>
      <c r="AA7" s="24"/>
      <c r="AB7" s="24"/>
      <c r="AC7" s="24"/>
      <c r="AD7" s="24"/>
      <c r="AE7" s="24"/>
      <c r="AF7" s="24"/>
      <c r="AG7" s="331"/>
      <c r="AH7" s="331"/>
      <c r="AI7" s="331"/>
      <c r="AJ7" s="333" t="s">
        <v>580</v>
      </c>
      <c r="AK7" s="333">
        <v>3.0</v>
      </c>
      <c r="AL7" s="333">
        <v>2.0</v>
      </c>
      <c r="AM7" s="333">
        <v>0.0</v>
      </c>
      <c r="AN7" s="333">
        <v>3.0</v>
      </c>
      <c r="AO7" s="333">
        <v>1.0</v>
      </c>
      <c r="AP7" s="333">
        <f>SUM(AK7:AL7)</f>
        <v>5</v>
      </c>
      <c r="AQ7" s="333">
        <v>3.0</v>
      </c>
      <c r="AR7" s="333">
        <v>4.0</v>
      </c>
      <c r="AS7" s="333">
        <v>7.0</v>
      </c>
      <c r="AT7" s="333">
        <v>0.0</v>
      </c>
      <c r="AU7" s="333">
        <v>0.0</v>
      </c>
      <c r="AV7" s="333">
        <v>6.0</v>
      </c>
      <c r="AW7" s="333">
        <v>0.0</v>
      </c>
      <c r="AX7" s="333">
        <v>0.0</v>
      </c>
      <c r="AY7" s="333">
        <v>1.0</v>
      </c>
      <c r="AZ7" s="333">
        <v>0.0</v>
      </c>
      <c r="BA7" s="396">
        <v>18.0</v>
      </c>
      <c r="BB7" s="396">
        <v>51.8</v>
      </c>
      <c r="BC7" s="397">
        <v>17.0</v>
      </c>
      <c r="BD7" s="397">
        <v>49.95</v>
      </c>
      <c r="BE7" s="331"/>
      <c r="BH7" s="331"/>
      <c r="BI7" s="331"/>
      <c r="BJ7" s="331"/>
      <c r="BK7" s="306"/>
    </row>
    <row r="8" ht="15.0" customHeight="1">
      <c r="A8" s="306"/>
      <c r="B8" s="398"/>
      <c r="C8" s="306"/>
      <c r="D8" s="369"/>
      <c r="E8" s="369"/>
      <c r="F8" s="369"/>
      <c r="G8" s="369"/>
      <c r="H8" s="369"/>
      <c r="I8" s="369"/>
      <c r="J8" s="369"/>
      <c r="K8" s="369"/>
      <c r="L8" s="369"/>
      <c r="M8" s="369"/>
      <c r="N8" s="369"/>
      <c r="O8" s="369"/>
      <c r="P8" s="369"/>
      <c r="Q8" s="369"/>
      <c r="R8" s="369"/>
      <c r="S8" s="369"/>
      <c r="T8" s="369"/>
      <c r="U8" s="306"/>
      <c r="V8" s="306"/>
      <c r="W8" s="306"/>
      <c r="X8" s="358"/>
      <c r="Y8" s="358" t="s">
        <v>613</v>
      </c>
      <c r="Z8" s="358">
        <v>1.0</v>
      </c>
      <c r="AA8" s="24"/>
      <c r="AB8" s="24"/>
      <c r="AC8" s="24"/>
      <c r="AD8" s="24"/>
      <c r="AE8" s="24"/>
      <c r="AF8" s="24"/>
      <c r="AG8" s="331"/>
      <c r="AH8" s="331"/>
      <c r="AI8" s="331"/>
      <c r="AJ8" s="333"/>
      <c r="AK8" s="333"/>
      <c r="AL8" s="333"/>
      <c r="AM8" s="333"/>
      <c r="AN8" s="333"/>
      <c r="AO8" s="333"/>
      <c r="AP8" s="333"/>
      <c r="AQ8" s="333"/>
      <c r="AR8" s="333"/>
      <c r="AS8" s="333"/>
      <c r="AT8" s="333"/>
      <c r="AU8" s="333"/>
      <c r="AV8" s="333"/>
      <c r="AW8" s="333"/>
      <c r="AX8" s="333"/>
      <c r="AY8" s="333"/>
      <c r="AZ8" s="333"/>
      <c r="BA8" s="24"/>
      <c r="BB8" s="24"/>
      <c r="BC8" s="24"/>
      <c r="BD8" s="24"/>
      <c r="BE8" s="331"/>
      <c r="BF8" s="405"/>
      <c r="BG8" s="406"/>
      <c r="BH8" s="331"/>
      <c r="BI8" s="331"/>
      <c r="BJ8" s="331"/>
      <c r="BK8" s="306"/>
    </row>
    <row r="9" ht="15.0" customHeight="1">
      <c r="A9" s="306"/>
      <c r="B9" s="398"/>
      <c r="C9" s="306"/>
      <c r="D9" s="407" t="s">
        <v>617</v>
      </c>
      <c r="E9" s="350">
        <v>8.0</v>
      </c>
      <c r="F9" s="348">
        <v>4.0</v>
      </c>
      <c r="G9" s="348">
        <v>3.0</v>
      </c>
      <c r="H9" s="348"/>
      <c r="I9" s="348"/>
      <c r="J9" s="348"/>
      <c r="K9" s="348"/>
      <c r="L9" s="348"/>
      <c r="M9" s="348"/>
      <c r="N9" s="348">
        <v>1.0</v>
      </c>
      <c r="O9" s="348"/>
      <c r="P9" s="355">
        <v>1.0</v>
      </c>
      <c r="Q9" s="355"/>
      <c r="R9" s="355"/>
      <c r="S9" s="355"/>
      <c r="T9" s="357">
        <f>SUM(I9:S9)</f>
        <v>2</v>
      </c>
      <c r="U9" s="306"/>
      <c r="V9" s="306"/>
      <c r="W9" s="306"/>
      <c r="X9" s="358"/>
      <c r="Y9" s="358" t="s">
        <v>618</v>
      </c>
      <c r="Z9" s="358">
        <v>1.0</v>
      </c>
      <c r="AA9" s="31"/>
      <c r="AB9" s="31"/>
      <c r="AC9" s="31"/>
      <c r="AD9" s="31"/>
      <c r="AE9" s="31"/>
      <c r="AF9" s="31"/>
      <c r="AG9" s="331"/>
      <c r="AH9" s="331"/>
      <c r="AI9" s="331"/>
      <c r="AJ9" s="333" t="s">
        <v>607</v>
      </c>
      <c r="AK9" s="176">
        <v>5.0</v>
      </c>
      <c r="AL9" s="333">
        <v>12.0</v>
      </c>
      <c r="AM9" s="333">
        <v>0.0</v>
      </c>
      <c r="AN9" s="333">
        <v>5.0</v>
      </c>
      <c r="AO9" s="333">
        <v>6.0</v>
      </c>
      <c r="AP9" s="333">
        <v>17.0</v>
      </c>
      <c r="AQ9" s="333">
        <v>6.0</v>
      </c>
      <c r="AR9" s="333">
        <v>1.0</v>
      </c>
      <c r="AS9" s="333">
        <v>2.0</v>
      </c>
      <c r="AT9" s="333">
        <v>3.0</v>
      </c>
      <c r="AU9" s="333">
        <v>5.9</v>
      </c>
      <c r="AV9" s="333">
        <v>0.0</v>
      </c>
      <c r="AW9" s="333">
        <v>4.0</v>
      </c>
      <c r="AX9" s="333">
        <v>2.0</v>
      </c>
      <c r="AY9" s="333">
        <v>1.0</v>
      </c>
      <c r="AZ9" s="333">
        <v>1.0</v>
      </c>
      <c r="BA9" s="24"/>
      <c r="BB9" s="24"/>
      <c r="BC9" s="24"/>
      <c r="BD9" s="24"/>
      <c r="BE9" s="331"/>
      <c r="BF9" s="405"/>
      <c r="BG9" s="406"/>
      <c r="BH9" s="331"/>
      <c r="BI9" s="331"/>
      <c r="BJ9" s="331"/>
      <c r="BK9" s="306"/>
    </row>
    <row r="10" ht="15.0" customHeight="1">
      <c r="A10" s="306"/>
      <c r="B10" s="398"/>
      <c r="C10" s="306"/>
      <c r="D10" s="369"/>
      <c r="E10" s="369"/>
      <c r="F10" s="369"/>
      <c r="G10" s="369"/>
      <c r="H10" s="369"/>
      <c r="I10" s="369"/>
      <c r="J10" s="369"/>
      <c r="K10" s="369"/>
      <c r="L10" s="369"/>
      <c r="M10" s="369"/>
      <c r="N10" s="369"/>
      <c r="O10" s="369"/>
      <c r="P10" s="369"/>
      <c r="Q10" s="369"/>
      <c r="R10" s="369"/>
      <c r="S10" s="369"/>
      <c r="T10" s="369"/>
      <c r="U10" s="306"/>
      <c r="V10" s="306"/>
      <c r="W10" s="306"/>
      <c r="X10" s="409" t="s">
        <v>607</v>
      </c>
      <c r="Y10" s="409" t="s">
        <v>44</v>
      </c>
      <c r="Z10" s="409">
        <v>1.0</v>
      </c>
      <c r="AA10" s="359">
        <v>11.0</v>
      </c>
      <c r="AB10" s="360">
        <f>SUM(Z10:Z26)</f>
        <v>17</v>
      </c>
      <c r="AC10" s="361">
        <v>5.0</v>
      </c>
      <c r="AD10" s="361">
        <v>6.0</v>
      </c>
      <c r="AE10" s="362">
        <v>0.0</v>
      </c>
      <c r="AF10" s="361">
        <v>0.0</v>
      </c>
      <c r="AG10" s="331"/>
      <c r="AH10" s="331"/>
      <c r="AI10" s="331"/>
      <c r="AJ10" s="333"/>
      <c r="AK10" s="333"/>
      <c r="AL10" s="333"/>
      <c r="AM10" s="333"/>
      <c r="AN10" s="333"/>
      <c r="AO10" s="333"/>
      <c r="AP10" s="333"/>
      <c r="AQ10" s="333"/>
      <c r="AR10" s="333"/>
      <c r="AS10" s="333"/>
      <c r="AT10" s="333"/>
      <c r="AU10" s="333"/>
      <c r="AV10" s="333"/>
      <c r="AW10" s="333"/>
      <c r="AX10" s="333"/>
      <c r="AY10" s="333"/>
      <c r="AZ10" s="333"/>
      <c r="BA10" s="24"/>
      <c r="BB10" s="24"/>
      <c r="BC10" s="24"/>
      <c r="BD10" s="24"/>
      <c r="BE10" s="331"/>
      <c r="BF10" s="331"/>
      <c r="BG10" s="331"/>
      <c r="BH10" s="331"/>
      <c r="BI10" s="331"/>
      <c r="BJ10" s="331"/>
      <c r="BK10" s="306"/>
    </row>
    <row r="11" ht="15.0" customHeight="1">
      <c r="A11" s="306"/>
      <c r="B11" s="398"/>
      <c r="C11" s="306"/>
      <c r="D11" s="347" t="s">
        <v>621</v>
      </c>
      <c r="E11" s="348">
        <v>8.0</v>
      </c>
      <c r="F11" s="348">
        <v>6.0</v>
      </c>
      <c r="G11" s="348">
        <v>3.0</v>
      </c>
      <c r="H11" s="348"/>
      <c r="I11" s="348"/>
      <c r="J11" s="348"/>
      <c r="K11" s="348"/>
      <c r="L11" s="348"/>
      <c r="M11" s="348"/>
      <c r="N11" s="348">
        <v>1.0</v>
      </c>
      <c r="O11" s="348">
        <v>1.0</v>
      </c>
      <c r="P11" s="355"/>
      <c r="Q11" s="355"/>
      <c r="R11" s="355"/>
      <c r="S11" s="355"/>
      <c r="T11" s="357">
        <f>SUM(I11:S11)</f>
        <v>2</v>
      </c>
      <c r="U11" s="306"/>
      <c r="V11" s="306"/>
      <c r="W11" s="306"/>
      <c r="X11" s="409"/>
      <c r="Y11" s="409" t="s">
        <v>44</v>
      </c>
      <c r="Z11" s="409">
        <v>1.0</v>
      </c>
      <c r="AA11" s="24"/>
      <c r="AB11" s="24"/>
      <c r="AC11" s="24"/>
      <c r="AD11" s="24"/>
      <c r="AE11" s="24"/>
      <c r="AF11" s="24"/>
      <c r="AG11" s="331"/>
      <c r="AH11" s="331"/>
      <c r="AI11" s="331"/>
      <c r="AJ11" s="333" t="s">
        <v>625</v>
      </c>
      <c r="AK11" s="333">
        <v>1.0</v>
      </c>
      <c r="AL11" s="333">
        <v>1.0</v>
      </c>
      <c r="AM11" s="333">
        <v>0.0</v>
      </c>
      <c r="AN11" s="333">
        <v>2.0</v>
      </c>
      <c r="AO11" s="333">
        <v>0.0</v>
      </c>
      <c r="AP11" s="333">
        <v>2.0</v>
      </c>
      <c r="AQ11" s="333">
        <v>2.0</v>
      </c>
      <c r="AR11" s="333">
        <v>1.0</v>
      </c>
      <c r="AS11" s="333">
        <v>0.45</v>
      </c>
      <c r="AT11" s="333">
        <v>0.0</v>
      </c>
      <c r="AU11" s="333">
        <v>0.0</v>
      </c>
      <c r="AV11" s="333">
        <v>0.0</v>
      </c>
      <c r="AW11" s="333">
        <v>0.0</v>
      </c>
      <c r="AX11" s="333">
        <v>0.0</v>
      </c>
      <c r="AY11" s="333">
        <v>0.0</v>
      </c>
      <c r="AZ11" s="333">
        <v>0.0</v>
      </c>
      <c r="BA11" s="24"/>
      <c r="BB11" s="24"/>
      <c r="BC11" s="24"/>
      <c r="BD11" s="24"/>
      <c r="BE11" s="331"/>
      <c r="BF11" s="331"/>
      <c r="BG11" s="331"/>
      <c r="BH11" s="331"/>
      <c r="BI11" s="331"/>
      <c r="BJ11" s="331"/>
      <c r="BK11" s="306"/>
    </row>
    <row r="12" ht="15.0" customHeight="1">
      <c r="A12" s="306"/>
      <c r="B12" s="306"/>
      <c r="C12" s="306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 s="369"/>
      <c r="R12" s="369"/>
      <c r="S12" s="369"/>
      <c r="T12" s="369"/>
      <c r="U12" s="306"/>
      <c r="V12" s="306"/>
      <c r="W12" s="306"/>
      <c r="X12" s="409"/>
      <c r="Y12" s="409" t="s">
        <v>44</v>
      </c>
      <c r="Z12" s="409">
        <v>1.0</v>
      </c>
      <c r="AA12" s="24"/>
      <c r="AB12" s="24"/>
      <c r="AC12" s="24"/>
      <c r="AD12" s="24"/>
      <c r="AE12" s="24"/>
      <c r="AF12" s="24"/>
      <c r="AG12" s="331"/>
      <c r="AH12" s="331"/>
      <c r="AI12" s="331"/>
      <c r="AJ12" s="333"/>
      <c r="AK12" s="333"/>
      <c r="AL12" s="333"/>
      <c r="AM12" s="333"/>
      <c r="AN12" s="333"/>
      <c r="AO12" s="333"/>
      <c r="AP12" s="333"/>
      <c r="AQ12" s="333"/>
      <c r="AR12" s="333"/>
      <c r="AS12" s="333"/>
      <c r="AT12" s="333"/>
      <c r="AU12" s="333"/>
      <c r="AV12" s="333"/>
      <c r="AW12" s="333"/>
      <c r="AX12" s="333"/>
      <c r="AY12" s="333"/>
      <c r="AZ12" s="333"/>
      <c r="BA12" s="24"/>
      <c r="BB12" s="24"/>
      <c r="BC12" s="24"/>
      <c r="BD12" s="24"/>
      <c r="BE12" s="331"/>
      <c r="BF12" s="331"/>
      <c r="BG12" s="331"/>
      <c r="BH12" s="331"/>
      <c r="BI12" s="331"/>
      <c r="BJ12" s="331"/>
      <c r="BK12" s="306"/>
    </row>
    <row r="13" ht="15.0" customHeight="1">
      <c r="A13" s="306"/>
      <c r="B13" s="398"/>
      <c r="C13" s="306"/>
      <c r="D13" s="347" t="s">
        <v>628</v>
      </c>
      <c r="E13" s="348">
        <v>8.0</v>
      </c>
      <c r="F13" s="348">
        <v>12.0</v>
      </c>
      <c r="G13" s="348">
        <v>3.0</v>
      </c>
      <c r="H13" s="348"/>
      <c r="I13" s="348"/>
      <c r="J13" s="348"/>
      <c r="K13" s="348"/>
      <c r="L13" s="348"/>
      <c r="M13" s="348"/>
      <c r="N13" s="348">
        <v>2.0</v>
      </c>
      <c r="O13" s="348"/>
      <c r="P13" s="355"/>
      <c r="Q13" s="355"/>
      <c r="R13" s="355"/>
      <c r="S13" s="355"/>
      <c r="T13" s="357">
        <f>SUM(I13:S13)</f>
        <v>2</v>
      </c>
      <c r="U13" s="306"/>
      <c r="V13" s="306"/>
      <c r="W13" s="306"/>
      <c r="X13" s="409"/>
      <c r="Y13" s="409" t="s">
        <v>44</v>
      </c>
      <c r="Z13" s="409">
        <v>1.0</v>
      </c>
      <c r="AA13" s="24"/>
      <c r="AB13" s="24"/>
      <c r="AC13" s="24"/>
      <c r="AD13" s="24"/>
      <c r="AE13" s="24"/>
      <c r="AF13" s="24"/>
      <c r="AG13" s="331"/>
      <c r="AH13" s="331"/>
      <c r="AI13" s="331"/>
      <c r="AJ13" s="333" t="s">
        <v>630</v>
      </c>
      <c r="AK13" s="333">
        <v>2.0</v>
      </c>
      <c r="AL13" s="333">
        <v>0.0</v>
      </c>
      <c r="AM13" s="333">
        <v>0.0</v>
      </c>
      <c r="AN13" s="333">
        <v>2.0</v>
      </c>
      <c r="AO13" s="333">
        <v>0.0</v>
      </c>
      <c r="AP13" s="333">
        <v>2.0</v>
      </c>
      <c r="AQ13" s="333">
        <v>2.0</v>
      </c>
      <c r="AR13" s="333">
        <v>0.0</v>
      </c>
      <c r="AS13" s="333">
        <v>0.0</v>
      </c>
      <c r="AT13" s="333">
        <v>0.0</v>
      </c>
      <c r="AU13" s="333">
        <v>0.0</v>
      </c>
      <c r="AV13" s="333">
        <v>0.0</v>
      </c>
      <c r="AW13" s="333">
        <v>0.0</v>
      </c>
      <c r="AX13" s="333">
        <v>0.0</v>
      </c>
      <c r="AY13" s="333">
        <v>0.0</v>
      </c>
      <c r="AZ13" s="333">
        <v>0.0</v>
      </c>
      <c r="BA13" s="24"/>
      <c r="BB13" s="24"/>
      <c r="BC13" s="24"/>
      <c r="BD13" s="24"/>
      <c r="BE13" s="331"/>
      <c r="BF13" s="331"/>
      <c r="BG13" s="331"/>
      <c r="BH13" s="331"/>
      <c r="BI13" s="331"/>
      <c r="BJ13" s="331"/>
      <c r="BK13" s="306"/>
    </row>
    <row r="14" ht="15.0" customHeight="1">
      <c r="A14" s="306"/>
      <c r="B14" s="398"/>
      <c r="C14" s="306"/>
      <c r="D14" s="369"/>
      <c r="E14" s="369"/>
      <c r="F14" s="369"/>
      <c r="G14" s="369"/>
      <c r="H14" s="369"/>
      <c r="I14" s="369"/>
      <c r="J14" s="369"/>
      <c r="K14" s="369"/>
      <c r="L14" s="369"/>
      <c r="M14" s="369"/>
      <c r="N14" s="369"/>
      <c r="O14" s="369"/>
      <c r="P14" s="369"/>
      <c r="Q14" s="369"/>
      <c r="R14" s="369"/>
      <c r="S14" s="369"/>
      <c r="T14" s="369"/>
      <c r="U14" s="306"/>
      <c r="V14" s="306"/>
      <c r="W14" s="306"/>
      <c r="X14" s="409"/>
      <c r="Y14" s="409" t="s">
        <v>44</v>
      </c>
      <c r="Z14" s="409">
        <v>1.0</v>
      </c>
      <c r="AA14" s="24"/>
      <c r="AB14" s="24"/>
      <c r="AC14" s="24"/>
      <c r="AD14" s="24"/>
      <c r="AE14" s="24"/>
      <c r="AF14" s="24"/>
      <c r="AG14" s="331"/>
      <c r="AH14" s="331"/>
      <c r="AI14" s="331"/>
      <c r="AJ14" s="333"/>
      <c r="AK14" s="333"/>
      <c r="AL14" s="333"/>
      <c r="AM14" s="333"/>
      <c r="AN14" s="333"/>
      <c r="AO14" s="333"/>
      <c r="AP14" s="333"/>
      <c r="AQ14" s="333"/>
      <c r="AR14" s="333"/>
      <c r="AS14" s="333"/>
      <c r="AT14" s="333"/>
      <c r="AU14" s="333"/>
      <c r="AV14" s="333"/>
      <c r="AW14" s="333"/>
      <c r="AX14" s="333"/>
      <c r="AY14" s="333"/>
      <c r="AZ14" s="333"/>
      <c r="BA14" s="24"/>
      <c r="BB14" s="24"/>
      <c r="BC14" s="24"/>
      <c r="BD14" s="24"/>
      <c r="BE14" s="331"/>
      <c r="BF14" s="331"/>
      <c r="BG14" s="331"/>
      <c r="BH14" s="331"/>
      <c r="BI14" s="331"/>
      <c r="BJ14" s="331"/>
      <c r="BK14" s="306"/>
    </row>
    <row r="15" ht="15.0" customHeight="1">
      <c r="A15" s="306"/>
      <c r="B15" s="398"/>
      <c r="C15" s="306"/>
      <c r="D15" s="347" t="s">
        <v>644</v>
      </c>
      <c r="E15" s="348">
        <v>8.0</v>
      </c>
      <c r="F15" s="348">
        <v>4.0</v>
      </c>
      <c r="G15" s="348">
        <v>3.0</v>
      </c>
      <c r="H15" s="456">
        <v>1.0</v>
      </c>
      <c r="I15" s="348">
        <v>1.0</v>
      </c>
      <c r="J15" s="348">
        <v>1.0</v>
      </c>
      <c r="K15" s="348"/>
      <c r="L15" s="348">
        <v>1.0</v>
      </c>
      <c r="M15" s="348"/>
      <c r="N15" s="348">
        <v>1.0</v>
      </c>
      <c r="O15" s="348"/>
      <c r="P15" s="355"/>
      <c r="Q15" s="355"/>
      <c r="R15" s="355"/>
      <c r="S15" s="355"/>
      <c r="T15" s="357">
        <f>SUM(I15:S15)</f>
        <v>4</v>
      </c>
      <c r="U15" s="306"/>
      <c r="V15" s="306"/>
      <c r="W15" s="306"/>
      <c r="X15" s="409"/>
      <c r="Y15" s="409" t="s">
        <v>44</v>
      </c>
      <c r="Z15" s="409">
        <v>1.0</v>
      </c>
      <c r="AA15" s="24"/>
      <c r="AB15" s="24"/>
      <c r="AC15" s="24"/>
      <c r="AD15" s="24"/>
      <c r="AE15" s="24"/>
      <c r="AF15" s="24"/>
      <c r="AG15" s="331"/>
      <c r="AH15" s="331"/>
      <c r="AI15" s="331"/>
      <c r="AJ15" s="333" t="s">
        <v>653</v>
      </c>
      <c r="AK15" s="333">
        <v>2.0</v>
      </c>
      <c r="AL15" s="333">
        <v>0.0</v>
      </c>
      <c r="AM15" s="333">
        <v>0.0</v>
      </c>
      <c r="AN15" s="333">
        <v>2.0</v>
      </c>
      <c r="AO15" s="333">
        <v>0.0</v>
      </c>
      <c r="AP15" s="333">
        <v>2.0</v>
      </c>
      <c r="AQ15" s="333">
        <v>2.0</v>
      </c>
      <c r="AR15" s="333">
        <v>0.0</v>
      </c>
      <c r="AS15" s="333">
        <v>0.0</v>
      </c>
      <c r="AT15" s="333">
        <v>0.0</v>
      </c>
      <c r="AU15" s="333">
        <v>0.0</v>
      </c>
      <c r="AV15" s="333">
        <v>0.0</v>
      </c>
      <c r="AW15" s="333">
        <v>0.0</v>
      </c>
      <c r="AX15" s="333">
        <v>0.0</v>
      </c>
      <c r="AY15" s="333">
        <v>0.0</v>
      </c>
      <c r="AZ15" s="333">
        <v>0.0</v>
      </c>
      <c r="BA15" s="24"/>
      <c r="BB15" s="24"/>
      <c r="BC15" s="24"/>
      <c r="BD15" s="24"/>
      <c r="BE15" s="331"/>
      <c r="BF15" s="331"/>
      <c r="BG15" s="331"/>
      <c r="BH15" s="331"/>
      <c r="BI15" s="331"/>
      <c r="BJ15" s="331"/>
      <c r="BK15" s="306"/>
    </row>
    <row r="16" ht="15.0" customHeight="1">
      <c r="A16" s="306"/>
      <c r="B16" s="398"/>
      <c r="C16" s="306"/>
      <c r="D16" s="369"/>
      <c r="E16" s="369"/>
      <c r="F16" s="369"/>
      <c r="G16" s="369"/>
      <c r="H16" s="369"/>
      <c r="I16" s="369"/>
      <c r="J16" s="369"/>
      <c r="K16" s="369"/>
      <c r="L16" s="369"/>
      <c r="M16" s="369"/>
      <c r="N16" s="369"/>
      <c r="O16" s="369"/>
      <c r="P16" s="369"/>
      <c r="Q16" s="369"/>
      <c r="R16" s="369"/>
      <c r="S16" s="369"/>
      <c r="T16" s="369"/>
      <c r="U16" s="306"/>
      <c r="V16" s="306"/>
      <c r="W16" s="306"/>
      <c r="X16" s="409"/>
      <c r="Y16" s="409" t="s">
        <v>45</v>
      </c>
      <c r="Z16" s="409">
        <v>1.0</v>
      </c>
      <c r="AA16" s="24"/>
      <c r="AB16" s="24"/>
      <c r="AC16" s="24"/>
      <c r="AD16" s="24"/>
      <c r="AE16" s="24"/>
      <c r="AF16" s="24"/>
      <c r="AG16" s="331"/>
      <c r="AH16" s="331"/>
      <c r="AI16" s="331"/>
      <c r="AJ16" s="333"/>
      <c r="AK16" s="333"/>
      <c r="AL16" s="333"/>
      <c r="AM16" s="333"/>
      <c r="AN16" s="333"/>
      <c r="AO16" s="333"/>
      <c r="AP16" s="333"/>
      <c r="AQ16" s="333"/>
      <c r="AR16" s="333"/>
      <c r="AS16" s="333"/>
      <c r="AT16" s="333"/>
      <c r="AU16" s="333"/>
      <c r="AV16" s="333"/>
      <c r="AW16" s="333"/>
      <c r="AX16" s="333"/>
      <c r="AY16" s="333"/>
      <c r="AZ16" s="333"/>
      <c r="BA16" s="24"/>
      <c r="BB16" s="24"/>
      <c r="BC16" s="24"/>
      <c r="BD16" s="24"/>
      <c r="BE16" s="331"/>
      <c r="BF16" s="331"/>
      <c r="BG16" s="331"/>
      <c r="BH16" s="331"/>
      <c r="BI16" s="331"/>
      <c r="BJ16" s="331"/>
      <c r="BK16" s="306"/>
    </row>
    <row r="17" ht="15.0" customHeight="1">
      <c r="A17" s="306"/>
      <c r="B17" s="398"/>
      <c r="C17" s="306"/>
      <c r="D17" s="347" t="s">
        <v>671</v>
      </c>
      <c r="E17" s="348">
        <v>8.0</v>
      </c>
      <c r="F17" s="348">
        <v>8.5</v>
      </c>
      <c r="G17" s="348">
        <v>3.0</v>
      </c>
      <c r="H17" s="348"/>
      <c r="I17" s="348"/>
      <c r="J17" s="348"/>
      <c r="K17" s="348"/>
      <c r="L17" s="348"/>
      <c r="M17" s="348">
        <v>1.0</v>
      </c>
      <c r="N17" s="348">
        <v>1.0</v>
      </c>
      <c r="O17" s="348"/>
      <c r="P17" s="355"/>
      <c r="Q17" s="355"/>
      <c r="R17" s="355"/>
      <c r="S17" s="355"/>
      <c r="T17" s="357">
        <f>SUM(I17:S17)</f>
        <v>2</v>
      </c>
      <c r="U17" s="306"/>
      <c r="V17" s="306"/>
      <c r="W17" s="306"/>
      <c r="X17" s="409"/>
      <c r="Y17" s="409" t="s">
        <v>45</v>
      </c>
      <c r="Z17" s="409">
        <v>1.0</v>
      </c>
      <c r="AA17" s="24"/>
      <c r="AB17" s="24"/>
      <c r="AC17" s="24"/>
      <c r="AD17" s="24"/>
      <c r="AE17" s="24"/>
      <c r="AF17" s="24"/>
      <c r="AG17" s="331"/>
      <c r="AH17" s="331"/>
      <c r="AI17" s="331"/>
      <c r="AJ17" s="333" t="s">
        <v>644</v>
      </c>
      <c r="AK17" s="333">
        <v>2.0</v>
      </c>
      <c r="AL17" s="333">
        <v>2.0</v>
      </c>
      <c r="AM17" s="333">
        <v>0.0</v>
      </c>
      <c r="AN17" s="333">
        <v>2.0</v>
      </c>
      <c r="AO17" s="333">
        <v>1.0</v>
      </c>
      <c r="AP17" s="333">
        <v>4.0</v>
      </c>
      <c r="AQ17" s="333">
        <v>3.0</v>
      </c>
      <c r="AR17" s="333">
        <v>2.0</v>
      </c>
      <c r="AS17" s="333">
        <v>2.4</v>
      </c>
      <c r="AT17" s="333">
        <v>0.0</v>
      </c>
      <c r="AU17" s="333">
        <v>0.0</v>
      </c>
      <c r="AV17" s="333">
        <v>0.0</v>
      </c>
      <c r="AW17" s="333">
        <v>0.0</v>
      </c>
      <c r="AX17" s="333">
        <v>0.0</v>
      </c>
      <c r="AY17" s="333">
        <v>0.0</v>
      </c>
      <c r="AZ17" s="333">
        <v>0.0</v>
      </c>
      <c r="BA17" s="24"/>
      <c r="BB17" s="24"/>
      <c r="BC17" s="24"/>
      <c r="BD17" s="24"/>
      <c r="BE17" s="331"/>
      <c r="BF17" s="331"/>
      <c r="BG17" s="331"/>
      <c r="BH17" s="331"/>
      <c r="BI17" s="331"/>
      <c r="BJ17" s="331"/>
      <c r="BK17" s="306"/>
    </row>
    <row r="18" ht="15.0" customHeight="1">
      <c r="A18" s="306"/>
      <c r="B18" s="306"/>
      <c r="C18" s="306"/>
      <c r="D18" s="465"/>
      <c r="E18" s="465"/>
      <c r="F18" s="465"/>
      <c r="G18" s="465"/>
      <c r="H18" s="465"/>
      <c r="I18" s="465"/>
      <c r="J18" s="465"/>
      <c r="K18" s="465"/>
      <c r="L18" s="465"/>
      <c r="M18" s="465"/>
      <c r="N18" s="465"/>
      <c r="O18" s="465"/>
      <c r="P18" s="465"/>
      <c r="Q18" s="465"/>
      <c r="R18" s="465"/>
      <c r="S18" s="465"/>
      <c r="T18" s="465"/>
      <c r="U18" s="306"/>
      <c r="V18" s="306"/>
      <c r="W18" s="306"/>
      <c r="X18" s="409"/>
      <c r="Y18" s="409" t="s">
        <v>45</v>
      </c>
      <c r="Z18" s="409">
        <v>1.0</v>
      </c>
      <c r="AA18" s="24"/>
      <c r="AB18" s="24"/>
      <c r="AC18" s="24"/>
      <c r="AD18" s="24"/>
      <c r="AE18" s="24"/>
      <c r="AF18" s="24"/>
      <c r="AG18" s="331"/>
      <c r="AH18" s="331"/>
      <c r="AI18" s="331"/>
      <c r="AJ18" s="333"/>
      <c r="AK18" s="333"/>
      <c r="AL18" s="333"/>
      <c r="AM18" s="333"/>
      <c r="AN18" s="333"/>
      <c r="AO18" s="333"/>
      <c r="AP18" s="333"/>
      <c r="AQ18" s="333"/>
      <c r="AR18" s="333"/>
      <c r="AS18" s="333"/>
      <c r="AT18" s="333"/>
      <c r="AU18" s="333"/>
      <c r="AV18" s="333"/>
      <c r="AW18" s="333"/>
      <c r="AX18" s="333"/>
      <c r="AY18" s="333"/>
      <c r="AZ18" s="333"/>
      <c r="BA18" s="24"/>
      <c r="BB18" s="24"/>
      <c r="BC18" s="24"/>
      <c r="BD18" s="24"/>
      <c r="BE18" s="331"/>
      <c r="BF18" s="331"/>
      <c r="BG18" s="331"/>
      <c r="BH18" s="331"/>
      <c r="BI18" s="331"/>
      <c r="BJ18" s="331"/>
      <c r="BK18" s="306"/>
    </row>
    <row r="19" ht="15.0" customHeight="1">
      <c r="A19" s="306"/>
      <c r="B19" s="475"/>
      <c r="C19" s="306"/>
      <c r="D19" s="347" t="s">
        <v>685</v>
      </c>
      <c r="E19" s="348">
        <v>3.0</v>
      </c>
      <c r="F19" s="348">
        <v>4.0</v>
      </c>
      <c r="G19" s="348">
        <v>3.0</v>
      </c>
      <c r="H19" s="348"/>
      <c r="I19" s="348"/>
      <c r="J19" s="348"/>
      <c r="K19" s="348"/>
      <c r="L19" s="348"/>
      <c r="M19" s="348">
        <v>1.0</v>
      </c>
      <c r="N19" s="348">
        <v>3.0</v>
      </c>
      <c r="O19" s="348"/>
      <c r="P19" s="355"/>
      <c r="Q19" s="355"/>
      <c r="R19" s="355"/>
      <c r="S19" s="355"/>
      <c r="T19" s="357">
        <f>SUM(I19:S19)</f>
        <v>4</v>
      </c>
      <c r="U19" s="306"/>
      <c r="V19" s="306"/>
      <c r="W19" s="306"/>
      <c r="X19" s="409"/>
      <c r="Y19" s="409" t="s">
        <v>45</v>
      </c>
      <c r="Z19" s="409">
        <v>1.0</v>
      </c>
      <c r="AA19" s="24"/>
      <c r="AB19" s="24"/>
      <c r="AC19" s="24"/>
      <c r="AD19" s="24"/>
      <c r="AE19" s="24"/>
      <c r="AF19" s="24"/>
      <c r="AG19" s="331"/>
      <c r="AH19" s="331"/>
      <c r="AI19" s="331"/>
      <c r="AJ19" s="333" t="s">
        <v>671</v>
      </c>
      <c r="AK19" s="333">
        <v>2.0</v>
      </c>
      <c r="AL19" s="333">
        <v>0.0</v>
      </c>
      <c r="AM19" s="333">
        <v>0.0</v>
      </c>
      <c r="AN19" s="333">
        <v>2.0</v>
      </c>
      <c r="AO19" s="333">
        <v>0.0</v>
      </c>
      <c r="AP19" s="333">
        <v>2.0</v>
      </c>
      <c r="AQ19" s="333">
        <v>2.0</v>
      </c>
      <c r="AR19" s="333">
        <v>0.0</v>
      </c>
      <c r="AS19" s="333">
        <v>0.0</v>
      </c>
      <c r="AT19" s="333">
        <v>0.0</v>
      </c>
      <c r="AU19" s="333">
        <v>0.0</v>
      </c>
      <c r="AV19" s="333">
        <v>0.0</v>
      </c>
      <c r="AW19" s="333">
        <v>0.0</v>
      </c>
      <c r="AX19" s="333">
        <v>0.0</v>
      </c>
      <c r="AY19" s="333">
        <v>1.0</v>
      </c>
      <c r="AZ19" s="333">
        <v>0.0</v>
      </c>
      <c r="BA19" s="24"/>
      <c r="BB19" s="24"/>
      <c r="BC19" s="24"/>
      <c r="BD19" s="24"/>
      <c r="BE19" s="331"/>
      <c r="BF19" s="331"/>
      <c r="BG19" s="331"/>
      <c r="BH19" s="331"/>
      <c r="BI19" s="331"/>
      <c r="BJ19" s="331"/>
      <c r="BK19" s="306"/>
    </row>
    <row r="20" ht="15.0" customHeight="1">
      <c r="A20" s="306"/>
      <c r="C20" s="306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 s="369"/>
      <c r="R20" s="369"/>
      <c r="S20" s="369"/>
      <c r="T20" s="369"/>
      <c r="U20" s="306"/>
      <c r="V20" s="306"/>
      <c r="W20" s="306"/>
      <c r="X20" s="409"/>
      <c r="Y20" s="409" t="s">
        <v>45</v>
      </c>
      <c r="Z20" s="409">
        <v>1.0</v>
      </c>
      <c r="AA20" s="24"/>
      <c r="AB20" s="24"/>
      <c r="AC20" s="24"/>
      <c r="AD20" s="24"/>
      <c r="AE20" s="24"/>
      <c r="AF20" s="24"/>
      <c r="AG20" s="331"/>
      <c r="AH20" s="331"/>
      <c r="AI20" s="331"/>
      <c r="AJ20" s="333"/>
      <c r="AK20" s="333"/>
      <c r="AL20" s="333"/>
      <c r="AM20" s="333"/>
      <c r="AN20" s="333"/>
      <c r="AO20" s="333"/>
      <c r="AP20" s="333"/>
      <c r="AQ20" s="333"/>
      <c r="AR20" s="333"/>
      <c r="AS20" s="333"/>
      <c r="AT20" s="333"/>
      <c r="AU20" s="333"/>
      <c r="AV20" s="333"/>
      <c r="AW20" s="333"/>
      <c r="AX20" s="333"/>
      <c r="AY20" s="333"/>
      <c r="AZ20" s="333"/>
      <c r="BA20" s="24"/>
      <c r="BB20" s="24"/>
      <c r="BC20" s="24"/>
      <c r="BD20" s="24"/>
      <c r="BE20" s="331"/>
      <c r="BF20" s="331"/>
      <c r="BG20" s="331"/>
      <c r="BH20" s="331"/>
      <c r="BI20" s="331"/>
      <c r="BJ20" s="331"/>
      <c r="BK20" s="306"/>
    </row>
    <row r="21" ht="15.75" customHeight="1">
      <c r="A21" s="306"/>
      <c r="B21" s="306"/>
      <c r="C21" s="306"/>
      <c r="D21" s="347" t="s">
        <v>704</v>
      </c>
      <c r="E21" s="348">
        <v>3.05</v>
      </c>
      <c r="F21" s="348">
        <v>3.85</v>
      </c>
      <c r="G21" s="350">
        <v>3.0</v>
      </c>
      <c r="H21" s="348">
        <v>2.0</v>
      </c>
      <c r="I21" s="348">
        <v>2.0</v>
      </c>
      <c r="J21" s="348">
        <v>2.0</v>
      </c>
      <c r="K21" s="348"/>
      <c r="L21" s="348"/>
      <c r="M21" s="348"/>
      <c r="N21" s="348"/>
      <c r="O21" s="348"/>
      <c r="P21" s="355"/>
      <c r="Q21" s="355"/>
      <c r="R21" s="355"/>
      <c r="S21" s="355"/>
      <c r="T21" s="357">
        <f>SUM(I21:S21)</f>
        <v>4</v>
      </c>
      <c r="U21" s="306"/>
      <c r="V21" s="306"/>
      <c r="W21" s="306"/>
      <c r="X21" s="409"/>
      <c r="Y21" s="409" t="s">
        <v>45</v>
      </c>
      <c r="Z21" s="409">
        <v>1.0</v>
      </c>
      <c r="AA21" s="24"/>
      <c r="AB21" s="24"/>
      <c r="AC21" s="24"/>
      <c r="AD21" s="24"/>
      <c r="AE21" s="24"/>
      <c r="AF21" s="24"/>
      <c r="AG21" s="331"/>
      <c r="AH21" s="331"/>
      <c r="AI21" s="331"/>
      <c r="AJ21" s="333" t="s">
        <v>707</v>
      </c>
      <c r="AK21" s="333">
        <v>5.0</v>
      </c>
      <c r="AL21" s="333">
        <v>0.0</v>
      </c>
      <c r="AM21" s="333">
        <v>0.0</v>
      </c>
      <c r="AN21" s="333">
        <v>5.0</v>
      </c>
      <c r="AO21" s="333">
        <v>0.0</v>
      </c>
      <c r="AP21" s="333">
        <v>5.0</v>
      </c>
      <c r="AQ21" s="333">
        <v>5.0</v>
      </c>
      <c r="AR21" s="333">
        <v>0.0</v>
      </c>
      <c r="AS21" s="333">
        <v>0.0</v>
      </c>
      <c r="AT21" s="333">
        <v>0.0</v>
      </c>
      <c r="AU21" s="333">
        <v>0.0</v>
      </c>
      <c r="AV21" s="333">
        <v>0.0</v>
      </c>
      <c r="AW21" s="333">
        <v>0.0</v>
      </c>
      <c r="AX21" s="333">
        <v>0.0</v>
      </c>
      <c r="AY21" s="333">
        <v>0.0</v>
      </c>
      <c r="AZ21" s="333">
        <v>0.0</v>
      </c>
      <c r="BA21" s="24"/>
      <c r="BB21" s="24"/>
      <c r="BC21" s="24"/>
      <c r="BD21" s="24"/>
      <c r="BE21" s="331"/>
      <c r="BF21" s="331"/>
      <c r="BG21" s="331"/>
      <c r="BH21" s="331"/>
      <c r="BI21" s="331"/>
      <c r="BJ21" s="331"/>
      <c r="BK21" s="306"/>
    </row>
    <row r="22" ht="15.75" customHeight="1">
      <c r="A22" s="306"/>
      <c r="B22" s="475"/>
      <c r="C22" s="306"/>
      <c r="D22" s="465"/>
      <c r="E22" s="465"/>
      <c r="F22" s="465"/>
      <c r="G22" s="465"/>
      <c r="H22" s="465"/>
      <c r="I22" s="465"/>
      <c r="J22" s="465"/>
      <c r="K22" s="465"/>
      <c r="L22" s="465"/>
      <c r="M22" s="465"/>
      <c r="N22" s="465"/>
      <c r="O22" s="465"/>
      <c r="P22" s="465"/>
      <c r="Q22" s="465"/>
      <c r="R22" s="465"/>
      <c r="S22" s="465"/>
      <c r="T22" s="465"/>
      <c r="U22" s="306"/>
      <c r="V22" s="306"/>
      <c r="W22" s="306"/>
      <c r="X22" s="409"/>
      <c r="Y22" s="409" t="s">
        <v>711</v>
      </c>
      <c r="Z22" s="409">
        <v>1.0</v>
      </c>
      <c r="AA22" s="24"/>
      <c r="AB22" s="24"/>
      <c r="AC22" s="24"/>
      <c r="AD22" s="24"/>
      <c r="AE22" s="24"/>
      <c r="AF22" s="24"/>
      <c r="AG22" s="331"/>
      <c r="AH22" s="331"/>
      <c r="AI22" s="331"/>
      <c r="AJ22" s="333"/>
      <c r="AK22" s="333"/>
      <c r="AL22" s="333"/>
      <c r="AM22" s="333"/>
      <c r="AN22" s="333"/>
      <c r="AO22" s="333"/>
      <c r="AP22" s="333"/>
      <c r="AQ22" s="333"/>
      <c r="AR22" s="333"/>
      <c r="AS22" s="333"/>
      <c r="AT22" s="333"/>
      <c r="AU22" s="333"/>
      <c r="AV22" s="333"/>
      <c r="AW22" s="333"/>
      <c r="AX22" s="333"/>
      <c r="AY22" s="333"/>
      <c r="AZ22" s="333"/>
      <c r="BA22" s="24"/>
      <c r="BB22" s="24"/>
      <c r="BC22" s="24"/>
      <c r="BD22" s="24"/>
      <c r="BE22" s="331"/>
      <c r="BF22" s="331"/>
      <c r="BG22" s="331"/>
      <c r="BH22" s="331"/>
      <c r="BI22" s="331"/>
      <c r="BJ22" s="331"/>
      <c r="BK22" s="306"/>
    </row>
    <row r="23" ht="15.75" customHeight="1">
      <c r="A23" s="306"/>
      <c r="C23" s="306"/>
      <c r="D23" s="347" t="s">
        <v>707</v>
      </c>
      <c r="E23" s="348">
        <v>3.0</v>
      </c>
      <c r="F23" s="348">
        <v>47.4</v>
      </c>
      <c r="G23" s="348">
        <v>3.0</v>
      </c>
      <c r="H23" s="348"/>
      <c r="I23" s="348"/>
      <c r="J23" s="348"/>
      <c r="K23" s="348"/>
      <c r="L23" s="348"/>
      <c r="M23" s="350">
        <v>3.0</v>
      </c>
      <c r="N23" s="348">
        <v>2.0</v>
      </c>
      <c r="O23" s="348"/>
      <c r="P23" s="348"/>
      <c r="Q23" s="348"/>
      <c r="R23" s="348"/>
      <c r="S23" s="355"/>
      <c r="T23" s="357">
        <f>SUM(I23:S23)</f>
        <v>5</v>
      </c>
      <c r="U23" s="306"/>
      <c r="V23" s="306"/>
      <c r="W23" s="306"/>
      <c r="X23" s="409"/>
      <c r="Y23" s="409" t="s">
        <v>48</v>
      </c>
      <c r="Z23" s="409">
        <v>1.0</v>
      </c>
      <c r="AA23" s="24"/>
      <c r="AB23" s="24"/>
      <c r="AC23" s="24"/>
      <c r="AD23" s="24"/>
      <c r="AE23" s="24"/>
      <c r="AF23" s="24"/>
      <c r="AG23" s="331"/>
      <c r="AH23" s="331"/>
      <c r="AI23" s="331"/>
      <c r="AJ23" s="333" t="s">
        <v>717</v>
      </c>
      <c r="AK23" s="333">
        <v>0.0</v>
      </c>
      <c r="AL23" s="333">
        <v>4.0</v>
      </c>
      <c r="AM23" s="333">
        <v>0.0</v>
      </c>
      <c r="AN23" s="333">
        <v>0.0</v>
      </c>
      <c r="AO23" s="333">
        <v>2.0</v>
      </c>
      <c r="AP23" s="333">
        <v>4.0</v>
      </c>
      <c r="AQ23" s="333">
        <v>1.0</v>
      </c>
      <c r="AR23" s="333">
        <v>2.0</v>
      </c>
      <c r="AS23" s="333">
        <v>4.0</v>
      </c>
      <c r="AT23" s="333">
        <v>2.0</v>
      </c>
      <c r="AU23" s="333">
        <v>2.91</v>
      </c>
      <c r="AV23" s="333">
        <v>4.0</v>
      </c>
      <c r="AW23" s="333">
        <v>0.0</v>
      </c>
      <c r="AX23" s="333">
        <v>0.0</v>
      </c>
      <c r="AY23" s="333">
        <v>0.0</v>
      </c>
      <c r="AZ23" s="333">
        <v>0.0</v>
      </c>
      <c r="BA23" s="24"/>
      <c r="BB23" s="24"/>
      <c r="BC23" s="24"/>
      <c r="BD23" s="24"/>
      <c r="BE23" s="331"/>
      <c r="BF23" s="331"/>
      <c r="BG23" s="331"/>
      <c r="BH23" s="331"/>
      <c r="BI23" s="331"/>
      <c r="BJ23" s="331"/>
      <c r="BK23" s="306"/>
    </row>
    <row r="24" ht="15.75" customHeight="1">
      <c r="A24" s="306"/>
      <c r="B24" s="306"/>
      <c r="C24" s="306"/>
      <c r="D24" s="465"/>
      <c r="E24" s="465"/>
      <c r="F24" s="465"/>
      <c r="G24" s="465"/>
      <c r="H24" s="465"/>
      <c r="I24" s="465"/>
      <c r="J24" s="465"/>
      <c r="K24" s="465"/>
      <c r="L24" s="465"/>
      <c r="M24" s="465"/>
      <c r="N24" s="465"/>
      <c r="O24" s="465"/>
      <c r="P24" s="465"/>
      <c r="Q24" s="465"/>
      <c r="R24" s="465"/>
      <c r="S24" s="465"/>
      <c r="T24" s="465"/>
      <c r="U24" s="306"/>
      <c r="V24" s="306"/>
      <c r="W24" s="306"/>
      <c r="X24" s="409"/>
      <c r="Y24" s="409" t="s">
        <v>48</v>
      </c>
      <c r="Z24" s="409">
        <v>1.0</v>
      </c>
      <c r="AA24" s="24"/>
      <c r="AB24" s="24"/>
      <c r="AC24" s="24"/>
      <c r="AD24" s="24"/>
      <c r="AE24" s="24"/>
      <c r="AF24" s="24"/>
      <c r="AG24" s="331"/>
      <c r="AH24" s="331"/>
      <c r="AI24" s="331"/>
      <c r="AJ24" s="333"/>
      <c r="AK24" s="333"/>
      <c r="AL24" s="333"/>
      <c r="AM24" s="333"/>
      <c r="AN24" s="333"/>
      <c r="AO24" s="333"/>
      <c r="AP24" s="333"/>
      <c r="AQ24" s="333"/>
      <c r="AR24" s="333"/>
      <c r="AS24" s="333"/>
      <c r="AT24" s="333"/>
      <c r="AU24" s="333"/>
      <c r="AV24" s="333"/>
      <c r="AW24" s="333"/>
      <c r="AX24" s="333"/>
      <c r="AY24" s="333"/>
      <c r="AZ24" s="333"/>
      <c r="BA24" s="24"/>
      <c r="BB24" s="24"/>
      <c r="BC24" s="24"/>
      <c r="BD24" s="24"/>
      <c r="BE24" s="331"/>
      <c r="BF24" s="331"/>
      <c r="BG24" s="331"/>
      <c r="BH24" s="331"/>
      <c r="BI24" s="331"/>
      <c r="BJ24" s="331"/>
      <c r="BK24" s="306"/>
    </row>
    <row r="25" ht="15.75" customHeight="1">
      <c r="A25" s="306"/>
      <c r="B25" s="475"/>
      <c r="C25" s="306"/>
      <c r="D25" s="347" t="s">
        <v>722</v>
      </c>
      <c r="E25" s="348">
        <v>9.475</v>
      </c>
      <c r="F25" s="348">
        <v>23.7</v>
      </c>
      <c r="G25" s="355">
        <v>7.5</v>
      </c>
      <c r="H25" s="355">
        <v>4.0</v>
      </c>
      <c r="I25" s="348">
        <v>1.0</v>
      </c>
      <c r="J25" s="348">
        <v>1.0</v>
      </c>
      <c r="K25" s="348"/>
      <c r="L25" s="348"/>
      <c r="M25" s="348">
        <v>1.0</v>
      </c>
      <c r="N25" s="348">
        <v>1.0</v>
      </c>
      <c r="O25" s="348"/>
      <c r="P25" s="348">
        <v>1.0</v>
      </c>
      <c r="Q25" s="348">
        <v>1.0</v>
      </c>
      <c r="R25" s="348"/>
      <c r="S25" s="355"/>
      <c r="T25" s="357">
        <f> SUM(I25:S25)</f>
        <v>6</v>
      </c>
      <c r="U25" s="306"/>
      <c r="V25" s="306"/>
      <c r="W25" s="306"/>
      <c r="X25" s="409"/>
      <c r="Y25" s="409" t="s">
        <v>733</v>
      </c>
      <c r="Z25" s="409">
        <v>1.0</v>
      </c>
      <c r="AA25" s="24"/>
      <c r="AB25" s="24"/>
      <c r="AC25" s="24"/>
      <c r="AD25" s="24"/>
      <c r="AE25" s="24"/>
      <c r="AF25" s="24"/>
      <c r="AG25" s="331"/>
      <c r="AH25" s="331"/>
      <c r="AI25" s="331"/>
      <c r="AJ25" s="333" t="s">
        <v>685</v>
      </c>
      <c r="AK25" s="333">
        <v>4.0</v>
      </c>
      <c r="AL25" s="333">
        <v>0.0</v>
      </c>
      <c r="AM25" s="333">
        <v>0.0</v>
      </c>
      <c r="AN25" s="333">
        <v>4.0</v>
      </c>
      <c r="AO25" s="333">
        <v>0.0</v>
      </c>
      <c r="AP25" s="333">
        <v>4.0</v>
      </c>
      <c r="AQ25" s="333">
        <v>3.0</v>
      </c>
      <c r="AR25" s="333">
        <v>1.0</v>
      </c>
      <c r="AS25" s="333">
        <v>1.4</v>
      </c>
      <c r="AT25" s="333">
        <v>0.0</v>
      </c>
      <c r="AU25" s="333">
        <v>0.0</v>
      </c>
      <c r="AV25" s="333">
        <v>0.0</v>
      </c>
      <c r="AW25" s="333">
        <v>0.0</v>
      </c>
      <c r="AX25" s="333">
        <v>0.0</v>
      </c>
      <c r="AY25" s="333">
        <v>2.0</v>
      </c>
      <c r="AZ25" s="333">
        <v>0.0</v>
      </c>
      <c r="BA25" s="24"/>
      <c r="BB25" s="24"/>
      <c r="BC25" s="24"/>
      <c r="BD25" s="24"/>
      <c r="BE25" s="331"/>
      <c r="BF25" s="331"/>
      <c r="BG25" s="331"/>
      <c r="BH25" s="331"/>
      <c r="BI25" s="331"/>
      <c r="BJ25" s="331"/>
      <c r="BK25" s="306"/>
    </row>
    <row r="26" ht="15.75" customHeight="1">
      <c r="A26" s="306"/>
      <c r="C26" s="306"/>
      <c r="D26" s="369"/>
      <c r="E26" s="369"/>
      <c r="F26" s="369"/>
      <c r="G26" s="369"/>
      <c r="H26" s="369"/>
      <c r="I26" s="369"/>
      <c r="J26" s="369"/>
      <c r="K26" s="369"/>
      <c r="L26" s="369"/>
      <c r="M26" s="369"/>
      <c r="N26" s="369"/>
      <c r="O26" s="369"/>
      <c r="P26" s="369"/>
      <c r="Q26" s="369"/>
      <c r="R26" s="369"/>
      <c r="S26" s="369"/>
      <c r="T26" s="369"/>
      <c r="U26" s="306"/>
      <c r="V26" s="306"/>
      <c r="W26" s="306"/>
      <c r="X26" s="409"/>
      <c r="Y26" s="409" t="s">
        <v>618</v>
      </c>
      <c r="Z26" s="409">
        <v>1.0</v>
      </c>
      <c r="AA26" s="31"/>
      <c r="AB26" s="31"/>
      <c r="AC26" s="31"/>
      <c r="AD26" s="31"/>
      <c r="AE26" s="31"/>
      <c r="AF26" s="31"/>
      <c r="AG26" s="331"/>
      <c r="AH26" s="331"/>
      <c r="AI26" s="331"/>
      <c r="AJ26" s="333"/>
      <c r="AK26" s="333"/>
      <c r="AL26" s="333"/>
      <c r="AM26" s="333"/>
      <c r="AN26" s="333"/>
      <c r="AO26" s="333"/>
      <c r="AP26" s="333"/>
      <c r="AQ26" s="333"/>
      <c r="AR26" s="333"/>
      <c r="AS26" s="333"/>
      <c r="AT26" s="333"/>
      <c r="AU26" s="333"/>
      <c r="AV26" s="333"/>
      <c r="AW26" s="333"/>
      <c r="AX26" s="333"/>
      <c r="AY26" s="333"/>
      <c r="AZ26" s="333"/>
      <c r="BA26" s="31"/>
      <c r="BB26" s="31"/>
      <c r="BC26" s="31"/>
      <c r="BD26" s="31"/>
      <c r="BE26" s="331"/>
      <c r="BF26" s="331"/>
      <c r="BG26" s="331"/>
      <c r="BH26" s="331"/>
      <c r="BI26" s="331"/>
      <c r="BJ26" s="331"/>
      <c r="BK26" s="306"/>
    </row>
    <row r="27" ht="15.75" customHeight="1">
      <c r="A27" s="306"/>
      <c r="C27" s="306"/>
      <c r="D27" s="347" t="s">
        <v>738</v>
      </c>
      <c r="E27" s="348">
        <v>9.475</v>
      </c>
      <c r="F27" s="348">
        <v>23.55</v>
      </c>
      <c r="G27" s="348">
        <v>7.5</v>
      </c>
      <c r="H27" s="348">
        <v>4.0</v>
      </c>
      <c r="I27" s="348">
        <v>1.0</v>
      </c>
      <c r="J27" s="348">
        <v>1.0</v>
      </c>
      <c r="K27" s="348"/>
      <c r="L27" s="348"/>
      <c r="M27" s="348">
        <v>1.0</v>
      </c>
      <c r="N27" s="348">
        <v>1.0</v>
      </c>
      <c r="O27" s="348"/>
      <c r="P27" s="348">
        <v>1.0</v>
      </c>
      <c r="Q27" s="348">
        <v>1.0</v>
      </c>
      <c r="R27" s="348"/>
      <c r="S27" s="355"/>
      <c r="T27" s="357">
        <f> SUM(I27:S27)</f>
        <v>6</v>
      </c>
      <c r="U27" s="306"/>
      <c r="V27" s="306"/>
      <c r="W27" s="306"/>
      <c r="X27" s="529" t="s">
        <v>625</v>
      </c>
      <c r="Y27" s="531" t="s">
        <v>528</v>
      </c>
      <c r="Z27" s="531">
        <v>1.0</v>
      </c>
      <c r="AA27" s="359">
        <v>2.0</v>
      </c>
      <c r="AB27" s="535">
        <v>2.0</v>
      </c>
      <c r="AC27" s="361">
        <v>2.0</v>
      </c>
      <c r="AD27" s="361">
        <v>0.0</v>
      </c>
      <c r="AE27" s="362">
        <v>0.0</v>
      </c>
      <c r="AF27" s="361">
        <v>0.0</v>
      </c>
      <c r="AG27" s="331"/>
      <c r="AH27" s="331"/>
      <c r="AI27" s="331"/>
      <c r="AJ27" s="537" t="s">
        <v>93</v>
      </c>
      <c r="AK27" s="540">
        <f t="shared" ref="AK27:BB27" si="1">SUM(AK7:AK26)</f>
        <v>26</v>
      </c>
      <c r="AL27" s="540">
        <f t="shared" si="1"/>
        <v>21</v>
      </c>
      <c r="AM27" s="540">
        <f t="shared" si="1"/>
        <v>0</v>
      </c>
      <c r="AN27" s="540">
        <f t="shared" si="1"/>
        <v>27</v>
      </c>
      <c r="AO27" s="540">
        <f t="shared" si="1"/>
        <v>10</v>
      </c>
      <c r="AP27" s="540">
        <f t="shared" si="1"/>
        <v>47</v>
      </c>
      <c r="AQ27" s="540">
        <f t="shared" si="1"/>
        <v>29</v>
      </c>
      <c r="AR27" s="540">
        <f t="shared" si="1"/>
        <v>11</v>
      </c>
      <c r="AS27" s="540">
        <f t="shared" si="1"/>
        <v>17.25</v>
      </c>
      <c r="AT27" s="540">
        <f t="shared" si="1"/>
        <v>5</v>
      </c>
      <c r="AU27" s="540">
        <f t="shared" si="1"/>
        <v>8.81</v>
      </c>
      <c r="AV27" s="540">
        <f t="shared" si="1"/>
        <v>10</v>
      </c>
      <c r="AW27" s="540">
        <f t="shared" si="1"/>
        <v>4</v>
      </c>
      <c r="AX27" s="540">
        <f t="shared" si="1"/>
        <v>2</v>
      </c>
      <c r="AY27" s="540">
        <f t="shared" si="1"/>
        <v>5</v>
      </c>
      <c r="AZ27" s="540">
        <f t="shared" si="1"/>
        <v>1</v>
      </c>
      <c r="BA27" s="540">
        <f t="shared" si="1"/>
        <v>18</v>
      </c>
      <c r="BB27" s="540">
        <f t="shared" si="1"/>
        <v>51.8</v>
      </c>
      <c r="BC27" s="537">
        <v>17.0</v>
      </c>
      <c r="BD27" s="537">
        <v>49.95</v>
      </c>
      <c r="BE27" s="331"/>
      <c r="BF27" s="331"/>
      <c r="BG27" s="331"/>
      <c r="BH27" s="331"/>
      <c r="BI27" s="331"/>
      <c r="BJ27" s="331"/>
      <c r="BK27" s="306"/>
    </row>
    <row r="28" ht="15.75" customHeight="1">
      <c r="A28" s="306"/>
      <c r="C28" s="306"/>
      <c r="D28" s="465"/>
      <c r="E28" s="465"/>
      <c r="F28" s="465"/>
      <c r="G28" s="465"/>
      <c r="H28" s="465"/>
      <c r="I28" s="465"/>
      <c r="J28" s="465"/>
      <c r="K28" s="465"/>
      <c r="L28" s="465"/>
      <c r="M28" s="465"/>
      <c r="N28" s="465"/>
      <c r="O28" s="465"/>
      <c r="P28" s="465"/>
      <c r="Q28" s="465"/>
      <c r="R28" s="465"/>
      <c r="S28" s="465"/>
      <c r="T28" s="465"/>
      <c r="U28" s="306"/>
      <c r="V28" s="306"/>
      <c r="W28" s="306"/>
      <c r="X28" s="529"/>
      <c r="Y28" s="531" t="s">
        <v>618</v>
      </c>
      <c r="Z28" s="531">
        <v>1.0</v>
      </c>
      <c r="AA28" s="31"/>
      <c r="AB28" s="31"/>
      <c r="AC28" s="31"/>
      <c r="AD28" s="31"/>
      <c r="AE28" s="31"/>
      <c r="AF28" s="31"/>
      <c r="AG28" s="331"/>
      <c r="AH28" s="331"/>
      <c r="AI28" s="331"/>
      <c r="AJ28" s="331"/>
      <c r="AK28" s="331"/>
      <c r="AL28" s="331"/>
      <c r="AM28" s="331"/>
      <c r="AN28" s="331"/>
      <c r="AO28" s="331"/>
      <c r="AP28" s="331"/>
      <c r="AQ28" s="331"/>
      <c r="AR28" s="331"/>
      <c r="AS28" s="331"/>
      <c r="AT28" s="331"/>
      <c r="AU28" s="331"/>
      <c r="AV28" s="331"/>
      <c r="AW28" s="331"/>
      <c r="AX28" s="331"/>
      <c r="AY28" s="331"/>
      <c r="AZ28" s="331"/>
      <c r="BA28" s="331"/>
      <c r="BB28" s="331"/>
      <c r="BC28" s="331"/>
      <c r="BD28" s="331"/>
      <c r="BE28" s="331"/>
      <c r="BF28" s="331"/>
      <c r="BG28" s="331"/>
      <c r="BH28" s="331"/>
      <c r="BI28" s="331"/>
      <c r="BJ28" s="331"/>
      <c r="BK28" s="306"/>
    </row>
    <row r="29" ht="15.75" customHeight="1">
      <c r="A29" s="306"/>
      <c r="B29" s="306"/>
      <c r="C29" s="306"/>
      <c r="D29" s="347" t="s">
        <v>865</v>
      </c>
      <c r="E29" s="348">
        <v>16.0</v>
      </c>
      <c r="F29" s="355">
        <v>10.95</v>
      </c>
      <c r="G29" s="355">
        <v>7.5</v>
      </c>
      <c r="H29" s="355">
        <v>3.0</v>
      </c>
      <c r="I29" s="355"/>
      <c r="J29" s="355"/>
      <c r="K29" s="355"/>
      <c r="L29" s="355">
        <v>1.0</v>
      </c>
      <c r="M29" s="355">
        <v>1.0</v>
      </c>
      <c r="N29" s="355">
        <v>1.0</v>
      </c>
      <c r="O29" s="355"/>
      <c r="P29" s="355">
        <v>1.0</v>
      </c>
      <c r="Q29" s="355">
        <v>5.0</v>
      </c>
      <c r="R29" s="355"/>
      <c r="S29" s="355">
        <v>3.0</v>
      </c>
      <c r="T29" s="357">
        <f> SUM(I29:S29)</f>
        <v>12</v>
      </c>
      <c r="U29" s="306"/>
      <c r="V29" s="306"/>
      <c r="W29" s="306"/>
      <c r="X29" s="613" t="s">
        <v>870</v>
      </c>
      <c r="Y29" s="613" t="s">
        <v>872</v>
      </c>
      <c r="Z29" s="613">
        <v>1.0</v>
      </c>
      <c r="AA29" s="359">
        <v>2.0</v>
      </c>
      <c r="AB29" s="614">
        <v>2.0</v>
      </c>
      <c r="AC29" s="361">
        <v>2.0</v>
      </c>
      <c r="AD29" s="361">
        <v>0.0</v>
      </c>
      <c r="AE29" s="362">
        <v>0.0</v>
      </c>
      <c r="AF29" s="361">
        <v>0.0</v>
      </c>
      <c r="AG29" s="331"/>
      <c r="AH29" s="331"/>
      <c r="AI29" s="331"/>
      <c r="AJ29" s="331"/>
      <c r="AK29" s="331"/>
      <c r="AL29" s="331"/>
      <c r="AM29" s="331"/>
      <c r="AN29" s="331"/>
      <c r="AO29" s="331"/>
      <c r="AP29" s="331"/>
      <c r="AQ29" s="331"/>
      <c r="AR29" s="331"/>
      <c r="AS29" s="331"/>
      <c r="AT29" s="331"/>
      <c r="AU29" s="331"/>
      <c r="AV29" s="331"/>
      <c r="AW29" s="331"/>
      <c r="AX29" s="331"/>
      <c r="AY29" s="331"/>
      <c r="AZ29" s="331"/>
      <c r="BA29" s="331"/>
      <c r="BB29" s="331"/>
      <c r="BC29" s="331"/>
      <c r="BD29" s="331"/>
      <c r="BE29" s="331"/>
      <c r="BF29" s="331"/>
      <c r="BG29" s="331"/>
      <c r="BH29" s="331"/>
      <c r="BI29" s="331"/>
      <c r="BJ29" s="331"/>
      <c r="BK29" s="306"/>
    </row>
    <row r="30" ht="15.75" customHeight="1">
      <c r="A30" s="306"/>
      <c r="B30" s="475"/>
      <c r="C30" s="306"/>
      <c r="D30" s="465"/>
      <c r="E30" s="465"/>
      <c r="F30" s="465"/>
      <c r="G30" s="465"/>
      <c r="H30" s="465"/>
      <c r="I30" s="465"/>
      <c r="J30" s="465"/>
      <c r="K30" s="465"/>
      <c r="L30" s="465"/>
      <c r="M30" s="465"/>
      <c r="N30" s="465"/>
      <c r="O30" s="465"/>
      <c r="P30" s="465"/>
      <c r="Q30" s="465"/>
      <c r="R30" s="465"/>
      <c r="S30" s="465"/>
      <c r="T30" s="465"/>
      <c r="U30" s="306"/>
      <c r="V30" s="306"/>
      <c r="W30" s="306"/>
      <c r="X30" s="613"/>
      <c r="Y30" s="613" t="s">
        <v>618</v>
      </c>
      <c r="Z30" s="613">
        <v>1.0</v>
      </c>
      <c r="AA30" s="31"/>
      <c r="AB30" s="31"/>
      <c r="AC30" s="31"/>
      <c r="AD30" s="31"/>
      <c r="AE30" s="31"/>
      <c r="AF30" s="31"/>
      <c r="AG30" s="331"/>
      <c r="AH30" s="331"/>
      <c r="AI30" s="331"/>
      <c r="AJ30" s="618"/>
      <c r="AK30" s="618" t="s">
        <v>873</v>
      </c>
      <c r="AL30" s="618" t="s">
        <v>427</v>
      </c>
      <c r="AM30" s="618" t="s">
        <v>874</v>
      </c>
      <c r="AN30" s="618" t="s">
        <v>875</v>
      </c>
      <c r="AO30" s="618" t="s">
        <v>876</v>
      </c>
      <c r="AP30" s="618" t="s">
        <v>877</v>
      </c>
      <c r="AQ30" s="618" t="s">
        <v>878</v>
      </c>
      <c r="AR30" s="619" t="s">
        <v>879</v>
      </c>
      <c r="AS30" s="13"/>
      <c r="AT30" s="331"/>
      <c r="AU30" s="331"/>
      <c r="AV30" s="331"/>
      <c r="AW30" s="331"/>
      <c r="AX30" s="331"/>
      <c r="AY30" s="331"/>
      <c r="AZ30" s="331"/>
      <c r="BA30" s="331"/>
      <c r="BB30" s="331"/>
      <c r="BC30" s="331"/>
      <c r="BD30" s="331"/>
      <c r="BE30" s="331"/>
      <c r="BF30" s="331"/>
      <c r="BG30" s="331"/>
      <c r="BH30" s="331"/>
      <c r="BI30" s="331"/>
      <c r="BJ30" s="331"/>
      <c r="BK30" s="306"/>
    </row>
    <row r="31" ht="15.75" customHeight="1">
      <c r="A31" s="306"/>
      <c r="C31" s="306"/>
      <c r="D31" s="347" t="s">
        <v>880</v>
      </c>
      <c r="E31" s="348">
        <v>9.0</v>
      </c>
      <c r="F31" s="355">
        <v>19.4</v>
      </c>
      <c r="G31" s="355">
        <v>7.5</v>
      </c>
      <c r="H31" s="355">
        <v>4.0</v>
      </c>
      <c r="I31" s="355"/>
      <c r="J31" s="355"/>
      <c r="K31" s="355"/>
      <c r="L31" s="355">
        <v>1.0</v>
      </c>
      <c r="M31" s="355">
        <v>1.0</v>
      </c>
      <c r="N31" s="355">
        <v>1.0</v>
      </c>
      <c r="O31" s="355"/>
      <c r="P31" s="355">
        <v>1.0</v>
      </c>
      <c r="Q31" s="355">
        <v>10.0</v>
      </c>
      <c r="R31" s="355"/>
      <c r="S31" s="355">
        <v>1.0</v>
      </c>
      <c r="T31" s="357">
        <f> SUM(I31:S31)</f>
        <v>15</v>
      </c>
      <c r="U31" s="306"/>
      <c r="V31" s="306"/>
      <c r="W31" s="306"/>
      <c r="X31" s="626" t="s">
        <v>644</v>
      </c>
      <c r="Y31" s="626" t="s">
        <v>44</v>
      </c>
      <c r="Z31" s="626">
        <v>1.0</v>
      </c>
      <c r="AA31" s="359">
        <v>3.0</v>
      </c>
      <c r="AB31" s="614">
        <v>4.0</v>
      </c>
      <c r="AC31" s="361">
        <v>2.0</v>
      </c>
      <c r="AD31" s="361">
        <v>1.0</v>
      </c>
      <c r="AE31" s="362">
        <v>0.0</v>
      </c>
      <c r="AF31" s="361">
        <v>0.0</v>
      </c>
      <c r="AG31" s="331"/>
      <c r="AH31" s="331"/>
      <c r="AI31" s="331"/>
      <c r="AJ31" s="333" t="s">
        <v>580</v>
      </c>
      <c r="AK31" s="176" t="s">
        <v>762</v>
      </c>
      <c r="AL31" s="333">
        <v>4.0</v>
      </c>
      <c r="AM31" s="333">
        <f>SUM(AM32:AM33)</f>
        <v>4.595</v>
      </c>
      <c r="AN31" s="333"/>
      <c r="AO31" s="333"/>
      <c r="AP31" s="333"/>
      <c r="AQ31" s="333"/>
      <c r="AR31" s="663">
        <f t="shared" ref="AR31:AR74" si="2">SUM(AM31:AQ31)</f>
        <v>4.595</v>
      </c>
      <c r="AS31" s="13"/>
      <c r="AT31" s="331"/>
      <c r="AU31" s="331"/>
      <c r="AV31" s="331"/>
      <c r="AW31" s="331"/>
      <c r="AX31" s="331"/>
      <c r="AY31" s="331"/>
      <c r="AZ31" s="331"/>
      <c r="BA31" s="331"/>
      <c r="BB31" s="331"/>
      <c r="BC31" s="331"/>
      <c r="BD31" s="331"/>
      <c r="BE31" s="331"/>
      <c r="BF31" s="331"/>
      <c r="BG31" s="331"/>
      <c r="BH31" s="331"/>
      <c r="BI31" s="331"/>
      <c r="BJ31" s="331"/>
      <c r="BK31" s="306"/>
    </row>
    <row r="32" ht="15.75" customHeight="1">
      <c r="A32" s="306"/>
      <c r="C32" s="306"/>
      <c r="D32" s="465"/>
      <c r="E32" s="465"/>
      <c r="F32" s="465"/>
      <c r="G32" s="465"/>
      <c r="H32" s="465"/>
      <c r="I32" s="465"/>
      <c r="J32" s="465"/>
      <c r="K32" s="465"/>
      <c r="L32" s="465"/>
      <c r="M32" s="465"/>
      <c r="N32" s="465"/>
      <c r="O32" s="465"/>
      <c r="P32" s="465"/>
      <c r="Q32" s="465"/>
      <c r="R32" s="465"/>
      <c r="S32" s="465"/>
      <c r="T32" s="465"/>
      <c r="U32" s="306"/>
      <c r="V32" s="306"/>
      <c r="W32" s="306"/>
      <c r="X32" s="626"/>
      <c r="Y32" s="626" t="s">
        <v>45</v>
      </c>
      <c r="Z32" s="626">
        <v>1.0</v>
      </c>
      <c r="AA32" s="24"/>
      <c r="AB32" s="24"/>
      <c r="AC32" s="24"/>
      <c r="AD32" s="24"/>
      <c r="AE32" s="24"/>
      <c r="AF32" s="24"/>
      <c r="AG32" s="331"/>
      <c r="AH32" s="331"/>
      <c r="AI32" s="331"/>
      <c r="AJ32" s="333"/>
      <c r="AK32" s="333">
        <v>1.0</v>
      </c>
      <c r="AL32" s="333">
        <v>2.0</v>
      </c>
      <c r="AM32" s="333">
        <v>0.275</v>
      </c>
      <c r="AN32" s="333" t="s">
        <v>950</v>
      </c>
      <c r="AO32" s="333">
        <v>30.67</v>
      </c>
      <c r="AP32" s="333">
        <v>7.0</v>
      </c>
      <c r="AQ32" s="333">
        <f t="shared" ref="AQ32:AQ33" si="3">SUM(AP32,AM32,AO32)</f>
        <v>37.945</v>
      </c>
      <c r="AR32" s="663">
        <f t="shared" si="2"/>
        <v>75.89</v>
      </c>
      <c r="AS32" s="13"/>
      <c r="AT32" s="331"/>
      <c r="AU32" s="331"/>
      <c r="AV32" s="331"/>
      <c r="AW32" s="331"/>
      <c r="AX32" s="331"/>
      <c r="AY32" s="331"/>
      <c r="AZ32" s="331"/>
      <c r="BA32" s="331"/>
      <c r="BB32" s="331"/>
      <c r="BC32" s="331"/>
      <c r="BD32" s="331"/>
      <c r="BE32" s="331"/>
      <c r="BF32" s="331"/>
      <c r="BG32" s="331"/>
      <c r="BH32" s="331"/>
      <c r="BI32" s="331"/>
      <c r="BJ32" s="331"/>
      <c r="BK32" s="306"/>
    </row>
    <row r="33" ht="15.75" customHeight="1">
      <c r="A33" s="306"/>
      <c r="B33" s="306"/>
      <c r="C33" s="306"/>
      <c r="D33" s="673" t="s">
        <v>977</v>
      </c>
      <c r="E33" s="355">
        <v>9.325</v>
      </c>
      <c r="F33" s="355">
        <v>24.0</v>
      </c>
      <c r="G33" s="355">
        <v>7.5</v>
      </c>
      <c r="H33" s="355">
        <v>4.0</v>
      </c>
      <c r="I33" s="355"/>
      <c r="J33" s="355"/>
      <c r="K33" s="355"/>
      <c r="L33" s="355"/>
      <c r="M33" s="355">
        <v>1.0</v>
      </c>
      <c r="N33" s="355">
        <v>1.0</v>
      </c>
      <c r="O33" s="355"/>
      <c r="P33" s="355">
        <v>1.0</v>
      </c>
      <c r="Q33" s="355">
        <v>11.0</v>
      </c>
      <c r="R33" s="355">
        <v>2.0</v>
      </c>
      <c r="S33" s="355">
        <v>2.0</v>
      </c>
      <c r="T33" s="357">
        <f> SUM(I33:S33)</f>
        <v>18</v>
      </c>
      <c r="U33" s="306"/>
      <c r="V33" s="306"/>
      <c r="W33" s="306"/>
      <c r="X33" s="626"/>
      <c r="Y33" s="626" t="s">
        <v>733</v>
      </c>
      <c r="Z33" s="626">
        <v>1.0</v>
      </c>
      <c r="AA33" s="24"/>
      <c r="AB33" s="24"/>
      <c r="AC33" s="24"/>
      <c r="AD33" s="24"/>
      <c r="AE33" s="24"/>
      <c r="AF33" s="24"/>
      <c r="AG33" s="331"/>
      <c r="AH33" s="331"/>
      <c r="AI33" s="331"/>
      <c r="AJ33" s="333"/>
      <c r="AK33" s="333">
        <v>2.0</v>
      </c>
      <c r="AL33" s="333">
        <v>2.0</v>
      </c>
      <c r="AM33" s="333">
        <v>4.32</v>
      </c>
      <c r="AN33" s="333" t="s">
        <v>950</v>
      </c>
      <c r="AO33" s="333">
        <v>25.65</v>
      </c>
      <c r="AP33" s="333">
        <v>0.0</v>
      </c>
      <c r="AQ33" s="333">
        <f t="shared" si="3"/>
        <v>29.97</v>
      </c>
      <c r="AR33" s="663">
        <f t="shared" si="2"/>
        <v>59.94</v>
      </c>
      <c r="AS33" s="13"/>
      <c r="AT33" s="331"/>
      <c r="AU33" s="331"/>
      <c r="AV33" s="331"/>
      <c r="AW33" s="331"/>
      <c r="AX33" s="331"/>
      <c r="AY33" s="331"/>
      <c r="AZ33" s="331"/>
      <c r="BA33" s="331"/>
      <c r="BB33" s="331"/>
      <c r="BC33" s="331"/>
      <c r="BD33" s="331"/>
      <c r="BE33" s="331"/>
      <c r="BF33" s="331"/>
      <c r="BG33" s="331"/>
      <c r="BH33" s="331"/>
      <c r="BI33" s="331"/>
      <c r="BJ33" s="331"/>
      <c r="BK33" s="306"/>
    </row>
    <row r="34" ht="15.75" customHeight="1">
      <c r="A34" s="306"/>
      <c r="B34" s="306"/>
      <c r="C34" s="306"/>
      <c r="D34" s="465"/>
      <c r="E34" s="465"/>
      <c r="F34" s="465"/>
      <c r="G34" s="465"/>
      <c r="H34" s="465"/>
      <c r="I34" s="465"/>
      <c r="J34" s="465"/>
      <c r="K34" s="465"/>
      <c r="L34" s="465"/>
      <c r="M34" s="465"/>
      <c r="N34" s="465"/>
      <c r="O34" s="465"/>
      <c r="P34" s="465"/>
      <c r="Q34" s="465"/>
      <c r="R34" s="465"/>
      <c r="S34" s="465"/>
      <c r="T34" s="465"/>
      <c r="U34" s="306"/>
      <c r="V34" s="306"/>
      <c r="W34" s="306"/>
      <c r="X34" s="626"/>
      <c r="Y34" s="626" t="s">
        <v>618</v>
      </c>
      <c r="Z34" s="626">
        <v>1.0</v>
      </c>
      <c r="AA34" s="31"/>
      <c r="AB34" s="31"/>
      <c r="AC34" s="31"/>
      <c r="AD34" s="31"/>
      <c r="AE34" s="31"/>
      <c r="AF34" s="31"/>
      <c r="AG34" s="331"/>
      <c r="AH34" s="331"/>
      <c r="AI34" s="331"/>
      <c r="AJ34" s="333"/>
      <c r="AK34" s="333"/>
      <c r="AL34" s="333"/>
      <c r="AM34" s="333"/>
      <c r="AN34" s="333"/>
      <c r="AO34" s="333"/>
      <c r="AP34" s="333"/>
      <c r="AQ34" s="333"/>
      <c r="AR34" s="663">
        <f t="shared" si="2"/>
        <v>0</v>
      </c>
      <c r="AS34" s="13"/>
      <c r="AT34" s="331"/>
      <c r="AU34" s="331"/>
      <c r="AV34" s="331"/>
      <c r="AW34" s="331"/>
      <c r="AX34" s="331"/>
      <c r="AY34" s="331"/>
      <c r="AZ34" s="331"/>
      <c r="BA34" s="331"/>
      <c r="BB34" s="331"/>
      <c r="BC34" s="331"/>
      <c r="BD34" s="331"/>
      <c r="BE34" s="331"/>
      <c r="BF34" s="331"/>
      <c r="BG34" s="331"/>
      <c r="BH34" s="331"/>
      <c r="BI34" s="331"/>
      <c r="BJ34" s="331"/>
      <c r="BK34" s="306"/>
    </row>
    <row r="35" ht="15.75" customHeight="1">
      <c r="A35" s="306"/>
      <c r="B35" s="306"/>
      <c r="C35" s="306"/>
      <c r="D35" s="673" t="s">
        <v>983</v>
      </c>
      <c r="E35" s="355">
        <v>7.375</v>
      </c>
      <c r="F35" s="355">
        <v>4.0</v>
      </c>
      <c r="G35" s="355">
        <v>7.5</v>
      </c>
      <c r="H35" s="355"/>
      <c r="I35" s="355"/>
      <c r="J35" s="355"/>
      <c r="K35" s="355"/>
      <c r="L35" s="355"/>
      <c r="M35" s="355"/>
      <c r="N35" s="355">
        <v>2.0</v>
      </c>
      <c r="O35" s="355"/>
      <c r="P35" s="355"/>
      <c r="Q35" s="355"/>
      <c r="R35" s="355"/>
      <c r="S35" s="355"/>
      <c r="T35" s="357">
        <f> SUM(I35:S35)</f>
        <v>2</v>
      </c>
      <c r="U35" s="306"/>
      <c r="V35" s="306"/>
      <c r="W35" s="306"/>
      <c r="X35" s="688" t="s">
        <v>717</v>
      </c>
      <c r="Y35" s="688" t="s">
        <v>984</v>
      </c>
      <c r="Z35" s="688">
        <v>1.0</v>
      </c>
      <c r="AA35" s="359">
        <v>2.0</v>
      </c>
      <c r="AB35" s="614">
        <v>4.0</v>
      </c>
      <c r="AC35" s="361">
        <v>0.0</v>
      </c>
      <c r="AD35" s="361">
        <v>2.0</v>
      </c>
      <c r="AE35" s="362">
        <v>0.0</v>
      </c>
      <c r="AF35" s="361">
        <v>0.0</v>
      </c>
      <c r="AG35" s="331"/>
      <c r="AH35" s="331"/>
      <c r="AI35" s="331"/>
      <c r="AJ35" s="333" t="s">
        <v>607</v>
      </c>
      <c r="AK35" s="333" t="s">
        <v>762</v>
      </c>
      <c r="AL35" s="333">
        <f t="shared" ref="AL35:AM35" si="4">SUM(AL36:AL40)</f>
        <v>18</v>
      </c>
      <c r="AM35" s="333">
        <f t="shared" si="4"/>
        <v>22.66</v>
      </c>
      <c r="AN35" s="333"/>
      <c r="AO35" s="333"/>
      <c r="AP35" s="333"/>
      <c r="AQ35" s="333"/>
      <c r="AR35" s="663">
        <f t="shared" si="2"/>
        <v>22.66</v>
      </c>
      <c r="AS35" s="13"/>
      <c r="AT35" s="331"/>
      <c r="AU35" s="331"/>
      <c r="AV35" s="331"/>
      <c r="AW35" s="331"/>
      <c r="AX35" s="331"/>
      <c r="AY35" s="331"/>
      <c r="AZ35" s="331"/>
      <c r="BA35" s="331"/>
      <c r="BB35" s="331"/>
      <c r="BC35" s="331"/>
      <c r="BD35" s="331"/>
      <c r="BE35" s="331"/>
      <c r="BF35" s="331"/>
      <c r="BG35" s="331"/>
      <c r="BH35" s="331"/>
      <c r="BI35" s="331"/>
      <c r="BJ35" s="331"/>
      <c r="BK35" s="306"/>
    </row>
    <row r="36" ht="15.75" customHeight="1">
      <c r="A36" s="306"/>
      <c r="B36" s="306"/>
      <c r="C36" s="306"/>
      <c r="D36" s="465"/>
      <c r="E36" s="465"/>
      <c r="F36" s="465"/>
      <c r="G36" s="369"/>
      <c r="H36" s="369"/>
      <c r="I36" s="465"/>
      <c r="J36" s="465"/>
      <c r="K36" s="465"/>
      <c r="L36" s="465"/>
      <c r="M36" s="465"/>
      <c r="N36" s="465"/>
      <c r="O36" s="465"/>
      <c r="P36" s="465"/>
      <c r="Q36" s="465"/>
      <c r="R36" s="465"/>
      <c r="S36" s="465"/>
      <c r="T36" s="465"/>
      <c r="U36" s="306"/>
      <c r="V36" s="306"/>
      <c r="W36" s="306"/>
      <c r="X36" s="688"/>
      <c r="Y36" s="688" t="s">
        <v>44</v>
      </c>
      <c r="Z36" s="688">
        <v>1.0</v>
      </c>
      <c r="AA36" s="24"/>
      <c r="AB36" s="24"/>
      <c r="AC36" s="24"/>
      <c r="AD36" s="24"/>
      <c r="AE36" s="24"/>
      <c r="AF36" s="24"/>
      <c r="AG36" s="331"/>
      <c r="AH36" s="331"/>
      <c r="AI36" s="331"/>
      <c r="AJ36" s="333"/>
      <c r="AK36" s="333">
        <v>3.0</v>
      </c>
      <c r="AL36" s="333">
        <v>2.0</v>
      </c>
      <c r="AM36" s="333">
        <v>12.11</v>
      </c>
      <c r="AN36" s="333" t="s">
        <v>950</v>
      </c>
      <c r="AO36" s="333">
        <v>25.4</v>
      </c>
      <c r="AP36" s="333">
        <v>0.0</v>
      </c>
      <c r="AQ36" s="333">
        <f t="shared" ref="AQ36:AQ40" si="5">SUM(AP36,AM36,AO36)</f>
        <v>37.51</v>
      </c>
      <c r="AR36" s="663">
        <f t="shared" si="2"/>
        <v>75.02</v>
      </c>
      <c r="AS36" s="13"/>
      <c r="AT36" s="331"/>
      <c r="AU36" s="331"/>
      <c r="AV36" s="331"/>
      <c r="AW36" s="331"/>
      <c r="AX36" s="331"/>
      <c r="AY36" s="331"/>
      <c r="AZ36" s="331"/>
      <c r="BA36" s="331"/>
      <c r="BB36" s="331"/>
      <c r="BC36" s="331"/>
      <c r="BD36" s="331"/>
      <c r="BE36" s="331"/>
      <c r="BF36" s="331"/>
      <c r="BG36" s="331"/>
      <c r="BH36" s="331"/>
      <c r="BI36" s="331"/>
      <c r="BJ36" s="331"/>
      <c r="BK36" s="306"/>
    </row>
    <row r="37" ht="15.75" customHeight="1">
      <c r="A37" s="306"/>
      <c r="B37" s="306"/>
      <c r="C37" s="306"/>
      <c r="D37" s="673" t="s">
        <v>994</v>
      </c>
      <c r="E37" s="355">
        <v>7.375</v>
      </c>
      <c r="F37" s="355">
        <v>7.25</v>
      </c>
      <c r="G37" s="355">
        <v>7.5</v>
      </c>
      <c r="H37" s="355">
        <v>2.0</v>
      </c>
      <c r="I37" s="355">
        <v>1.0</v>
      </c>
      <c r="J37" s="355">
        <v>1.0</v>
      </c>
      <c r="K37" s="355"/>
      <c r="L37" s="355"/>
      <c r="M37" s="355">
        <v>1.0</v>
      </c>
      <c r="N37" s="355">
        <v>1.0</v>
      </c>
      <c r="O37" s="355"/>
      <c r="P37" s="355"/>
      <c r="Q37" s="355"/>
      <c r="R37" s="355"/>
      <c r="S37" s="355"/>
      <c r="T37" s="357">
        <f> SUM(I37:S37)</f>
        <v>4</v>
      </c>
      <c r="U37" s="306"/>
      <c r="V37" s="306"/>
      <c r="W37" s="306"/>
      <c r="X37" s="688"/>
      <c r="Y37" s="688" t="s">
        <v>45</v>
      </c>
      <c r="Z37" s="688">
        <v>1.0</v>
      </c>
      <c r="AA37" s="24"/>
      <c r="AB37" s="24"/>
      <c r="AC37" s="24"/>
      <c r="AD37" s="24"/>
      <c r="AE37" s="24"/>
      <c r="AF37" s="24"/>
      <c r="AG37" s="331"/>
      <c r="AH37" s="331"/>
      <c r="AI37" s="331"/>
      <c r="AJ37" s="333"/>
      <c r="AK37" s="333">
        <v>4.0</v>
      </c>
      <c r="AL37" s="333">
        <v>1.0</v>
      </c>
      <c r="AM37" s="333">
        <v>0.275</v>
      </c>
      <c r="AN37" s="333" t="s">
        <v>950</v>
      </c>
      <c r="AO37" s="333">
        <v>23.92</v>
      </c>
      <c r="AP37" s="333">
        <v>2.0</v>
      </c>
      <c r="AQ37" s="333">
        <f t="shared" si="5"/>
        <v>26.195</v>
      </c>
      <c r="AR37" s="663">
        <f t="shared" si="2"/>
        <v>52.39</v>
      </c>
      <c r="AS37" s="13"/>
      <c r="AT37" s="331"/>
      <c r="AU37" s="331"/>
      <c r="AV37" s="331"/>
      <c r="AW37" s="331"/>
      <c r="AX37" s="331"/>
      <c r="AY37" s="331"/>
      <c r="AZ37" s="331"/>
      <c r="BA37" s="331"/>
      <c r="BB37" s="331"/>
      <c r="BC37" s="331"/>
      <c r="BD37" s="331"/>
      <c r="BE37" s="331"/>
      <c r="BF37" s="331"/>
      <c r="BG37" s="331"/>
      <c r="BH37" s="331"/>
      <c r="BI37" s="331"/>
      <c r="BJ37" s="331"/>
      <c r="BK37" s="306"/>
    </row>
    <row r="38" ht="15.75" customHeight="1">
      <c r="A38" s="306"/>
      <c r="B38" s="306"/>
      <c r="C38" s="306"/>
      <c r="D38" s="465"/>
      <c r="E38" s="465"/>
      <c r="F38" s="465"/>
      <c r="G38" s="465"/>
      <c r="H38" s="465"/>
      <c r="I38" s="465"/>
      <c r="J38" s="465"/>
      <c r="K38" s="465"/>
      <c r="L38" s="465"/>
      <c r="M38" s="465"/>
      <c r="N38" s="465"/>
      <c r="O38" s="465"/>
      <c r="P38" s="465"/>
      <c r="Q38" s="465"/>
      <c r="R38" s="465"/>
      <c r="S38" s="465"/>
      <c r="T38" s="465"/>
      <c r="U38" s="306"/>
      <c r="V38" s="306"/>
      <c r="W38" s="306"/>
      <c r="X38" s="688"/>
      <c r="Y38" s="688" t="s">
        <v>45</v>
      </c>
      <c r="Z38" s="688">
        <v>1.0</v>
      </c>
      <c r="AA38" s="31"/>
      <c r="AB38" s="31"/>
      <c r="AC38" s="31"/>
      <c r="AD38" s="31"/>
      <c r="AE38" s="31"/>
      <c r="AF38" s="31"/>
      <c r="AG38" s="331"/>
      <c r="AH38" s="331"/>
      <c r="AI38" s="331"/>
      <c r="AJ38" s="333"/>
      <c r="AK38" s="333">
        <v>5.0</v>
      </c>
      <c r="AL38" s="333">
        <v>12.0</v>
      </c>
      <c r="AM38" s="333">
        <v>6.0</v>
      </c>
      <c r="AN38" s="333" t="s">
        <v>1065</v>
      </c>
      <c r="AO38" s="333">
        <v>22.1</v>
      </c>
      <c r="AP38" s="333">
        <v>5.9</v>
      </c>
      <c r="AQ38" s="333">
        <f t="shared" si="5"/>
        <v>34</v>
      </c>
      <c r="AR38" s="663">
        <f t="shared" si="2"/>
        <v>68</v>
      </c>
      <c r="AS38" s="13"/>
      <c r="AT38" s="331"/>
      <c r="AU38" s="331"/>
      <c r="AV38" s="331"/>
      <c r="AW38" s="331"/>
      <c r="AX38" s="331"/>
      <c r="AY38" s="331"/>
      <c r="AZ38" s="331"/>
      <c r="BA38" s="331"/>
      <c r="BB38" s="331"/>
      <c r="BC38" s="331"/>
      <c r="BD38" s="331"/>
      <c r="BE38" s="331"/>
      <c r="BF38" s="331"/>
      <c r="BG38" s="331"/>
      <c r="BH38" s="331"/>
      <c r="BI38" s="331"/>
      <c r="BJ38" s="331"/>
      <c r="BK38" s="306"/>
    </row>
    <row r="39" ht="15.75" customHeight="1">
      <c r="A39" s="306"/>
      <c r="B39" s="306"/>
      <c r="C39" s="306"/>
      <c r="D39" s="673" t="s">
        <v>1087</v>
      </c>
      <c r="E39" s="355">
        <v>9.325</v>
      </c>
      <c r="F39" s="355">
        <v>11.7</v>
      </c>
      <c r="G39" s="355">
        <v>7.5</v>
      </c>
      <c r="H39" s="355">
        <v>3.0</v>
      </c>
      <c r="I39" s="355">
        <v>1.0</v>
      </c>
      <c r="J39" s="355">
        <v>1.0</v>
      </c>
      <c r="K39" s="355"/>
      <c r="L39" s="355"/>
      <c r="M39" s="355">
        <v>1.0</v>
      </c>
      <c r="N39" s="355">
        <v>1.0</v>
      </c>
      <c r="O39" s="355"/>
      <c r="P39" s="355"/>
      <c r="Q39" s="355"/>
      <c r="R39" s="355"/>
      <c r="S39" s="355"/>
      <c r="T39" s="357">
        <f> SUM(I39:S39)</f>
        <v>4</v>
      </c>
      <c r="U39" s="306"/>
      <c r="V39" s="306"/>
      <c r="W39" s="306"/>
      <c r="X39" s="769" t="s">
        <v>671</v>
      </c>
      <c r="Y39" s="769" t="s">
        <v>48</v>
      </c>
      <c r="Z39" s="769">
        <v>1.0</v>
      </c>
      <c r="AA39" s="359">
        <v>2.0</v>
      </c>
      <c r="AB39" s="614">
        <v>2.0</v>
      </c>
      <c r="AC39" s="361">
        <v>2.0</v>
      </c>
      <c r="AD39" s="361">
        <v>0.0</v>
      </c>
      <c r="AE39" s="362">
        <v>0.0</v>
      </c>
      <c r="AF39" s="361">
        <v>0.0</v>
      </c>
      <c r="AG39" s="331"/>
      <c r="AH39" s="331"/>
      <c r="AI39" s="331"/>
      <c r="AJ39" s="333"/>
      <c r="AK39" s="333">
        <v>6.0</v>
      </c>
      <c r="AL39" s="333">
        <v>2.0</v>
      </c>
      <c r="AM39" s="333">
        <v>4.0</v>
      </c>
      <c r="AN39" s="333" t="s">
        <v>950</v>
      </c>
      <c r="AO39" s="333">
        <v>19.9695</v>
      </c>
      <c r="AP39" s="333">
        <v>0.0</v>
      </c>
      <c r="AQ39" s="333">
        <f t="shared" si="5"/>
        <v>23.9695</v>
      </c>
      <c r="AR39" s="663">
        <f t="shared" si="2"/>
        <v>47.939</v>
      </c>
      <c r="AS39" s="13"/>
      <c r="AT39" s="331"/>
      <c r="AU39" s="331"/>
      <c r="AV39" s="331"/>
      <c r="AW39" s="331"/>
      <c r="AX39" s="331"/>
      <c r="AY39" s="331"/>
      <c r="AZ39" s="331"/>
      <c r="BA39" s="331"/>
      <c r="BB39" s="331"/>
      <c r="BC39" s="331"/>
      <c r="BD39" s="331"/>
      <c r="BE39" s="331"/>
      <c r="BF39" s="331"/>
      <c r="BG39" s="331"/>
      <c r="BH39" s="331"/>
      <c r="BI39" s="331"/>
      <c r="BJ39" s="331"/>
      <c r="BK39" s="306"/>
    </row>
    <row r="40" ht="15.75" customHeight="1">
      <c r="A40" s="306"/>
      <c r="B40" s="777"/>
      <c r="C40" s="777"/>
      <c r="D40" s="465"/>
      <c r="E40" s="465"/>
      <c r="F40" s="465"/>
      <c r="G40" s="465"/>
      <c r="H40" s="465"/>
      <c r="I40" s="465"/>
      <c r="J40" s="465"/>
      <c r="K40" s="465"/>
      <c r="L40" s="465"/>
      <c r="M40" s="465"/>
      <c r="N40" s="465"/>
      <c r="O40" s="465"/>
      <c r="P40" s="465"/>
      <c r="Q40" s="465"/>
      <c r="R40" s="465"/>
      <c r="S40" s="465"/>
      <c r="T40" s="465"/>
      <c r="U40" s="306"/>
      <c r="V40" s="306"/>
      <c r="W40" s="306"/>
      <c r="X40" s="769"/>
      <c r="Y40" s="769" t="s">
        <v>618</v>
      </c>
      <c r="Z40" s="769">
        <v>1.0</v>
      </c>
      <c r="AA40" s="31"/>
      <c r="AB40" s="31"/>
      <c r="AC40" s="31"/>
      <c r="AD40" s="31"/>
      <c r="AE40" s="31"/>
      <c r="AF40" s="31"/>
      <c r="AG40" s="331"/>
      <c r="AH40" s="331"/>
      <c r="AI40" s="331"/>
      <c r="AJ40" s="333"/>
      <c r="AK40" s="333">
        <v>7.0</v>
      </c>
      <c r="AL40" s="333">
        <v>1.0</v>
      </c>
      <c r="AM40" s="333">
        <v>0.275</v>
      </c>
      <c r="AN40" s="333" t="s">
        <v>950</v>
      </c>
      <c r="AO40" s="333">
        <v>18.6265</v>
      </c>
      <c r="AP40" s="333">
        <v>0.0</v>
      </c>
      <c r="AQ40" s="333">
        <f t="shared" si="5"/>
        <v>18.9015</v>
      </c>
      <c r="AR40" s="663">
        <f t="shared" si="2"/>
        <v>37.803</v>
      </c>
      <c r="AS40" s="13"/>
      <c r="AT40" s="331"/>
      <c r="AU40" s="331"/>
      <c r="AV40" s="331"/>
      <c r="AW40" s="331"/>
      <c r="AX40" s="331"/>
      <c r="AY40" s="331"/>
      <c r="AZ40" s="331"/>
      <c r="BA40" s="331"/>
      <c r="BB40" s="331"/>
      <c r="BC40" s="331"/>
      <c r="BD40" s="331"/>
      <c r="BE40" s="331"/>
      <c r="BF40" s="331"/>
      <c r="BG40" s="331"/>
      <c r="BH40" s="331"/>
      <c r="BI40" s="331"/>
      <c r="BJ40" s="331"/>
      <c r="BK40" s="306"/>
    </row>
    <row r="41" ht="15.75" customHeight="1">
      <c r="A41" s="306"/>
      <c r="B41" s="368"/>
      <c r="C41" s="368"/>
      <c r="D41" s="673" t="s">
        <v>1133</v>
      </c>
      <c r="E41" s="355">
        <v>9.0</v>
      </c>
      <c r="F41" s="355">
        <v>11.7</v>
      </c>
      <c r="G41" s="355">
        <v>7.5</v>
      </c>
      <c r="H41" s="355">
        <v>2.0</v>
      </c>
      <c r="I41" s="355"/>
      <c r="J41" s="355"/>
      <c r="K41" s="355"/>
      <c r="L41" s="355"/>
      <c r="M41" s="355">
        <v>1.0</v>
      </c>
      <c r="N41" s="355">
        <v>1.0</v>
      </c>
      <c r="O41" s="355"/>
      <c r="P41" s="355">
        <v>1.0</v>
      </c>
      <c r="Q41" s="355"/>
      <c r="R41" s="355"/>
      <c r="S41" s="355"/>
      <c r="T41" s="357">
        <f t="shared" ref="T41:T44" si="6"> SUM(I41:S41)</f>
        <v>3</v>
      </c>
      <c r="U41" s="306"/>
      <c r="V41" s="306"/>
      <c r="W41" s="306"/>
      <c r="X41" s="784" t="s">
        <v>1137</v>
      </c>
      <c r="Y41" s="784" t="s">
        <v>618</v>
      </c>
      <c r="Z41" s="784">
        <v>1.0</v>
      </c>
      <c r="AA41" s="359">
        <v>2.0</v>
      </c>
      <c r="AB41" s="614">
        <v>2.0</v>
      </c>
      <c r="AC41" s="361">
        <v>2.0</v>
      </c>
      <c r="AD41" s="361">
        <v>0.0</v>
      </c>
      <c r="AE41" s="362">
        <v>0.0</v>
      </c>
      <c r="AF41" s="361">
        <v>0.0</v>
      </c>
      <c r="AG41" s="331"/>
      <c r="AH41" s="331"/>
      <c r="AI41" s="331"/>
      <c r="AJ41" s="333"/>
      <c r="AK41" s="333"/>
      <c r="AL41" s="333"/>
      <c r="AM41" s="333"/>
      <c r="AN41" s="333"/>
      <c r="AO41" s="333"/>
      <c r="AP41" s="333"/>
      <c r="AQ41" s="333"/>
      <c r="AR41" s="663">
        <f t="shared" si="2"/>
        <v>0</v>
      </c>
      <c r="AS41" s="13"/>
      <c r="AT41" s="331"/>
      <c r="AU41" s="331"/>
      <c r="AV41" s="331"/>
      <c r="AW41" s="331"/>
      <c r="AX41" s="331"/>
      <c r="AY41" s="331"/>
      <c r="AZ41" s="331"/>
      <c r="BA41" s="331"/>
      <c r="BB41" s="331"/>
      <c r="BC41" s="331"/>
      <c r="BD41" s="331"/>
      <c r="BE41" s="331"/>
      <c r="BF41" s="331"/>
      <c r="BG41" s="331"/>
      <c r="BH41" s="331"/>
      <c r="BI41" s="331"/>
      <c r="BJ41" s="331"/>
      <c r="BK41" s="306"/>
    </row>
    <row r="42" ht="15.75" customHeight="1">
      <c r="A42" s="306"/>
      <c r="B42" s="306"/>
      <c r="C42" s="306"/>
      <c r="D42" s="785"/>
      <c r="E42" s="785"/>
      <c r="F42" s="785"/>
      <c r="G42" s="785"/>
      <c r="H42" s="785"/>
      <c r="I42" s="785"/>
      <c r="J42" s="785"/>
      <c r="K42" s="785"/>
      <c r="L42" s="785"/>
      <c r="M42" s="785"/>
      <c r="N42" s="785"/>
      <c r="O42" s="785"/>
      <c r="P42" s="785"/>
      <c r="Q42" s="785"/>
      <c r="R42" s="785"/>
      <c r="S42" s="785"/>
      <c r="T42" s="785">
        <f t="shared" si="6"/>
        <v>0</v>
      </c>
      <c r="U42" s="306"/>
      <c r="V42" s="306"/>
      <c r="W42" s="306"/>
      <c r="X42" s="784"/>
      <c r="Y42" s="784" t="s">
        <v>618</v>
      </c>
      <c r="Z42" s="784">
        <v>1.0</v>
      </c>
      <c r="AA42" s="31"/>
      <c r="AB42" s="31"/>
      <c r="AC42" s="31"/>
      <c r="AD42" s="31"/>
      <c r="AE42" s="31"/>
      <c r="AF42" s="31"/>
      <c r="AG42" s="331"/>
      <c r="AH42" s="331"/>
      <c r="AI42" s="331"/>
      <c r="AJ42" s="333" t="s">
        <v>625</v>
      </c>
      <c r="AK42" s="333" t="s">
        <v>762</v>
      </c>
      <c r="AL42" s="333">
        <v>2.0</v>
      </c>
      <c r="AM42" s="333">
        <v>3.3</v>
      </c>
      <c r="AN42" s="333"/>
      <c r="AO42" s="333"/>
      <c r="AP42" s="333"/>
      <c r="AQ42" s="333"/>
      <c r="AR42" s="663">
        <f t="shared" si="2"/>
        <v>3.3</v>
      </c>
      <c r="AS42" s="13"/>
      <c r="AT42" s="331"/>
      <c r="AU42" s="331"/>
      <c r="AV42" s="331"/>
      <c r="AW42" s="331"/>
      <c r="AX42" s="331"/>
      <c r="AY42" s="331"/>
      <c r="AZ42" s="331"/>
      <c r="BA42" s="331"/>
      <c r="BB42" s="331"/>
      <c r="BC42" s="331"/>
      <c r="BD42" s="331"/>
      <c r="BE42" s="331"/>
      <c r="BF42" s="331"/>
      <c r="BG42" s="331"/>
      <c r="BH42" s="331"/>
      <c r="BI42" s="331"/>
      <c r="BJ42" s="331"/>
      <c r="BK42" s="306"/>
    </row>
    <row r="43" ht="15.75" customHeight="1">
      <c r="A43" s="306"/>
      <c r="B43" s="306"/>
      <c r="C43" s="306"/>
      <c r="D43" s="785"/>
      <c r="E43" s="785"/>
      <c r="F43" s="785"/>
      <c r="G43" s="785"/>
      <c r="H43" s="785"/>
      <c r="I43" s="785"/>
      <c r="J43" s="785"/>
      <c r="K43" s="785"/>
      <c r="L43" s="785"/>
      <c r="M43" s="785"/>
      <c r="N43" s="785"/>
      <c r="O43" s="785"/>
      <c r="P43" s="785"/>
      <c r="Q43" s="785"/>
      <c r="R43" s="785"/>
      <c r="S43" s="785"/>
      <c r="T43" s="785">
        <f t="shared" si="6"/>
        <v>0</v>
      </c>
      <c r="U43" s="306"/>
      <c r="V43" s="306"/>
      <c r="W43" s="306"/>
      <c r="X43" s="798" t="s">
        <v>707</v>
      </c>
      <c r="Y43" s="798" t="s">
        <v>48</v>
      </c>
      <c r="Z43" s="798">
        <v>1.0</v>
      </c>
      <c r="AA43" s="359">
        <v>5.0</v>
      </c>
      <c r="AB43" s="614">
        <v>5.0</v>
      </c>
      <c r="AC43" s="361">
        <v>5.0</v>
      </c>
      <c r="AD43" s="361">
        <v>0.0</v>
      </c>
      <c r="AE43" s="362">
        <v>0.0</v>
      </c>
      <c r="AF43" s="361">
        <v>0.0</v>
      </c>
      <c r="AG43" s="331"/>
      <c r="AH43" s="331"/>
      <c r="AI43" s="331"/>
      <c r="AJ43" s="333"/>
      <c r="AK43" s="333">
        <v>8.0</v>
      </c>
      <c r="AL43" s="333">
        <v>2.0</v>
      </c>
      <c r="AM43" s="333">
        <v>3.3</v>
      </c>
      <c r="AN43" s="333" t="s">
        <v>950</v>
      </c>
      <c r="AO43" s="333">
        <v>16.1765</v>
      </c>
      <c r="AP43" s="333">
        <v>0.0</v>
      </c>
      <c r="AQ43" s="333">
        <f>SUM(AP43,AM43,AO43)</f>
        <v>19.4765</v>
      </c>
      <c r="AR43" s="663">
        <f t="shared" si="2"/>
        <v>38.953</v>
      </c>
      <c r="AS43" s="13"/>
      <c r="AT43" s="331"/>
      <c r="AU43" s="331"/>
      <c r="AV43" s="331"/>
      <c r="AW43" s="331"/>
      <c r="AX43" s="331"/>
      <c r="AY43" s="331"/>
      <c r="AZ43" s="331"/>
      <c r="BA43" s="331"/>
      <c r="BB43" s="331"/>
      <c r="BC43" s="331"/>
      <c r="BD43" s="331"/>
      <c r="BE43" s="331"/>
      <c r="BF43" s="331"/>
      <c r="BG43" s="331"/>
      <c r="BH43" s="331"/>
      <c r="BI43" s="331"/>
      <c r="BJ43" s="331"/>
      <c r="BK43" s="306"/>
    </row>
    <row r="44" ht="15.75" customHeight="1">
      <c r="A44" s="306"/>
      <c r="B44" s="306"/>
      <c r="C44" s="306"/>
      <c r="D44" s="785"/>
      <c r="E44" s="785"/>
      <c r="F44" s="785"/>
      <c r="G44" s="785"/>
      <c r="H44" s="785"/>
      <c r="I44" s="785"/>
      <c r="J44" s="785"/>
      <c r="K44" s="785"/>
      <c r="L44" s="785"/>
      <c r="M44" s="785"/>
      <c r="N44" s="785"/>
      <c r="O44" s="785"/>
      <c r="P44" s="785"/>
      <c r="Q44" s="785"/>
      <c r="R44" s="785"/>
      <c r="S44" s="785"/>
      <c r="T44" s="785">
        <f t="shared" si="6"/>
        <v>0</v>
      </c>
      <c r="U44" s="306"/>
      <c r="V44" s="306"/>
      <c r="W44" s="306"/>
      <c r="X44" s="798"/>
      <c r="Y44" s="798" t="s">
        <v>48</v>
      </c>
      <c r="Z44" s="798">
        <v>1.0</v>
      </c>
      <c r="AA44" s="24"/>
      <c r="AB44" s="24"/>
      <c r="AC44" s="24"/>
      <c r="AD44" s="24"/>
      <c r="AE44" s="24"/>
      <c r="AF44" s="24"/>
      <c r="AG44" s="331"/>
      <c r="AH44" s="331"/>
      <c r="AI44" s="331"/>
      <c r="AJ44" s="333"/>
      <c r="AK44" s="333"/>
      <c r="AL44" s="333"/>
      <c r="AM44" s="333"/>
      <c r="AN44" s="333"/>
      <c r="AO44" s="333"/>
      <c r="AP44" s="333"/>
      <c r="AQ44" s="333"/>
      <c r="AR44" s="663">
        <f t="shared" si="2"/>
        <v>0</v>
      </c>
      <c r="AS44" s="13"/>
      <c r="AT44" s="331"/>
      <c r="AU44" s="331"/>
      <c r="AV44" s="331"/>
      <c r="AW44" s="331"/>
      <c r="AX44" s="331"/>
      <c r="AY44" s="331"/>
      <c r="AZ44" s="331"/>
      <c r="BA44" s="331"/>
      <c r="BB44" s="331"/>
      <c r="BC44" s="331"/>
      <c r="BD44" s="331"/>
      <c r="BE44" s="331"/>
      <c r="BF44" s="331"/>
      <c r="BG44" s="331"/>
      <c r="BH44" s="331"/>
      <c r="BI44" s="331"/>
      <c r="BJ44" s="331"/>
      <c r="BK44" s="306"/>
    </row>
    <row r="45" ht="15.75" customHeight="1">
      <c r="A45" s="306"/>
      <c r="B45" s="306"/>
      <c r="C45" s="306"/>
      <c r="D45" s="840"/>
      <c r="E45" s="840"/>
      <c r="F45" s="840"/>
      <c r="G45" s="840"/>
      <c r="H45" s="840">
        <f t="shared" ref="H45:T45" si="7">SUM(H5:H41)</f>
        <v>36</v>
      </c>
      <c r="I45" s="840">
        <f t="shared" si="7"/>
        <v>14</v>
      </c>
      <c r="J45" s="840">
        <f t="shared" si="7"/>
        <v>14</v>
      </c>
      <c r="K45" s="840">
        <f t="shared" si="7"/>
        <v>1</v>
      </c>
      <c r="L45" s="840">
        <f t="shared" si="7"/>
        <v>4</v>
      </c>
      <c r="M45" s="840">
        <f t="shared" si="7"/>
        <v>16</v>
      </c>
      <c r="N45" s="840">
        <f t="shared" si="7"/>
        <v>24</v>
      </c>
      <c r="O45" s="840">
        <f t="shared" si="7"/>
        <v>1</v>
      </c>
      <c r="P45" s="840">
        <f t="shared" si="7"/>
        <v>7</v>
      </c>
      <c r="Q45" s="840">
        <f t="shared" si="7"/>
        <v>28</v>
      </c>
      <c r="R45" s="840">
        <f t="shared" si="7"/>
        <v>2</v>
      </c>
      <c r="S45" s="840">
        <f t="shared" si="7"/>
        <v>6</v>
      </c>
      <c r="T45" s="868">
        <f t="shared" si="7"/>
        <v>117</v>
      </c>
      <c r="U45" s="306"/>
      <c r="V45" s="306"/>
      <c r="W45" s="306"/>
      <c r="X45" s="798"/>
      <c r="Y45" s="798" t="s">
        <v>48</v>
      </c>
      <c r="Z45" s="798">
        <v>1.0</v>
      </c>
      <c r="AA45" s="24"/>
      <c r="AB45" s="24"/>
      <c r="AC45" s="24"/>
      <c r="AD45" s="24"/>
      <c r="AE45" s="24"/>
      <c r="AF45" s="24"/>
      <c r="AG45" s="331"/>
      <c r="AH45" s="331"/>
      <c r="AI45" s="331"/>
      <c r="AJ45" s="333" t="s">
        <v>1194</v>
      </c>
      <c r="AK45" s="333" t="s">
        <v>762</v>
      </c>
      <c r="AL45" s="333">
        <v>2.0</v>
      </c>
      <c r="AM45" s="333">
        <v>6.0</v>
      </c>
      <c r="AN45" s="333"/>
      <c r="AO45" s="333"/>
      <c r="AP45" s="333"/>
      <c r="AQ45" s="333"/>
      <c r="AR45" s="663">
        <f t="shared" si="2"/>
        <v>6</v>
      </c>
      <c r="AS45" s="13"/>
      <c r="AT45" s="331"/>
      <c r="AU45" s="331"/>
      <c r="AV45" s="331"/>
      <c r="AW45" s="331"/>
      <c r="AX45" s="331"/>
      <c r="AY45" s="331"/>
      <c r="AZ45" s="331"/>
      <c r="BA45" s="331"/>
      <c r="BB45" s="331"/>
      <c r="BC45" s="331"/>
      <c r="BD45" s="331"/>
      <c r="BE45" s="331"/>
      <c r="BF45" s="331"/>
      <c r="BG45" s="331"/>
      <c r="BH45" s="331"/>
      <c r="BI45" s="331"/>
      <c r="BJ45" s="331"/>
      <c r="BK45" s="306"/>
    </row>
    <row r="46" ht="15.75" customHeight="1">
      <c r="A46" s="306"/>
      <c r="B46" s="306"/>
      <c r="C46" s="306"/>
      <c r="D46" s="306"/>
      <c r="E46" s="306"/>
      <c r="F46" s="306"/>
      <c r="G46" s="306"/>
      <c r="H46" s="306"/>
      <c r="I46" s="876"/>
      <c r="J46" s="876"/>
      <c r="K46" s="876"/>
      <c r="L46" s="876"/>
      <c r="M46" s="876"/>
      <c r="N46" s="876"/>
      <c r="O46" s="876"/>
      <c r="P46" s="876"/>
      <c r="Q46" s="876"/>
      <c r="R46" s="876"/>
      <c r="S46" s="876"/>
      <c r="T46" s="306"/>
      <c r="U46" s="306"/>
      <c r="V46" s="306"/>
      <c r="W46" s="306"/>
      <c r="X46" s="798"/>
      <c r="Y46" s="798" t="s">
        <v>618</v>
      </c>
      <c r="Z46" s="798">
        <v>1.0</v>
      </c>
      <c r="AA46" s="24"/>
      <c r="AB46" s="24"/>
      <c r="AC46" s="24"/>
      <c r="AD46" s="24"/>
      <c r="AE46" s="24"/>
      <c r="AF46" s="24"/>
      <c r="AG46" s="331"/>
      <c r="AH46" s="331"/>
      <c r="AI46" s="331"/>
      <c r="AJ46" s="333"/>
      <c r="AK46" s="333">
        <v>9.0</v>
      </c>
      <c r="AL46" s="333">
        <v>2.0</v>
      </c>
      <c r="AM46" s="333">
        <v>6.0</v>
      </c>
      <c r="AN46" s="333" t="s">
        <v>950</v>
      </c>
      <c r="AO46" s="333">
        <v>11.1765</v>
      </c>
      <c r="AP46" s="333">
        <v>0.0</v>
      </c>
      <c r="AQ46" s="333">
        <f>SUM(AP46,AM46,AO46)</f>
        <v>17.1765</v>
      </c>
      <c r="AR46" s="663">
        <f t="shared" si="2"/>
        <v>34.353</v>
      </c>
      <c r="AS46" s="13"/>
      <c r="AT46" s="331"/>
      <c r="AU46" s="331"/>
      <c r="AV46" s="331"/>
      <c r="AW46" s="331"/>
      <c r="AX46" s="331"/>
      <c r="AY46" s="331"/>
      <c r="AZ46" s="331"/>
      <c r="BA46" s="331"/>
      <c r="BB46" s="331"/>
      <c r="BC46" s="331"/>
      <c r="BD46" s="331"/>
      <c r="BE46" s="331"/>
      <c r="BF46" s="331"/>
      <c r="BG46" s="331"/>
      <c r="BH46" s="331"/>
      <c r="BI46" s="331"/>
      <c r="BJ46" s="331"/>
      <c r="BK46" s="306"/>
    </row>
    <row r="47" ht="15.75" customHeight="1">
      <c r="A47" s="306"/>
      <c r="B47" s="306"/>
      <c r="C47" s="306"/>
      <c r="D47" s="888"/>
      <c r="E47" s="888"/>
      <c r="F47" s="888"/>
      <c r="G47" s="475"/>
      <c r="H47" s="475"/>
      <c r="I47" s="475"/>
      <c r="J47" s="475"/>
      <c r="K47" s="306"/>
      <c r="L47" s="306"/>
      <c r="M47" s="306"/>
      <c r="Q47" s="306"/>
      <c r="R47" s="306"/>
      <c r="S47" s="306"/>
      <c r="T47" s="306"/>
      <c r="U47" s="306"/>
      <c r="V47" s="306"/>
      <c r="W47" s="306"/>
      <c r="X47" s="798"/>
      <c r="Y47" s="798" t="s">
        <v>618</v>
      </c>
      <c r="Z47" s="798">
        <v>1.0</v>
      </c>
      <c r="AA47" s="31"/>
      <c r="AB47" s="31"/>
      <c r="AC47" s="31"/>
      <c r="AD47" s="31"/>
      <c r="AE47" s="31"/>
      <c r="AF47" s="31"/>
      <c r="AG47" s="331"/>
      <c r="AH47" s="331"/>
      <c r="AI47" s="331"/>
      <c r="AJ47" s="333"/>
      <c r="AK47" s="333"/>
      <c r="AL47" s="333"/>
      <c r="AM47" s="333"/>
      <c r="AN47" s="333"/>
      <c r="AO47" s="333"/>
      <c r="AP47" s="333"/>
      <c r="AQ47" s="333"/>
      <c r="AR47" s="663">
        <f t="shared" si="2"/>
        <v>0</v>
      </c>
      <c r="AS47" s="13"/>
      <c r="AT47" s="331"/>
      <c r="AU47" s="331"/>
      <c r="AV47" s="331"/>
      <c r="AW47" s="331"/>
      <c r="AX47" s="331"/>
      <c r="AY47" s="331"/>
      <c r="AZ47" s="331"/>
      <c r="BA47" s="331"/>
      <c r="BB47" s="331"/>
      <c r="BC47" s="331"/>
      <c r="BD47" s="331"/>
      <c r="BE47" s="331"/>
      <c r="BF47" s="331"/>
      <c r="BG47" s="331"/>
      <c r="BH47" s="331"/>
      <c r="BI47" s="331"/>
      <c r="BJ47" s="331"/>
      <c r="BK47" s="306"/>
    </row>
    <row r="48" ht="15.75" customHeight="1">
      <c r="A48" s="306"/>
      <c r="B48" s="306"/>
      <c r="C48" s="306"/>
      <c r="D48" s="322" t="s">
        <v>566</v>
      </c>
      <c r="E48" s="892" t="s">
        <v>210</v>
      </c>
      <c r="F48" s="894" t="s">
        <v>568</v>
      </c>
      <c r="G48" s="894" t="s">
        <v>570</v>
      </c>
      <c r="H48" s="894" t="s">
        <v>572</v>
      </c>
      <c r="I48" s="894" t="s">
        <v>133</v>
      </c>
      <c r="J48" s="894" t="s">
        <v>573</v>
      </c>
      <c r="L48" s="306"/>
      <c r="M48" s="306"/>
      <c r="Q48" s="876"/>
      <c r="R48" s="876"/>
      <c r="S48" s="876"/>
      <c r="T48" s="876"/>
      <c r="U48" s="306"/>
      <c r="V48" s="306"/>
      <c r="W48" s="306"/>
      <c r="X48" s="898" t="s">
        <v>685</v>
      </c>
      <c r="Y48" s="898" t="s">
        <v>618</v>
      </c>
      <c r="Z48" s="898">
        <v>1.0</v>
      </c>
      <c r="AA48" s="359">
        <v>4.0</v>
      </c>
      <c r="AB48" s="614">
        <v>4.0</v>
      </c>
      <c r="AC48" s="361">
        <v>4.0</v>
      </c>
      <c r="AD48" s="361">
        <v>0.0</v>
      </c>
      <c r="AE48" s="362">
        <v>0.0</v>
      </c>
      <c r="AF48" s="361">
        <v>0.0</v>
      </c>
      <c r="AG48" s="904" t="s">
        <v>1230</v>
      </c>
      <c r="AI48" s="331"/>
      <c r="AJ48" s="333" t="s">
        <v>628</v>
      </c>
      <c r="AK48" s="333" t="s">
        <v>762</v>
      </c>
      <c r="AL48" s="333">
        <v>2.0</v>
      </c>
      <c r="AM48" s="333">
        <v>6.0</v>
      </c>
      <c r="AN48" s="333"/>
      <c r="AO48" s="333"/>
      <c r="AP48" s="333"/>
      <c r="AQ48" s="333"/>
      <c r="AR48" s="663">
        <f t="shared" si="2"/>
        <v>6</v>
      </c>
      <c r="AS48" s="13"/>
      <c r="AT48" s="331"/>
      <c r="AU48" s="331"/>
      <c r="AV48" s="331"/>
      <c r="AW48" s="331"/>
      <c r="AX48" s="331"/>
      <c r="AY48" s="331"/>
      <c r="AZ48" s="331"/>
      <c r="BA48" s="331"/>
      <c r="BB48" s="331"/>
      <c r="BC48" s="331"/>
      <c r="BD48" s="331"/>
      <c r="BE48" s="331"/>
      <c r="BF48" s="331"/>
      <c r="BG48" s="331"/>
      <c r="BH48" s="331"/>
      <c r="BI48" s="331"/>
      <c r="BJ48" s="331"/>
      <c r="BK48" s="306"/>
    </row>
    <row r="49" ht="15.75" customHeight="1">
      <c r="A49" s="306"/>
      <c r="B49" s="306"/>
      <c r="C49" s="306"/>
      <c r="D49" s="906" t="s">
        <v>709</v>
      </c>
      <c r="E49" s="907">
        <v>18.0</v>
      </c>
      <c r="F49" s="908">
        <v>97.97</v>
      </c>
      <c r="G49" s="910">
        <f t="shared" ref="G49:G57" si="8">E49*F49</f>
        <v>1763.46</v>
      </c>
      <c r="H49" s="496" t="s">
        <v>1237</v>
      </c>
      <c r="I49" s="911" t="s">
        <v>1237</v>
      </c>
      <c r="Q49" s="306"/>
      <c r="R49" s="306"/>
      <c r="S49" s="306"/>
      <c r="T49" s="306"/>
      <c r="U49" s="306"/>
      <c r="V49" s="306"/>
      <c r="W49" s="306"/>
      <c r="X49" s="898"/>
      <c r="Y49" s="898" t="s">
        <v>613</v>
      </c>
      <c r="Z49" s="898">
        <v>1.0</v>
      </c>
      <c r="AA49" s="24"/>
      <c r="AB49" s="24"/>
      <c r="AC49" s="24"/>
      <c r="AD49" s="24"/>
      <c r="AE49" s="24"/>
      <c r="AF49" s="24"/>
      <c r="AI49" s="331"/>
      <c r="AJ49" s="333"/>
      <c r="AK49" s="333">
        <v>10.0</v>
      </c>
      <c r="AL49" s="333">
        <v>1.0</v>
      </c>
      <c r="AM49" s="333">
        <v>3.0</v>
      </c>
      <c r="AN49" s="333" t="s">
        <v>950</v>
      </c>
      <c r="AO49" s="333">
        <v>7.2</v>
      </c>
      <c r="AP49" s="333">
        <v>0.0</v>
      </c>
      <c r="AQ49" s="333">
        <f t="shared" ref="AQ49:AQ50" si="9">SUM(AP49,AM49,AO49)</f>
        <v>10.2</v>
      </c>
      <c r="AR49" s="663">
        <f t="shared" si="2"/>
        <v>20.4</v>
      </c>
      <c r="AS49" s="13"/>
      <c r="AT49" s="331"/>
      <c r="AU49" s="331"/>
      <c r="AV49" s="331"/>
      <c r="AW49" s="331"/>
      <c r="AX49" s="331"/>
      <c r="AY49" s="331"/>
      <c r="AZ49" s="331"/>
      <c r="BA49" s="331"/>
      <c r="BB49" s="331"/>
      <c r="BC49" s="331"/>
      <c r="BD49" s="331"/>
      <c r="BE49" s="331"/>
      <c r="BF49" s="331"/>
      <c r="BG49" s="331"/>
      <c r="BH49" s="331"/>
      <c r="BI49" s="331"/>
      <c r="BJ49" s="331"/>
      <c r="BK49" s="306"/>
    </row>
    <row r="50" ht="15.75" customHeight="1">
      <c r="A50" s="306"/>
      <c r="B50" s="306"/>
      <c r="C50" s="912"/>
      <c r="D50" s="906" t="s">
        <v>1243</v>
      </c>
      <c r="E50" s="914">
        <v>17.0</v>
      </c>
      <c r="F50" s="918">
        <v>35.0</v>
      </c>
      <c r="G50" s="920">
        <f t="shared" si="8"/>
        <v>595</v>
      </c>
      <c r="H50" s="923" t="s">
        <v>1244</v>
      </c>
      <c r="I50" s="923" t="s">
        <v>1244</v>
      </c>
      <c r="J50" s="251"/>
      <c r="K50" s="251"/>
      <c r="Q50" s="306"/>
      <c r="R50" s="306"/>
      <c r="S50" s="306"/>
      <c r="T50" s="306"/>
      <c r="U50" s="306"/>
      <c r="V50" s="306"/>
      <c r="W50" s="306"/>
      <c r="X50" s="898"/>
      <c r="Y50" s="898" t="s">
        <v>1245</v>
      </c>
      <c r="Z50" s="898">
        <v>1.0</v>
      </c>
      <c r="AA50" s="24"/>
      <c r="AB50" s="24"/>
      <c r="AC50" s="24"/>
      <c r="AD50" s="24"/>
      <c r="AE50" s="24"/>
      <c r="AF50" s="24"/>
      <c r="AI50" s="331"/>
      <c r="AJ50" s="333"/>
      <c r="AK50" s="333">
        <v>11.0</v>
      </c>
      <c r="AL50" s="333">
        <v>1.0</v>
      </c>
      <c r="AM50" s="333">
        <v>3.0</v>
      </c>
      <c r="AN50" s="333" t="s">
        <v>950</v>
      </c>
      <c r="AO50" s="333">
        <v>11.8</v>
      </c>
      <c r="AP50" s="333">
        <v>0.0</v>
      </c>
      <c r="AQ50" s="333">
        <f t="shared" si="9"/>
        <v>14.8</v>
      </c>
      <c r="AR50" s="663">
        <f t="shared" si="2"/>
        <v>29.6</v>
      </c>
      <c r="AS50" s="13"/>
      <c r="AT50" s="331"/>
      <c r="AU50" s="331"/>
      <c r="AV50" s="331"/>
      <c r="AW50" s="331"/>
      <c r="AX50" s="331"/>
      <c r="AY50" s="331"/>
      <c r="AZ50" s="331"/>
      <c r="BA50" s="331"/>
      <c r="BB50" s="331"/>
      <c r="BC50" s="331"/>
      <c r="BD50" s="331"/>
      <c r="BE50" s="331"/>
      <c r="BF50" s="331"/>
      <c r="BG50" s="331"/>
      <c r="BH50" s="331"/>
      <c r="BI50" s="331"/>
      <c r="BJ50" s="331"/>
      <c r="BK50" s="306"/>
    </row>
    <row r="51" ht="15.75" customHeight="1">
      <c r="A51" s="306"/>
      <c r="B51" s="306"/>
      <c r="C51" s="306"/>
      <c r="D51" s="933" t="s">
        <v>672</v>
      </c>
      <c r="E51" s="936">
        <v>14.0</v>
      </c>
      <c r="F51" s="937">
        <v>310.0</v>
      </c>
      <c r="G51" s="939">
        <f t="shared" si="8"/>
        <v>4340</v>
      </c>
      <c r="H51" s="941" t="s">
        <v>1248</v>
      </c>
      <c r="I51" s="941" t="s">
        <v>1252</v>
      </c>
      <c r="J51" s="943"/>
      <c r="L51" s="306"/>
      <c r="M51" s="306"/>
      <c r="Q51" s="306"/>
      <c r="R51" s="306"/>
      <c r="S51" s="306"/>
      <c r="T51" s="306"/>
      <c r="U51" s="306"/>
      <c r="V51" s="306"/>
      <c r="W51" s="306"/>
      <c r="X51" s="898"/>
      <c r="Y51" s="898" t="s">
        <v>48</v>
      </c>
      <c r="Z51" s="898">
        <v>1.0</v>
      </c>
      <c r="AA51" s="31"/>
      <c r="AB51" s="31"/>
      <c r="AC51" s="31"/>
      <c r="AD51" s="31"/>
      <c r="AE51" s="31"/>
      <c r="AF51" s="31"/>
      <c r="AI51" s="331"/>
      <c r="AJ51" s="333"/>
      <c r="AK51" s="333"/>
      <c r="AL51" s="333"/>
      <c r="AM51" s="333"/>
      <c r="AN51" s="333"/>
      <c r="AO51" s="333"/>
      <c r="AP51" s="333"/>
      <c r="AQ51" s="333"/>
      <c r="AR51" s="663">
        <f t="shared" si="2"/>
        <v>0</v>
      </c>
      <c r="AS51" s="13"/>
      <c r="AT51" s="331"/>
      <c r="AU51" s="331"/>
      <c r="AV51" s="331"/>
      <c r="AW51" s="331"/>
      <c r="AX51" s="331"/>
      <c r="AY51" s="331"/>
      <c r="AZ51" s="331"/>
      <c r="BA51" s="331"/>
      <c r="BB51" s="331"/>
      <c r="BC51" s="331"/>
      <c r="BD51" s="331"/>
      <c r="BE51" s="331"/>
      <c r="BF51" s="331"/>
      <c r="BG51" s="331"/>
      <c r="BH51" s="331"/>
      <c r="BI51" s="331"/>
      <c r="BJ51" s="331"/>
      <c r="BK51" s="306"/>
    </row>
    <row r="52" ht="15.75" customHeight="1">
      <c r="A52" s="306"/>
      <c r="B52" s="306"/>
      <c r="C52" s="306"/>
      <c r="D52" s="933" t="s">
        <v>677</v>
      </c>
      <c r="E52" s="951">
        <v>14.0</v>
      </c>
      <c r="F52" s="937">
        <v>110.0</v>
      </c>
      <c r="G52" s="939">
        <f t="shared" si="8"/>
        <v>1540</v>
      </c>
      <c r="H52" s="941" t="s">
        <v>1259</v>
      </c>
      <c r="I52" s="941" t="s">
        <v>1266</v>
      </c>
      <c r="J52" s="956"/>
      <c r="L52" s="306"/>
      <c r="M52" s="306"/>
      <c r="Q52" s="306"/>
      <c r="R52" s="306"/>
      <c r="S52" s="306"/>
      <c r="T52" s="306"/>
      <c r="U52" s="306"/>
      <c r="V52" s="306"/>
      <c r="W52" s="306"/>
      <c r="X52" s="957" t="s">
        <v>722</v>
      </c>
      <c r="Y52" s="957" t="s">
        <v>44</v>
      </c>
      <c r="Z52" s="957">
        <v>1.0</v>
      </c>
      <c r="AA52" s="359">
        <v>5.0</v>
      </c>
      <c r="AB52" s="614">
        <v>6.0</v>
      </c>
      <c r="AC52" s="361">
        <v>4.0</v>
      </c>
      <c r="AD52" s="361">
        <v>1.0</v>
      </c>
      <c r="AE52" s="362">
        <v>0.0</v>
      </c>
      <c r="AF52" s="361">
        <v>0.0</v>
      </c>
      <c r="AG52" s="331"/>
      <c r="AH52" s="331"/>
      <c r="AI52" s="331"/>
      <c r="AJ52" s="333" t="s">
        <v>644</v>
      </c>
      <c r="AK52" s="333" t="s">
        <v>762</v>
      </c>
      <c r="AL52" s="333">
        <f t="shared" ref="AL52:AM52" si="10">SUM(AL53:AL54)</f>
        <v>4</v>
      </c>
      <c r="AM52" s="333">
        <f t="shared" si="10"/>
        <v>6.85</v>
      </c>
      <c r="AN52" s="333"/>
      <c r="AO52" s="333"/>
      <c r="AP52" s="333"/>
      <c r="AQ52" s="333"/>
      <c r="AR52" s="663">
        <f t="shared" si="2"/>
        <v>6.85</v>
      </c>
      <c r="AS52" s="13"/>
      <c r="AT52" s="331"/>
      <c r="AU52" s="331"/>
      <c r="AV52" s="331"/>
      <c r="AW52" s="331"/>
      <c r="AX52" s="331"/>
      <c r="AY52" s="331"/>
      <c r="AZ52" s="331"/>
      <c r="BA52" s="331"/>
      <c r="BB52" s="331"/>
      <c r="BC52" s="331"/>
      <c r="BD52" s="331"/>
      <c r="BE52" s="331"/>
      <c r="BF52" s="331"/>
      <c r="BG52" s="331"/>
      <c r="BH52" s="331"/>
      <c r="BI52" s="331"/>
      <c r="BJ52" s="331"/>
      <c r="BK52" s="306"/>
    </row>
    <row r="53" ht="15.75" customHeight="1">
      <c r="A53" s="306"/>
      <c r="B53" s="306"/>
      <c r="C53" s="306"/>
      <c r="D53" s="960" t="s">
        <v>650</v>
      </c>
      <c r="E53" s="951">
        <v>14.0</v>
      </c>
      <c r="F53" s="937">
        <v>75.0</v>
      </c>
      <c r="G53" s="939">
        <f t="shared" si="8"/>
        <v>1050</v>
      </c>
      <c r="H53" s="941" t="s">
        <v>1295</v>
      </c>
      <c r="I53" s="941" t="s">
        <v>1299</v>
      </c>
      <c r="J53" s="943"/>
      <c r="L53" s="306"/>
      <c r="M53" s="306"/>
      <c r="Q53" s="306"/>
      <c r="R53" s="306"/>
      <c r="S53" s="306"/>
      <c r="T53" s="306"/>
      <c r="U53" s="306"/>
      <c r="V53" s="306"/>
      <c r="W53" s="306"/>
      <c r="X53" s="957"/>
      <c r="Y53" s="957" t="s">
        <v>45</v>
      </c>
      <c r="Z53" s="957">
        <v>1.0</v>
      </c>
      <c r="AA53" s="24"/>
      <c r="AB53" s="24"/>
      <c r="AC53" s="24"/>
      <c r="AD53" s="24"/>
      <c r="AE53" s="24"/>
      <c r="AF53" s="24"/>
      <c r="AG53" s="331"/>
      <c r="AH53" s="331"/>
      <c r="AI53" s="331"/>
      <c r="AJ53" s="333"/>
      <c r="AK53" s="333">
        <v>12.0</v>
      </c>
      <c r="AL53" s="333">
        <v>2.0</v>
      </c>
      <c r="AM53" s="333">
        <v>4.1</v>
      </c>
      <c r="AN53" s="333" t="s">
        <v>950</v>
      </c>
      <c r="AO53" s="333">
        <v>16.74</v>
      </c>
      <c r="AP53" s="333">
        <v>0.0</v>
      </c>
      <c r="AQ53" s="333">
        <f>SUM(AP53,AM52,AO53)</f>
        <v>23.59</v>
      </c>
      <c r="AR53" s="663">
        <f t="shared" si="2"/>
        <v>44.43</v>
      </c>
      <c r="AS53" s="13"/>
      <c r="AT53" s="331"/>
      <c r="AU53" s="331"/>
      <c r="AV53" s="331"/>
      <c r="AW53" s="331"/>
      <c r="AX53" s="331"/>
      <c r="AY53" s="331"/>
      <c r="AZ53" s="331"/>
      <c r="BA53" s="331"/>
      <c r="BB53" s="331"/>
      <c r="BC53" s="331"/>
      <c r="BD53" s="331"/>
      <c r="BE53" s="331"/>
      <c r="BF53" s="331"/>
      <c r="BG53" s="331"/>
      <c r="BH53" s="331"/>
      <c r="BI53" s="331"/>
      <c r="BJ53" s="331"/>
      <c r="BK53" s="306"/>
    </row>
    <row r="54" ht="15.75" customHeight="1">
      <c r="A54" s="306"/>
      <c r="B54" s="306"/>
      <c r="C54" s="306"/>
      <c r="D54" s="960" t="s">
        <v>663</v>
      </c>
      <c r="E54" s="951">
        <v>16.0</v>
      </c>
      <c r="F54" s="937">
        <v>290.0</v>
      </c>
      <c r="G54" s="939">
        <f t="shared" si="8"/>
        <v>4640</v>
      </c>
      <c r="H54" s="941" t="s">
        <v>1312</v>
      </c>
      <c r="I54" s="941" t="s">
        <v>1322</v>
      </c>
      <c r="J54" s="971" t="s">
        <v>669</v>
      </c>
      <c r="L54" s="306"/>
      <c r="M54" s="306"/>
      <c r="Q54" s="306"/>
      <c r="R54" s="306"/>
      <c r="S54" s="306"/>
      <c r="T54" s="306"/>
      <c r="U54" s="306"/>
      <c r="V54" s="306"/>
      <c r="W54" s="306"/>
      <c r="X54" s="957"/>
      <c r="Y54" s="957" t="s">
        <v>1328</v>
      </c>
      <c r="Z54" s="957">
        <v>1.0</v>
      </c>
      <c r="AA54" s="24"/>
      <c r="AB54" s="24"/>
      <c r="AC54" s="24"/>
      <c r="AD54" s="24"/>
      <c r="AE54" s="24"/>
      <c r="AF54" s="24"/>
      <c r="AG54" s="331"/>
      <c r="AH54" s="331"/>
      <c r="AI54" s="331"/>
      <c r="AJ54" s="333"/>
      <c r="AK54" s="333">
        <v>13.0</v>
      </c>
      <c r="AL54" s="333">
        <v>2.0</v>
      </c>
      <c r="AM54" s="333">
        <v>2.75</v>
      </c>
      <c r="AN54" s="333" t="s">
        <v>1330</v>
      </c>
      <c r="AO54" s="333">
        <v>16.74</v>
      </c>
      <c r="AP54" s="333">
        <v>2.4</v>
      </c>
      <c r="AQ54" s="333">
        <f>SUM(AP54,AM54,AO54)</f>
        <v>21.89</v>
      </c>
      <c r="AR54" s="663">
        <f t="shared" si="2"/>
        <v>43.78</v>
      </c>
      <c r="AS54" s="13"/>
      <c r="AT54" s="331"/>
      <c r="AU54" s="331"/>
      <c r="AV54" s="331"/>
      <c r="AW54" s="331"/>
      <c r="AX54" s="331"/>
      <c r="AY54" s="331"/>
      <c r="AZ54" s="331"/>
      <c r="BA54" s="331"/>
      <c r="BB54" s="331"/>
      <c r="BC54" s="331"/>
      <c r="BD54" s="331"/>
      <c r="BE54" s="331"/>
      <c r="BF54" s="331"/>
      <c r="BG54" s="331"/>
      <c r="BH54" s="331"/>
      <c r="BI54" s="331"/>
      <c r="BJ54" s="331"/>
      <c r="BK54" s="306"/>
    </row>
    <row r="55" ht="15.75" customHeight="1">
      <c r="A55" s="306"/>
      <c r="B55" s="306"/>
      <c r="C55" s="306"/>
      <c r="D55" s="979" t="s">
        <v>731</v>
      </c>
      <c r="E55" s="936">
        <v>2.0</v>
      </c>
      <c r="F55" s="981">
        <v>57.0</v>
      </c>
      <c r="G55" s="939">
        <f t="shared" si="8"/>
        <v>114</v>
      </c>
      <c r="H55" s="983" t="s">
        <v>732</v>
      </c>
      <c r="I55" s="985" t="s">
        <v>732</v>
      </c>
      <c r="J55" s="943"/>
      <c r="L55" s="306"/>
      <c r="M55" s="306"/>
      <c r="Q55" s="306"/>
      <c r="R55" s="306"/>
      <c r="S55" s="306"/>
      <c r="T55" s="306"/>
      <c r="U55" s="306"/>
      <c r="V55" s="306"/>
      <c r="W55" s="306"/>
      <c r="X55" s="957"/>
      <c r="Y55" s="957" t="s">
        <v>528</v>
      </c>
      <c r="Z55" s="957">
        <v>1.0</v>
      </c>
      <c r="AA55" s="24"/>
      <c r="AB55" s="24"/>
      <c r="AC55" s="24"/>
      <c r="AD55" s="24"/>
      <c r="AE55" s="24"/>
      <c r="AF55" s="24"/>
      <c r="AG55" s="331"/>
      <c r="AH55" s="331"/>
      <c r="AI55" s="331"/>
      <c r="AJ55" s="333"/>
      <c r="AK55" s="333"/>
      <c r="AL55" s="333"/>
      <c r="AM55" s="333"/>
      <c r="AN55" s="333"/>
      <c r="AO55" s="333"/>
      <c r="AP55" s="333"/>
      <c r="AQ55" s="333"/>
      <c r="AR55" s="663">
        <f t="shared" si="2"/>
        <v>0</v>
      </c>
      <c r="AS55" s="13"/>
      <c r="AT55" s="331"/>
      <c r="AU55" s="331"/>
      <c r="AV55" s="331"/>
      <c r="AW55" s="331"/>
      <c r="AX55" s="331"/>
      <c r="AY55" s="331"/>
      <c r="AZ55" s="331"/>
      <c r="BA55" s="331"/>
      <c r="BB55" s="331"/>
      <c r="BC55" s="331"/>
      <c r="BD55" s="331"/>
      <c r="BE55" s="331"/>
      <c r="BF55" s="331"/>
      <c r="BG55" s="331"/>
      <c r="BH55" s="331"/>
      <c r="BI55" s="331"/>
      <c r="BJ55" s="331"/>
      <c r="BK55" s="306"/>
    </row>
    <row r="56" ht="15.75" customHeight="1">
      <c r="A56" s="306"/>
      <c r="B56" s="306"/>
      <c r="C56" s="306"/>
      <c r="D56" s="990" t="s">
        <v>618</v>
      </c>
      <c r="E56" s="991">
        <v>20.0</v>
      </c>
      <c r="F56" s="992">
        <v>58.13</v>
      </c>
      <c r="G56" s="939">
        <f t="shared" si="8"/>
        <v>1162.6</v>
      </c>
      <c r="H56" s="996" t="s">
        <v>1382</v>
      </c>
      <c r="I56" s="996" t="s">
        <v>727</v>
      </c>
      <c r="J56" s="943"/>
      <c r="L56" s="306"/>
      <c r="M56" s="306"/>
      <c r="Q56" s="306"/>
      <c r="R56" s="306"/>
      <c r="S56" s="306"/>
      <c r="T56" s="306"/>
      <c r="U56" s="306"/>
      <c r="V56" s="306"/>
      <c r="W56" s="306"/>
      <c r="X56" s="957"/>
      <c r="Y56" s="957" t="s">
        <v>618</v>
      </c>
      <c r="Z56" s="957">
        <v>1.0</v>
      </c>
      <c r="AA56" s="24"/>
      <c r="AB56" s="24"/>
      <c r="AC56" s="24"/>
      <c r="AD56" s="24"/>
      <c r="AE56" s="24"/>
      <c r="AF56" s="24"/>
      <c r="AG56" s="331"/>
      <c r="AH56" s="331"/>
      <c r="AI56" s="331"/>
      <c r="AJ56" s="333" t="s">
        <v>671</v>
      </c>
      <c r="AK56" s="333" t="s">
        <v>762</v>
      </c>
      <c r="AL56" s="333">
        <v>2.0</v>
      </c>
      <c r="AM56" s="333">
        <v>7.25</v>
      </c>
      <c r="AN56" s="333"/>
      <c r="AO56" s="333"/>
      <c r="AP56" s="333"/>
      <c r="AQ56" s="333"/>
      <c r="AR56" s="663">
        <f t="shared" si="2"/>
        <v>7.25</v>
      </c>
      <c r="AS56" s="13"/>
      <c r="AT56" s="331"/>
      <c r="AU56" s="331"/>
      <c r="AV56" s="331"/>
      <c r="AW56" s="331"/>
      <c r="AX56" s="331"/>
      <c r="AY56" s="331"/>
      <c r="AZ56" s="331"/>
      <c r="BA56" s="331"/>
      <c r="BB56" s="331"/>
      <c r="BC56" s="331"/>
      <c r="BD56" s="331"/>
      <c r="BE56" s="331"/>
      <c r="BF56" s="331"/>
      <c r="BG56" s="331"/>
      <c r="BH56" s="331"/>
      <c r="BI56" s="331"/>
      <c r="BJ56" s="331"/>
      <c r="BK56" s="306"/>
    </row>
    <row r="57" ht="15.75" customHeight="1">
      <c r="A57" s="306"/>
      <c r="B57" s="306"/>
      <c r="C57" s="306"/>
      <c r="D57" s="990" t="s">
        <v>1245</v>
      </c>
      <c r="E57" s="936">
        <v>2.0</v>
      </c>
      <c r="F57" s="1009">
        <v>14.6</v>
      </c>
      <c r="G57" s="939">
        <f t="shared" si="8"/>
        <v>29.2</v>
      </c>
      <c r="H57" s="1011" t="s">
        <v>730</v>
      </c>
      <c r="I57" s="1011" t="s">
        <v>730</v>
      </c>
      <c r="J57" s="943"/>
      <c r="L57" s="306"/>
      <c r="M57" s="306"/>
      <c r="Q57" s="306"/>
      <c r="R57" s="306"/>
      <c r="S57" s="306"/>
      <c r="T57" s="306"/>
      <c r="U57" s="306"/>
      <c r="V57" s="306"/>
      <c r="W57" s="306"/>
      <c r="X57" s="957"/>
      <c r="Y57" s="957" t="s">
        <v>48</v>
      </c>
      <c r="Z57" s="957">
        <v>1.0</v>
      </c>
      <c r="AA57" s="31"/>
      <c r="AB57" s="31"/>
      <c r="AC57" s="31"/>
      <c r="AD57" s="31"/>
      <c r="AE57" s="31"/>
      <c r="AF57" s="31"/>
      <c r="AG57" s="331"/>
      <c r="AH57" s="331"/>
      <c r="AI57" s="331"/>
      <c r="AJ57" s="333"/>
      <c r="AK57" s="333">
        <v>14.0</v>
      </c>
      <c r="AL57" s="333">
        <v>2.0</v>
      </c>
      <c r="AM57" s="333">
        <v>7.25</v>
      </c>
      <c r="AN57" s="333" t="s">
        <v>950</v>
      </c>
      <c r="AO57" s="333">
        <v>17.04</v>
      </c>
      <c r="AP57" s="333">
        <v>0.0</v>
      </c>
      <c r="AQ57" s="333">
        <f>SUM(AP57,AM57,AO57)</f>
        <v>24.29</v>
      </c>
      <c r="AR57" s="663">
        <f t="shared" si="2"/>
        <v>48.58</v>
      </c>
      <c r="AS57" s="13"/>
      <c r="AT57" s="331"/>
      <c r="AU57" s="331"/>
      <c r="AV57" s="331"/>
      <c r="AW57" s="331"/>
      <c r="AX57" s="331"/>
      <c r="AY57" s="331"/>
      <c r="AZ57" s="331"/>
      <c r="BA57" s="331"/>
      <c r="BB57" s="331"/>
      <c r="BC57" s="331"/>
      <c r="BD57" s="331"/>
      <c r="BE57" s="331"/>
      <c r="BF57" s="331"/>
      <c r="BG57" s="331"/>
      <c r="BH57" s="331"/>
      <c r="BI57" s="331"/>
      <c r="BJ57" s="331"/>
      <c r="BK57" s="306"/>
    </row>
    <row r="58" ht="15.75" customHeight="1">
      <c r="A58" s="306"/>
      <c r="B58" s="306"/>
      <c r="C58" s="306"/>
      <c r="D58" s="1039" t="s">
        <v>656</v>
      </c>
      <c r="E58" s="1039">
        <v>1.0</v>
      </c>
      <c r="F58" s="1039" t="s">
        <v>1479</v>
      </c>
      <c r="G58" s="1040" t="s">
        <v>1479</v>
      </c>
      <c r="H58" s="1041" t="s">
        <v>1485</v>
      </c>
      <c r="I58" s="1043" t="s">
        <v>1491</v>
      </c>
      <c r="J58" s="1045"/>
      <c r="L58" s="306"/>
      <c r="M58" s="306"/>
      <c r="Q58" s="306"/>
      <c r="R58" s="306"/>
      <c r="S58" s="306"/>
      <c r="T58" s="306"/>
      <c r="U58" s="306"/>
      <c r="V58" s="306"/>
      <c r="W58" s="306"/>
      <c r="X58" s="1046" t="s">
        <v>738</v>
      </c>
      <c r="Y58" s="1046" t="s">
        <v>44</v>
      </c>
      <c r="Z58" s="1046">
        <v>1.0</v>
      </c>
      <c r="AA58" s="359">
        <v>5.0</v>
      </c>
      <c r="AB58" s="614">
        <v>6.0</v>
      </c>
      <c r="AC58" s="361">
        <v>4.0</v>
      </c>
      <c r="AD58" s="361">
        <v>1.0</v>
      </c>
      <c r="AE58" s="362">
        <v>0.0</v>
      </c>
      <c r="AF58" s="361">
        <v>0.0</v>
      </c>
      <c r="AG58" s="331"/>
      <c r="AH58" s="331"/>
      <c r="AI58" s="331"/>
      <c r="AJ58" s="333"/>
      <c r="AK58" s="333"/>
      <c r="AL58" s="333"/>
      <c r="AM58" s="333"/>
      <c r="AN58" s="333"/>
      <c r="AO58" s="333"/>
      <c r="AP58" s="1050"/>
      <c r="AQ58" s="333"/>
      <c r="AR58" s="663">
        <f t="shared" si="2"/>
        <v>0</v>
      </c>
      <c r="AS58" s="13"/>
      <c r="AT58" s="331"/>
      <c r="AU58" s="331"/>
      <c r="AV58" s="331"/>
      <c r="AW58" s="331"/>
      <c r="AX58" s="331"/>
      <c r="AY58" s="331"/>
      <c r="AZ58" s="331"/>
      <c r="BA58" s="331"/>
      <c r="BB58" s="331"/>
      <c r="BC58" s="331"/>
      <c r="BD58" s="331"/>
      <c r="BE58" s="331"/>
      <c r="BF58" s="331"/>
      <c r="BG58" s="331"/>
      <c r="BH58" s="331"/>
      <c r="BI58" s="331"/>
      <c r="BJ58" s="331"/>
      <c r="BK58" s="306"/>
    </row>
    <row r="59" ht="15.75" customHeight="1">
      <c r="A59" s="306"/>
      <c r="B59" s="306"/>
      <c r="C59" s="306"/>
      <c r="D59" s="1051" t="s">
        <v>682</v>
      </c>
      <c r="E59" s="936">
        <v>4.0</v>
      </c>
      <c r="F59" s="1052">
        <v>640.0</v>
      </c>
      <c r="G59" s="1053">
        <f t="shared" ref="G59:G87" si="12">E59*F59</f>
        <v>2560</v>
      </c>
      <c r="H59" s="941" t="s">
        <v>1515</v>
      </c>
      <c r="I59" s="941" t="s">
        <v>1520</v>
      </c>
      <c r="J59" s="943"/>
      <c r="L59" s="306"/>
      <c r="M59" s="306"/>
      <c r="Q59" s="306"/>
      <c r="R59" s="306"/>
      <c r="S59" s="306"/>
      <c r="T59" s="306"/>
      <c r="U59" s="306"/>
      <c r="V59" s="306"/>
      <c r="W59" s="306"/>
      <c r="X59" s="1046"/>
      <c r="Y59" s="1046" t="s">
        <v>45</v>
      </c>
      <c r="Z59" s="1046">
        <v>1.0</v>
      </c>
      <c r="AA59" s="24"/>
      <c r="AB59" s="24"/>
      <c r="AC59" s="24"/>
      <c r="AD59" s="24"/>
      <c r="AE59" s="24"/>
      <c r="AF59" s="24"/>
      <c r="AG59" s="331"/>
      <c r="AH59" s="331"/>
      <c r="AI59" s="331"/>
      <c r="AJ59" s="333" t="s">
        <v>707</v>
      </c>
      <c r="AK59" s="333" t="s">
        <v>762</v>
      </c>
      <c r="AL59" s="333">
        <f t="shared" ref="AL59:AM59" si="11">SUM(AL60:AL64)</f>
        <v>5</v>
      </c>
      <c r="AM59" s="333">
        <f t="shared" si="11"/>
        <v>8.3</v>
      </c>
      <c r="AN59" s="333"/>
      <c r="AO59" s="333"/>
      <c r="AP59" s="333"/>
      <c r="AQ59" s="333"/>
      <c r="AR59" s="663">
        <f t="shared" si="2"/>
        <v>8.3</v>
      </c>
      <c r="AS59" s="13"/>
      <c r="AT59" s="331"/>
      <c r="AU59" s="331"/>
      <c r="AV59" s="331"/>
      <c r="AW59" s="331"/>
      <c r="AX59" s="331"/>
      <c r="AY59" s="331"/>
      <c r="AZ59" s="331"/>
      <c r="BA59" s="331"/>
      <c r="BB59" s="331"/>
      <c r="BC59" s="331"/>
      <c r="BD59" s="331"/>
      <c r="BE59" s="331"/>
      <c r="BF59" s="331"/>
      <c r="BG59" s="331"/>
      <c r="BH59" s="331"/>
      <c r="BI59" s="331"/>
      <c r="BJ59" s="331"/>
      <c r="BK59" s="306"/>
    </row>
    <row r="60" ht="15.75" customHeight="1">
      <c r="A60" s="306"/>
      <c r="B60" s="306"/>
      <c r="C60" s="306"/>
      <c r="D60" s="960" t="s">
        <v>107</v>
      </c>
      <c r="E60" s="951">
        <v>26.0</v>
      </c>
      <c r="F60" s="937">
        <v>1.95</v>
      </c>
      <c r="G60" s="939">
        <f t="shared" si="12"/>
        <v>50.7</v>
      </c>
      <c r="H60" s="941" t="s">
        <v>1550</v>
      </c>
      <c r="I60" s="941" t="s">
        <v>1555</v>
      </c>
      <c r="J60" s="1060"/>
      <c r="L60" s="306"/>
      <c r="M60" s="306"/>
      <c r="N60" s="306"/>
      <c r="O60" s="306"/>
      <c r="P60" s="306"/>
      <c r="Q60" s="306"/>
      <c r="R60" s="306"/>
      <c r="S60" s="306"/>
      <c r="T60" s="306"/>
      <c r="U60" s="306"/>
      <c r="V60" s="306"/>
      <c r="W60" s="306"/>
      <c r="X60" s="1046"/>
      <c r="Y60" s="1046" t="s">
        <v>1328</v>
      </c>
      <c r="Z60" s="1046">
        <v>1.0</v>
      </c>
      <c r="AA60" s="24"/>
      <c r="AB60" s="24"/>
      <c r="AC60" s="24"/>
      <c r="AD60" s="24"/>
      <c r="AE60" s="24"/>
      <c r="AF60" s="24"/>
      <c r="AG60" s="331"/>
      <c r="AH60" s="331"/>
      <c r="AI60" s="331"/>
      <c r="AJ60" s="333"/>
      <c r="AK60" s="333">
        <v>15.0</v>
      </c>
      <c r="AL60" s="333">
        <v>1.0</v>
      </c>
      <c r="AM60" s="333">
        <v>2.2</v>
      </c>
      <c r="AN60" s="333" t="s">
        <v>950</v>
      </c>
      <c r="AO60" s="333">
        <v>30.5</v>
      </c>
      <c r="AP60" s="333">
        <v>0.0</v>
      </c>
      <c r="AQ60" s="333">
        <f t="shared" ref="AQ60:AQ64" si="13">SUM(AP60,AM60,AO60)</f>
        <v>32.7</v>
      </c>
      <c r="AR60" s="663">
        <f t="shared" si="2"/>
        <v>65.4</v>
      </c>
      <c r="AS60" s="13"/>
      <c r="AT60" s="331"/>
      <c r="AU60" s="331"/>
      <c r="AV60" s="331"/>
      <c r="AW60" s="331"/>
      <c r="AX60" s="331"/>
      <c r="AY60" s="331"/>
      <c r="AZ60" s="331"/>
      <c r="BA60" s="331"/>
      <c r="BB60" s="331"/>
      <c r="BC60" s="331"/>
      <c r="BD60" s="331"/>
      <c r="BE60" s="331"/>
      <c r="BF60" s="331"/>
      <c r="BG60" s="331"/>
      <c r="BH60" s="331"/>
      <c r="BI60" s="331"/>
      <c r="BJ60" s="331"/>
      <c r="BK60" s="306"/>
    </row>
    <row r="61" ht="15.75" customHeight="1">
      <c r="A61" s="306"/>
      <c r="B61" s="306"/>
      <c r="C61" s="306"/>
      <c r="D61" s="960" t="s">
        <v>616</v>
      </c>
      <c r="E61" s="951">
        <v>21.0</v>
      </c>
      <c r="F61" s="981">
        <v>4.13</v>
      </c>
      <c r="G61" s="939">
        <f t="shared" si="12"/>
        <v>86.73</v>
      </c>
      <c r="H61" s="1086" t="s">
        <v>619</v>
      </c>
      <c r="I61" s="1088" t="s">
        <v>620</v>
      </c>
      <c r="J61" s="1060"/>
      <c r="L61" s="306"/>
      <c r="M61" s="306"/>
      <c r="N61" s="306"/>
      <c r="O61" s="306"/>
      <c r="P61" s="306"/>
      <c r="Q61" s="306"/>
      <c r="R61" s="306"/>
      <c r="S61" s="306"/>
      <c r="T61" s="306"/>
      <c r="U61" s="306"/>
      <c r="V61" s="306"/>
      <c r="W61" s="306"/>
      <c r="X61" s="1046"/>
      <c r="Y61" s="1046" t="s">
        <v>528</v>
      </c>
      <c r="Z61" s="1046">
        <v>1.0</v>
      </c>
      <c r="AA61" s="24"/>
      <c r="AB61" s="24"/>
      <c r="AC61" s="24"/>
      <c r="AD61" s="24"/>
      <c r="AE61" s="24"/>
      <c r="AF61" s="24"/>
      <c r="AG61" s="331"/>
      <c r="AH61" s="331"/>
      <c r="AI61" s="331"/>
      <c r="AJ61" s="333"/>
      <c r="AK61" s="333">
        <v>16.0</v>
      </c>
      <c r="AL61" s="333">
        <v>1.0</v>
      </c>
      <c r="AM61" s="333">
        <v>1.0</v>
      </c>
      <c r="AN61" s="333" t="s">
        <v>950</v>
      </c>
      <c r="AO61" s="333">
        <v>18.45</v>
      </c>
      <c r="AP61" s="333">
        <v>0.0</v>
      </c>
      <c r="AQ61" s="333">
        <f t="shared" si="13"/>
        <v>19.45</v>
      </c>
      <c r="AR61" s="663">
        <f t="shared" si="2"/>
        <v>38.9</v>
      </c>
      <c r="AS61" s="13"/>
      <c r="AT61" s="331"/>
      <c r="AU61" s="331"/>
      <c r="AV61" s="331"/>
      <c r="AW61" s="331"/>
      <c r="AX61" s="331"/>
      <c r="AY61" s="331"/>
      <c r="AZ61" s="331"/>
      <c r="BA61" s="331"/>
      <c r="BB61" s="331"/>
      <c r="BC61" s="331"/>
      <c r="BD61" s="331"/>
      <c r="BE61" s="331"/>
      <c r="BF61" s="331"/>
      <c r="BG61" s="331"/>
      <c r="BH61" s="331"/>
      <c r="BI61" s="331"/>
      <c r="BJ61" s="331"/>
      <c r="BK61" s="306"/>
    </row>
    <row r="62" ht="15.75" customHeight="1">
      <c r="A62" s="306"/>
      <c r="B62" s="306"/>
      <c r="C62" s="306"/>
      <c r="D62" s="960" t="s">
        <v>110</v>
      </c>
      <c r="E62" s="951">
        <v>0.0</v>
      </c>
      <c r="F62" s="981">
        <v>4.47</v>
      </c>
      <c r="G62" s="939">
        <f t="shared" si="12"/>
        <v>0</v>
      </c>
      <c r="H62" s="1103" t="s">
        <v>627</v>
      </c>
      <c r="I62" s="1104" t="s">
        <v>627</v>
      </c>
      <c r="J62" s="1060"/>
      <c r="L62" s="306"/>
      <c r="M62" s="306"/>
      <c r="N62" s="306"/>
      <c r="O62" s="306"/>
      <c r="P62" s="306"/>
      <c r="Q62" s="306"/>
      <c r="R62" s="306"/>
      <c r="S62" s="306"/>
      <c r="T62" s="306"/>
      <c r="U62" s="306"/>
      <c r="V62" s="306"/>
      <c r="W62" s="306"/>
      <c r="X62" s="1046"/>
      <c r="Y62" s="1046" t="s">
        <v>618</v>
      </c>
      <c r="Z62" s="1046">
        <v>1.0</v>
      </c>
      <c r="AA62" s="24"/>
      <c r="AB62" s="24"/>
      <c r="AC62" s="24"/>
      <c r="AD62" s="24"/>
      <c r="AE62" s="24"/>
      <c r="AF62" s="24"/>
      <c r="AG62" s="331"/>
      <c r="AH62" s="331"/>
      <c r="AI62" s="331"/>
      <c r="AJ62" s="333"/>
      <c r="AK62" s="333">
        <v>17.0</v>
      </c>
      <c r="AL62" s="333">
        <v>1.0</v>
      </c>
      <c r="AM62" s="333">
        <v>1.5</v>
      </c>
      <c r="AN62" s="333" t="s">
        <v>950</v>
      </c>
      <c r="AO62" s="333">
        <v>1.7</v>
      </c>
      <c r="AP62" s="333">
        <v>0.0</v>
      </c>
      <c r="AQ62" s="333">
        <f t="shared" si="13"/>
        <v>3.2</v>
      </c>
      <c r="AR62" s="663">
        <f t="shared" si="2"/>
        <v>6.4</v>
      </c>
      <c r="AS62" s="13"/>
      <c r="AT62" s="331"/>
      <c r="AU62" s="331"/>
      <c r="AV62" s="331"/>
      <c r="AW62" s="331"/>
      <c r="AX62" s="331"/>
      <c r="AY62" s="331"/>
      <c r="AZ62" s="331"/>
      <c r="BA62" s="331"/>
      <c r="BB62" s="331"/>
      <c r="BC62" s="331"/>
      <c r="BD62" s="331"/>
      <c r="BE62" s="331"/>
      <c r="BF62" s="331"/>
      <c r="BG62" s="331"/>
      <c r="BH62" s="331"/>
      <c r="BI62" s="331"/>
      <c r="BJ62" s="331"/>
      <c r="BK62" s="306"/>
    </row>
    <row r="63" ht="15.75" customHeight="1">
      <c r="A63" s="306"/>
      <c r="B63" s="306"/>
      <c r="C63" s="306"/>
      <c r="D63" s="960" t="s">
        <v>112</v>
      </c>
      <c r="E63" s="951">
        <v>27.0</v>
      </c>
      <c r="F63" s="937">
        <v>2.4</v>
      </c>
      <c r="G63" s="939">
        <f t="shared" si="12"/>
        <v>64.8</v>
      </c>
      <c r="H63" s="941" t="s">
        <v>1676</v>
      </c>
      <c r="I63" s="941" t="s">
        <v>1683</v>
      </c>
      <c r="J63" s="1123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1046"/>
      <c r="Y63" s="1046" t="s">
        <v>48</v>
      </c>
      <c r="Z63" s="1046">
        <v>1.0</v>
      </c>
      <c r="AA63" s="31"/>
      <c r="AB63" s="31"/>
      <c r="AC63" s="31"/>
      <c r="AD63" s="31"/>
      <c r="AE63" s="31"/>
      <c r="AF63" s="31"/>
      <c r="AG63" s="331"/>
      <c r="AH63" s="331"/>
      <c r="AI63" s="331"/>
      <c r="AJ63" s="333"/>
      <c r="AK63" s="333">
        <v>18.0</v>
      </c>
      <c r="AL63" s="333">
        <v>1.0</v>
      </c>
      <c r="AM63" s="333">
        <v>1.0</v>
      </c>
      <c r="AN63" s="333" t="s">
        <v>950</v>
      </c>
      <c r="AO63" s="333">
        <v>13.34</v>
      </c>
      <c r="AP63" s="333">
        <v>0.0</v>
      </c>
      <c r="AQ63" s="333">
        <f t="shared" si="13"/>
        <v>14.34</v>
      </c>
      <c r="AR63" s="663">
        <f t="shared" si="2"/>
        <v>28.68</v>
      </c>
      <c r="AS63" s="13"/>
      <c r="AT63" s="331"/>
      <c r="AU63" s="331"/>
      <c r="AV63" s="331"/>
      <c r="AW63" s="331"/>
      <c r="AX63" s="331"/>
      <c r="AY63" s="331"/>
      <c r="AZ63" s="331"/>
      <c r="BA63" s="331"/>
      <c r="BB63" s="331"/>
      <c r="BC63" s="331"/>
      <c r="BD63" s="331"/>
      <c r="BE63" s="331"/>
      <c r="BF63" s="331"/>
      <c r="BG63" s="331"/>
      <c r="BH63" s="331"/>
      <c r="BI63" s="331"/>
      <c r="BJ63" s="331"/>
      <c r="BK63" s="306"/>
    </row>
    <row r="64" ht="15.75" customHeight="1">
      <c r="A64" s="306"/>
      <c r="B64" s="306"/>
      <c r="C64" s="306"/>
      <c r="D64" s="960" t="s">
        <v>113</v>
      </c>
      <c r="E64" s="951">
        <v>10.0</v>
      </c>
      <c r="F64" s="937">
        <v>2.5</v>
      </c>
      <c r="G64" s="939">
        <f t="shared" si="12"/>
        <v>25</v>
      </c>
      <c r="H64" s="941" t="s">
        <v>1745</v>
      </c>
      <c r="I64" s="941" t="s">
        <v>1748</v>
      </c>
      <c r="J64" s="1060"/>
      <c r="L64" s="306"/>
      <c r="M64" s="306"/>
      <c r="N64" s="306"/>
      <c r="O64" s="306"/>
      <c r="P64" s="306"/>
      <c r="Q64" s="306"/>
      <c r="R64" s="306"/>
      <c r="S64" s="306"/>
      <c r="T64" s="306"/>
      <c r="U64" s="306"/>
      <c r="V64" s="306"/>
      <c r="W64" s="306"/>
      <c r="X64" s="1145" t="s">
        <v>865</v>
      </c>
      <c r="Y64" s="1146" t="s">
        <v>1760</v>
      </c>
      <c r="Z64" s="1146">
        <v>1.0</v>
      </c>
      <c r="AA64" s="359">
        <v>8.0</v>
      </c>
      <c r="AB64" s="614">
        <v>12.0</v>
      </c>
      <c r="AC64" s="361">
        <v>6.0</v>
      </c>
      <c r="AD64" s="361">
        <v>3.0</v>
      </c>
      <c r="AE64" s="362">
        <v>0.0</v>
      </c>
      <c r="AF64" s="361">
        <v>0.0</v>
      </c>
      <c r="AG64" s="331"/>
      <c r="AH64" s="331"/>
      <c r="AI64" s="331"/>
      <c r="AJ64" s="333"/>
      <c r="AK64" s="333">
        <v>19.0</v>
      </c>
      <c r="AL64" s="333">
        <v>1.0</v>
      </c>
      <c r="AM64" s="333">
        <v>2.6</v>
      </c>
      <c r="AN64" s="333" t="s">
        <v>950</v>
      </c>
      <c r="AO64" s="333">
        <v>25.43</v>
      </c>
      <c r="AP64" s="333">
        <v>0.0</v>
      </c>
      <c r="AQ64" s="333">
        <f t="shared" si="13"/>
        <v>28.03</v>
      </c>
      <c r="AR64" s="663">
        <f t="shared" si="2"/>
        <v>56.06</v>
      </c>
      <c r="AS64" s="13"/>
      <c r="AT64" s="331"/>
      <c r="AU64" s="331"/>
      <c r="AV64" s="331"/>
      <c r="AW64" s="331"/>
      <c r="AX64" s="331"/>
      <c r="AY64" s="331"/>
      <c r="AZ64" s="331"/>
      <c r="BA64" s="331"/>
      <c r="BB64" s="331"/>
      <c r="BC64" s="331"/>
      <c r="BD64" s="331"/>
      <c r="BE64" s="331"/>
      <c r="BF64" s="331"/>
      <c r="BG64" s="331"/>
      <c r="BH64" s="331"/>
      <c r="BI64" s="331"/>
      <c r="BJ64" s="331"/>
      <c r="BK64" s="306"/>
    </row>
    <row r="65" ht="15.75" customHeight="1">
      <c r="A65" s="306"/>
      <c r="B65" s="306"/>
      <c r="C65" s="306"/>
      <c r="D65" s="1154" t="s">
        <v>734</v>
      </c>
      <c r="E65" s="991">
        <v>29.0</v>
      </c>
      <c r="F65" s="992">
        <v>6.35</v>
      </c>
      <c r="G65" s="939">
        <f t="shared" si="12"/>
        <v>184.15</v>
      </c>
      <c r="H65" s="996"/>
      <c r="I65" s="996" t="s">
        <v>746</v>
      </c>
      <c r="J65" s="1060"/>
      <c r="L65" s="1163"/>
      <c r="M65" s="306"/>
      <c r="N65" s="306"/>
      <c r="O65" s="306"/>
      <c r="P65" s="306"/>
      <c r="Q65" s="306"/>
      <c r="R65" s="306"/>
      <c r="S65" s="306"/>
      <c r="T65" s="306"/>
      <c r="U65" s="306"/>
      <c r="V65" s="306"/>
      <c r="W65" s="306"/>
      <c r="X65" s="1145"/>
      <c r="Y65" s="1146" t="s">
        <v>1810</v>
      </c>
      <c r="Z65" s="1146">
        <v>1.0</v>
      </c>
      <c r="AA65" s="24"/>
      <c r="AB65" s="24"/>
      <c r="AC65" s="24"/>
      <c r="AD65" s="24"/>
      <c r="AE65" s="24"/>
      <c r="AF65" s="24"/>
      <c r="AG65" s="331"/>
      <c r="AH65" s="331"/>
      <c r="AI65" s="331"/>
      <c r="AJ65" s="333"/>
      <c r="AK65" s="333"/>
      <c r="AL65" s="333"/>
      <c r="AM65" s="333"/>
      <c r="AN65" s="333"/>
      <c r="AO65" s="333"/>
      <c r="AP65" s="333"/>
      <c r="AQ65" s="333"/>
      <c r="AR65" s="663">
        <f t="shared" si="2"/>
        <v>0</v>
      </c>
      <c r="AS65" s="13"/>
      <c r="AT65" s="331"/>
      <c r="AU65" s="331"/>
      <c r="AV65" s="331"/>
      <c r="AW65" s="331"/>
      <c r="AX65" s="331"/>
      <c r="AY65" s="331"/>
      <c r="AZ65" s="331"/>
      <c r="BA65" s="331"/>
      <c r="BB65" s="331"/>
      <c r="BC65" s="331"/>
      <c r="BD65" s="331"/>
      <c r="BE65" s="331"/>
      <c r="BF65" s="331"/>
      <c r="BG65" s="331"/>
      <c r="BH65" s="331"/>
      <c r="BI65" s="331"/>
      <c r="BJ65" s="331"/>
      <c r="BK65" s="306"/>
    </row>
    <row r="66" ht="15.75" customHeight="1">
      <c r="A66" s="306"/>
      <c r="B66" s="306"/>
      <c r="C66" s="306"/>
      <c r="D66" s="960" t="s">
        <v>391</v>
      </c>
      <c r="E66" s="951">
        <v>11.0</v>
      </c>
      <c r="F66" s="937">
        <v>1.65</v>
      </c>
      <c r="G66" s="939">
        <f t="shared" si="12"/>
        <v>18.15</v>
      </c>
      <c r="H66" s="1173"/>
      <c r="I66" s="941" t="s">
        <v>1884</v>
      </c>
      <c r="J66" s="1060"/>
      <c r="L66" s="1177"/>
      <c r="M66" s="306"/>
      <c r="N66" s="306"/>
      <c r="O66" s="306"/>
      <c r="P66" s="306"/>
      <c r="Q66" s="306"/>
      <c r="R66" s="306"/>
      <c r="S66" s="306"/>
      <c r="T66" s="306"/>
      <c r="U66" s="306"/>
      <c r="V66" s="306"/>
      <c r="W66" s="306"/>
      <c r="X66" s="1146"/>
      <c r="Y66" s="1145" t="s">
        <v>1885</v>
      </c>
      <c r="Z66" s="1146">
        <v>1.0</v>
      </c>
      <c r="AA66" s="24"/>
      <c r="AB66" s="24"/>
      <c r="AC66" s="24"/>
      <c r="AD66" s="24"/>
      <c r="AE66" s="24"/>
      <c r="AF66" s="24"/>
      <c r="AG66" s="331"/>
      <c r="AH66" s="331"/>
      <c r="AI66" s="331"/>
      <c r="AJ66" s="333" t="s">
        <v>717</v>
      </c>
      <c r="AK66" s="333" t="s">
        <v>762</v>
      </c>
      <c r="AL66" s="333">
        <v>4.0</v>
      </c>
      <c r="AM66" s="333"/>
      <c r="AN66" s="333"/>
      <c r="AO66" s="333"/>
      <c r="AP66" s="333"/>
      <c r="AQ66" s="333"/>
      <c r="AR66" s="663">
        <f t="shared" si="2"/>
        <v>0</v>
      </c>
      <c r="AS66" s="13"/>
      <c r="AT66" s="331"/>
      <c r="AU66" s="331"/>
      <c r="AV66" s="331"/>
      <c r="AW66" s="331"/>
      <c r="AX66" s="331"/>
      <c r="AY66" s="331"/>
      <c r="AZ66" s="331"/>
      <c r="BA66" s="331"/>
      <c r="BB66" s="331"/>
      <c r="BC66" s="331"/>
      <c r="BD66" s="331"/>
      <c r="BE66" s="331"/>
      <c r="BF66" s="331"/>
      <c r="BG66" s="331"/>
      <c r="BH66" s="331"/>
      <c r="BI66" s="331"/>
      <c r="BJ66" s="331"/>
      <c r="BK66" s="306"/>
    </row>
    <row r="67" ht="15.75" customHeight="1">
      <c r="A67" s="306"/>
      <c r="B67" s="306"/>
      <c r="C67" s="306"/>
      <c r="D67" s="960" t="s">
        <v>609</v>
      </c>
      <c r="E67" s="951">
        <v>5.0</v>
      </c>
      <c r="F67" s="937">
        <v>9.0</v>
      </c>
      <c r="G67" s="939">
        <f t="shared" si="12"/>
        <v>45</v>
      </c>
      <c r="H67" s="1182"/>
      <c r="I67" s="941" t="s">
        <v>1902</v>
      </c>
      <c r="J67" s="1060"/>
      <c r="L67" s="285"/>
      <c r="M67" s="306"/>
      <c r="N67" s="306"/>
      <c r="O67" s="306"/>
      <c r="P67" s="306"/>
      <c r="Q67" s="306"/>
      <c r="R67" s="306"/>
      <c r="S67" s="306"/>
      <c r="T67" s="306"/>
      <c r="U67" s="306"/>
      <c r="V67" s="306"/>
      <c r="W67" s="306"/>
      <c r="X67" s="1145"/>
      <c r="Y67" s="1146" t="s">
        <v>1907</v>
      </c>
      <c r="Z67" s="1146">
        <v>1.0</v>
      </c>
      <c r="AA67" s="24"/>
      <c r="AB67" s="24"/>
      <c r="AC67" s="24"/>
      <c r="AD67" s="24"/>
      <c r="AE67" s="24"/>
      <c r="AF67" s="24"/>
      <c r="AG67" s="331"/>
      <c r="AH67" s="331"/>
      <c r="AI67" s="331"/>
      <c r="AJ67" s="333"/>
      <c r="AK67" s="333">
        <v>20.0</v>
      </c>
      <c r="AL67" s="333"/>
      <c r="AM67" s="333">
        <v>2.72</v>
      </c>
      <c r="AN67" s="333"/>
      <c r="AO67" s="333"/>
      <c r="AP67" s="333"/>
      <c r="AQ67" s="333">
        <f>SUM(AP67,AM67,AO67)</f>
        <v>2.72</v>
      </c>
      <c r="AR67" s="663">
        <f t="shared" si="2"/>
        <v>5.44</v>
      </c>
      <c r="AS67" s="13"/>
      <c r="AT67" s="331"/>
      <c r="AU67" s="331"/>
      <c r="AV67" s="331"/>
      <c r="AW67" s="331"/>
      <c r="AX67" s="331"/>
      <c r="AY67" s="331"/>
      <c r="AZ67" s="331"/>
      <c r="BA67" s="331"/>
      <c r="BB67" s="331"/>
      <c r="BC67" s="331"/>
      <c r="BD67" s="331"/>
      <c r="BE67" s="331"/>
      <c r="BF67" s="331"/>
      <c r="BG67" s="331"/>
      <c r="BH67" s="331"/>
      <c r="BI67" s="331"/>
      <c r="BJ67" s="331"/>
      <c r="BK67" s="306"/>
    </row>
    <row r="68" ht="15.75" customHeight="1">
      <c r="A68" s="306"/>
      <c r="B68" s="306"/>
      <c r="C68" s="306"/>
      <c r="D68" s="951" t="s">
        <v>1452</v>
      </c>
      <c r="E68" s="1183">
        <v>10.0</v>
      </c>
      <c r="F68" s="1184">
        <v>0.16</v>
      </c>
      <c r="G68" s="939">
        <f t="shared" si="12"/>
        <v>1.6</v>
      </c>
      <c r="H68" s="1187" t="s">
        <v>1939</v>
      </c>
      <c r="I68" s="1187" t="s">
        <v>1943</v>
      </c>
      <c r="J68" s="1060"/>
      <c r="L68" s="1177"/>
      <c r="M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1145"/>
      <c r="Y68" s="1146" t="s">
        <v>1944</v>
      </c>
      <c r="Z68" s="1146">
        <v>1.0</v>
      </c>
      <c r="AA68" s="24"/>
      <c r="AB68" s="24"/>
      <c r="AC68" s="24"/>
      <c r="AD68" s="24"/>
      <c r="AE68" s="24"/>
      <c r="AF68" s="24"/>
      <c r="AG68" s="331"/>
      <c r="AH68" s="331"/>
      <c r="AI68" s="331"/>
      <c r="AJ68" s="333"/>
      <c r="AK68" s="333"/>
      <c r="AL68" s="333"/>
      <c r="AM68" s="333"/>
      <c r="AN68" s="333"/>
      <c r="AO68" s="333"/>
      <c r="AP68" s="333"/>
      <c r="AQ68" s="333"/>
      <c r="AR68" s="663">
        <f t="shared" si="2"/>
        <v>0</v>
      </c>
      <c r="AS68" s="13"/>
      <c r="AT68" s="331"/>
      <c r="AU68" s="331"/>
      <c r="AV68" s="331"/>
      <c r="AW68" s="331"/>
      <c r="AX68" s="331"/>
      <c r="AY68" s="331"/>
      <c r="AZ68" s="331"/>
      <c r="BA68" s="331"/>
      <c r="BB68" s="331"/>
      <c r="BC68" s="331"/>
      <c r="BD68" s="331"/>
      <c r="BE68" s="331"/>
      <c r="BF68" s="331"/>
      <c r="BG68" s="331"/>
      <c r="BH68" s="331"/>
      <c r="BI68" s="331"/>
      <c r="BJ68" s="331"/>
      <c r="BK68" s="306"/>
    </row>
    <row r="69" ht="15.75" customHeight="1">
      <c r="A69" s="306"/>
      <c r="B69" s="306"/>
      <c r="C69" s="306"/>
      <c r="D69" s="951" t="s">
        <v>1468</v>
      </c>
      <c r="E69" s="1183">
        <v>4.0</v>
      </c>
      <c r="F69" s="1184">
        <v>1.34</v>
      </c>
      <c r="G69" s="939">
        <f t="shared" si="12"/>
        <v>5.36</v>
      </c>
      <c r="H69" s="1187" t="s">
        <v>1939</v>
      </c>
      <c r="I69" s="1187" t="s">
        <v>1956</v>
      </c>
      <c r="J69" s="1060"/>
      <c r="L69" s="1193"/>
      <c r="M69" s="306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1145"/>
      <c r="Y69" s="1146" t="s">
        <v>1958</v>
      </c>
      <c r="Z69" s="1146">
        <v>1.0</v>
      </c>
      <c r="AA69" s="24"/>
      <c r="AB69" s="24"/>
      <c r="AC69" s="24"/>
      <c r="AD69" s="24"/>
      <c r="AE69" s="24"/>
      <c r="AF69" s="24"/>
      <c r="AG69" s="331"/>
      <c r="AH69" s="331"/>
      <c r="AI69" s="331"/>
      <c r="AJ69" s="333" t="s">
        <v>685</v>
      </c>
      <c r="AK69" s="333" t="s">
        <v>762</v>
      </c>
      <c r="AL69" s="333">
        <v>4.0</v>
      </c>
      <c r="AM69" s="333"/>
      <c r="AN69" s="333"/>
      <c r="AO69" s="333"/>
      <c r="AP69" s="333"/>
      <c r="AQ69" s="333"/>
      <c r="AR69" s="663">
        <f t="shared" si="2"/>
        <v>0</v>
      </c>
      <c r="AS69" s="13"/>
      <c r="AT69" s="331"/>
      <c r="AU69" s="331"/>
      <c r="AV69" s="331"/>
      <c r="AW69" s="331"/>
      <c r="AX69" s="331"/>
      <c r="AY69" s="331"/>
      <c r="AZ69" s="331"/>
      <c r="BA69" s="331"/>
      <c r="BB69" s="331"/>
      <c r="BC69" s="331"/>
      <c r="BD69" s="331"/>
      <c r="BE69" s="331"/>
      <c r="BF69" s="331"/>
      <c r="BG69" s="331"/>
      <c r="BH69" s="331"/>
      <c r="BI69" s="331"/>
      <c r="BJ69" s="331"/>
      <c r="BK69" s="306"/>
    </row>
    <row r="70" ht="15.75" customHeight="1">
      <c r="A70" s="306"/>
      <c r="B70" s="306"/>
      <c r="C70" s="306"/>
      <c r="D70" s="1194" t="s">
        <v>1963</v>
      </c>
      <c r="E70" s="1183">
        <v>2.0</v>
      </c>
      <c r="F70" s="1184">
        <v>1.5</v>
      </c>
      <c r="G70" s="939">
        <f t="shared" si="12"/>
        <v>3</v>
      </c>
      <c r="H70" s="1187" t="s">
        <v>1939</v>
      </c>
      <c r="I70" s="1195" t="s">
        <v>1964</v>
      </c>
      <c r="J70" s="1060"/>
      <c r="L70" s="1196"/>
      <c r="M70" s="306"/>
      <c r="N70" s="306"/>
      <c r="O70" s="306"/>
      <c r="P70" s="306"/>
      <c r="Q70" s="306"/>
      <c r="R70" s="306"/>
      <c r="S70" s="306"/>
      <c r="T70" s="306"/>
      <c r="U70" s="306"/>
      <c r="V70" s="306"/>
      <c r="W70" s="306"/>
      <c r="X70" s="1145"/>
      <c r="Y70" s="1146" t="s">
        <v>1966</v>
      </c>
      <c r="Z70" s="1146">
        <v>1.0</v>
      </c>
      <c r="AA70" s="24"/>
      <c r="AB70" s="24"/>
      <c r="AC70" s="24"/>
      <c r="AD70" s="24"/>
      <c r="AE70" s="24"/>
      <c r="AF70" s="24"/>
      <c r="AG70" s="331"/>
      <c r="AH70" s="331"/>
      <c r="AI70" s="331"/>
      <c r="AJ70" s="333"/>
      <c r="AK70" s="333" t="s">
        <v>1968</v>
      </c>
      <c r="AL70" s="333">
        <v>3.0</v>
      </c>
      <c r="AM70" s="333">
        <v>0.6</v>
      </c>
      <c r="AN70" s="333" t="s">
        <v>1330</v>
      </c>
      <c r="AO70" s="333">
        <v>1.4</v>
      </c>
      <c r="AP70" s="333"/>
      <c r="AQ70" s="333"/>
      <c r="AR70" s="663">
        <f t="shared" si="2"/>
        <v>2</v>
      </c>
      <c r="AS70" s="13"/>
      <c r="AT70" s="331"/>
      <c r="AU70" s="331"/>
      <c r="AV70" s="331"/>
      <c r="AW70" s="331"/>
      <c r="AX70" s="331"/>
      <c r="AY70" s="331"/>
      <c r="AZ70" s="331"/>
      <c r="BA70" s="331"/>
      <c r="BB70" s="331"/>
      <c r="BC70" s="331"/>
      <c r="BD70" s="331"/>
      <c r="BE70" s="331"/>
      <c r="BF70" s="331"/>
      <c r="BG70" s="331"/>
      <c r="BH70" s="331"/>
      <c r="BI70" s="331"/>
      <c r="BJ70" s="331"/>
      <c r="BK70" s="306"/>
    </row>
    <row r="71" ht="15.75" customHeight="1">
      <c r="A71" s="306"/>
      <c r="B71" s="306"/>
      <c r="C71" s="306"/>
      <c r="D71" s="1199" t="s">
        <v>1977</v>
      </c>
      <c r="E71" s="1183">
        <v>5.0</v>
      </c>
      <c r="F71" s="1200">
        <v>0.2</v>
      </c>
      <c r="G71" s="939">
        <f t="shared" si="12"/>
        <v>1</v>
      </c>
      <c r="H71" s="1187" t="s">
        <v>1980</v>
      </c>
      <c r="I71" s="1187" t="s">
        <v>1981</v>
      </c>
      <c r="J71" s="1060"/>
      <c r="L71" s="1201"/>
      <c r="M71" s="306"/>
      <c r="N71" s="306"/>
      <c r="O71" s="306"/>
      <c r="P71" s="306"/>
      <c r="Q71" s="306"/>
      <c r="R71" s="306"/>
      <c r="S71" s="306"/>
      <c r="T71" s="306"/>
      <c r="U71" s="306"/>
      <c r="V71" s="306"/>
      <c r="W71" s="306"/>
      <c r="X71" s="1145"/>
      <c r="Y71" s="1146" t="s">
        <v>1982</v>
      </c>
      <c r="Z71" s="1146">
        <v>1.0</v>
      </c>
      <c r="AA71" s="24"/>
      <c r="AB71" s="24"/>
      <c r="AC71" s="24"/>
      <c r="AD71" s="24"/>
      <c r="AE71" s="24"/>
      <c r="AF71" s="24"/>
      <c r="AG71" s="331"/>
      <c r="AH71" s="331"/>
      <c r="AI71" s="331"/>
      <c r="AJ71" s="333"/>
      <c r="AK71" s="333">
        <v>21.0</v>
      </c>
      <c r="AL71" s="333">
        <v>1.0</v>
      </c>
      <c r="AM71" s="333">
        <v>2.06</v>
      </c>
      <c r="AN71" s="333" t="s">
        <v>950</v>
      </c>
      <c r="AO71" s="333"/>
      <c r="AP71" s="333">
        <v>0.0</v>
      </c>
      <c r="AQ71" s="333">
        <f>SUM(AP71,AM71,AO70,AM70)</f>
        <v>4.06</v>
      </c>
      <c r="AR71" s="663">
        <f t="shared" si="2"/>
        <v>6.12</v>
      </c>
      <c r="AS71" s="13"/>
      <c r="AT71" s="331"/>
      <c r="AU71" s="331"/>
      <c r="AV71" s="331"/>
      <c r="AW71" s="331"/>
      <c r="AX71" s="331"/>
      <c r="AY71" s="331"/>
      <c r="AZ71" s="331"/>
      <c r="BA71" s="331"/>
      <c r="BB71" s="331"/>
      <c r="BC71" s="331"/>
      <c r="BD71" s="331"/>
      <c r="BE71" s="331"/>
      <c r="BF71" s="331"/>
      <c r="BG71" s="331"/>
      <c r="BH71" s="331"/>
      <c r="BI71" s="331"/>
      <c r="BJ71" s="331"/>
      <c r="BK71" s="306"/>
    </row>
    <row r="72" ht="15.75" customHeight="1">
      <c r="A72" s="306"/>
      <c r="B72" s="306"/>
      <c r="C72" s="306"/>
      <c r="D72" s="1199" t="s">
        <v>1983</v>
      </c>
      <c r="E72" s="1199">
        <v>1.0</v>
      </c>
      <c r="F72" s="1202">
        <v>1.12</v>
      </c>
      <c r="G72" s="939">
        <f t="shared" si="12"/>
        <v>1.12</v>
      </c>
      <c r="H72" s="1187" t="s">
        <v>1984</v>
      </c>
      <c r="I72" s="1187" t="s">
        <v>1985</v>
      </c>
      <c r="J72" s="1060"/>
      <c r="L72" s="1201"/>
      <c r="M72" s="306"/>
      <c r="N72" s="306"/>
      <c r="O72" s="306"/>
      <c r="P72" s="306"/>
      <c r="Q72" s="306"/>
      <c r="R72" s="306"/>
      <c r="S72" s="306"/>
      <c r="T72" s="306"/>
      <c r="U72" s="306"/>
      <c r="V72" s="306"/>
      <c r="W72" s="306"/>
      <c r="X72" s="1145"/>
      <c r="Y72" s="1146" t="s">
        <v>726</v>
      </c>
      <c r="Z72" s="1146">
        <v>1.0</v>
      </c>
      <c r="AA72" s="24"/>
      <c r="AB72" s="24"/>
      <c r="AC72" s="24"/>
      <c r="AD72" s="24"/>
      <c r="AE72" s="24"/>
      <c r="AF72" s="24"/>
      <c r="AG72" s="331"/>
      <c r="AH72" s="331"/>
      <c r="AI72" s="331"/>
      <c r="AJ72" s="333"/>
      <c r="AK72" s="333">
        <v>22.0</v>
      </c>
      <c r="AL72" s="333">
        <v>1.0</v>
      </c>
      <c r="AM72" s="333">
        <v>0.0</v>
      </c>
      <c r="AN72" s="333">
        <v>0.0</v>
      </c>
      <c r="AO72" s="333"/>
      <c r="AP72" s="333">
        <v>1.4</v>
      </c>
      <c r="AQ72" s="333">
        <f>SUM(AP72,AM72,AO70,AM70)</f>
        <v>3.4</v>
      </c>
      <c r="AR72" s="663">
        <f t="shared" si="2"/>
        <v>4.8</v>
      </c>
      <c r="AS72" s="13"/>
      <c r="AT72" s="331"/>
      <c r="AU72" s="331"/>
      <c r="AV72" s="331"/>
      <c r="AW72" s="331"/>
      <c r="AX72" s="331"/>
      <c r="AY72" s="331"/>
      <c r="AZ72" s="331"/>
      <c r="BA72" s="331"/>
      <c r="BB72" s="331"/>
      <c r="BC72" s="331"/>
      <c r="BD72" s="331"/>
      <c r="BE72" s="331"/>
      <c r="BF72" s="331"/>
      <c r="BG72" s="331"/>
      <c r="BH72" s="331"/>
      <c r="BI72" s="331"/>
      <c r="BJ72" s="331"/>
      <c r="BK72" s="306"/>
    </row>
    <row r="73" ht="15.75" customHeight="1">
      <c r="A73" s="306"/>
      <c r="B73" s="306"/>
      <c r="C73" s="306"/>
      <c r="D73" s="1199" t="s">
        <v>1986</v>
      </c>
      <c r="E73" s="1183">
        <v>18.0</v>
      </c>
      <c r="F73" s="1184">
        <v>2.84</v>
      </c>
      <c r="G73" s="939">
        <f t="shared" si="12"/>
        <v>51.12</v>
      </c>
      <c r="H73" s="1187" t="s">
        <v>1987</v>
      </c>
      <c r="I73" s="1187" t="s">
        <v>1987</v>
      </c>
      <c r="J73" s="1060"/>
      <c r="L73" s="1196"/>
      <c r="M73" s="306"/>
      <c r="N73" s="306"/>
      <c r="O73" s="306"/>
      <c r="P73" s="306"/>
      <c r="Q73" s="306"/>
      <c r="R73" s="306"/>
      <c r="S73" s="306"/>
      <c r="T73" s="306"/>
      <c r="U73" s="306"/>
      <c r="V73" s="306"/>
      <c r="W73" s="306"/>
      <c r="X73" s="1145"/>
      <c r="Y73" s="1146" t="s">
        <v>1988</v>
      </c>
      <c r="Z73" s="1146">
        <v>1.0</v>
      </c>
      <c r="AA73" s="24"/>
      <c r="AB73" s="24"/>
      <c r="AC73" s="24"/>
      <c r="AD73" s="24"/>
      <c r="AE73" s="24"/>
      <c r="AF73" s="24"/>
      <c r="AG73" s="331"/>
      <c r="AH73" s="331"/>
      <c r="AI73" s="331"/>
      <c r="AJ73" s="333"/>
      <c r="AK73" s="333">
        <v>23.0</v>
      </c>
      <c r="AL73" s="333">
        <v>1.0</v>
      </c>
      <c r="AM73" s="333">
        <v>0.41</v>
      </c>
      <c r="AN73" s="333" t="s">
        <v>950</v>
      </c>
      <c r="AO73" s="333"/>
      <c r="AP73" s="333">
        <v>0.0</v>
      </c>
      <c r="AQ73" s="333">
        <f>SUM(AP73,AM73,AO70,AM70)</f>
        <v>2.41</v>
      </c>
      <c r="AR73" s="663">
        <f t="shared" si="2"/>
        <v>2.82</v>
      </c>
      <c r="AS73" s="13"/>
      <c r="AT73" s="331"/>
      <c r="AU73" s="331"/>
      <c r="AV73" s="331"/>
      <c r="AW73" s="331"/>
      <c r="AX73" s="331"/>
      <c r="AY73" s="331"/>
      <c r="AZ73" s="331"/>
      <c r="BA73" s="331"/>
      <c r="BB73" s="331"/>
      <c r="BC73" s="331"/>
      <c r="BD73" s="331"/>
      <c r="BE73" s="331"/>
      <c r="BF73" s="331"/>
      <c r="BG73" s="331"/>
      <c r="BH73" s="331"/>
      <c r="BI73" s="331"/>
      <c r="BJ73" s="331"/>
      <c r="BK73" s="306"/>
    </row>
    <row r="74" ht="15.75" customHeight="1">
      <c r="A74" s="306"/>
      <c r="B74" s="306"/>
      <c r="C74" s="306"/>
      <c r="D74" s="990" t="s">
        <v>528</v>
      </c>
      <c r="E74" s="936">
        <v>3.0</v>
      </c>
      <c r="F74" s="1203">
        <v>366.0</v>
      </c>
      <c r="G74" s="939">
        <f t="shared" si="12"/>
        <v>1098</v>
      </c>
      <c r="H74" s="1204" t="s">
        <v>1989</v>
      </c>
      <c r="I74" s="1204" t="s">
        <v>1989</v>
      </c>
      <c r="J74" s="1060"/>
      <c r="L74" s="1196"/>
      <c r="M74" s="306"/>
      <c r="N74" s="306"/>
      <c r="O74" s="306"/>
      <c r="P74" s="306"/>
      <c r="Q74" s="306"/>
      <c r="R74" s="306"/>
      <c r="S74" s="306"/>
      <c r="T74" s="306"/>
      <c r="U74" s="306"/>
      <c r="V74" s="306"/>
      <c r="W74" s="306"/>
      <c r="X74" s="1145"/>
      <c r="Y74" s="1146" t="s">
        <v>1990</v>
      </c>
      <c r="Z74" s="1146">
        <v>1.0</v>
      </c>
      <c r="AA74" s="24"/>
      <c r="AB74" s="24"/>
      <c r="AC74" s="24"/>
      <c r="AD74" s="24"/>
      <c r="AE74" s="24"/>
      <c r="AF74" s="24"/>
      <c r="AG74" s="331"/>
      <c r="AH74" s="331"/>
      <c r="AI74" s="331"/>
      <c r="AJ74" s="333"/>
      <c r="AK74" s="333">
        <v>24.0</v>
      </c>
      <c r="AL74" s="333">
        <v>1.0</v>
      </c>
      <c r="AM74" s="333">
        <v>1.05</v>
      </c>
      <c r="AN74" s="333" t="s">
        <v>950</v>
      </c>
      <c r="AO74" s="333"/>
      <c r="AP74" s="333">
        <v>0.0</v>
      </c>
      <c r="AQ74" s="333">
        <f>SUM(AP74,AM74,AO70,AM70)</f>
        <v>3.05</v>
      </c>
      <c r="AR74" s="663">
        <f t="shared" si="2"/>
        <v>4.1</v>
      </c>
      <c r="AS74" s="13"/>
      <c r="AT74" s="331"/>
      <c r="AU74" s="331"/>
      <c r="AV74" s="331"/>
      <c r="AW74" s="331"/>
      <c r="AX74" s="331"/>
      <c r="AY74" s="331"/>
      <c r="AZ74" s="331"/>
      <c r="BA74" s="331"/>
      <c r="BB74" s="331"/>
      <c r="BC74" s="331"/>
      <c r="BD74" s="331"/>
      <c r="BE74" s="331"/>
      <c r="BF74" s="331"/>
      <c r="BG74" s="331"/>
      <c r="BH74" s="331"/>
      <c r="BI74" s="331"/>
      <c r="BJ74" s="331"/>
      <c r="BK74" s="306"/>
    </row>
    <row r="75" ht="15.75" customHeight="1">
      <c r="A75" s="306"/>
      <c r="B75" s="306"/>
      <c r="C75" s="306"/>
      <c r="D75" s="990" t="s">
        <v>872</v>
      </c>
      <c r="E75" s="1205">
        <v>1.0</v>
      </c>
      <c r="F75" s="1203">
        <v>1421.0</v>
      </c>
      <c r="G75" s="939">
        <f t="shared" si="12"/>
        <v>1421</v>
      </c>
      <c r="H75" s="1204" t="s">
        <v>1991</v>
      </c>
      <c r="I75" s="1204" t="s">
        <v>1991</v>
      </c>
      <c r="J75" s="943"/>
      <c r="L75" s="306"/>
      <c r="M75" s="306"/>
      <c r="N75" s="306"/>
      <c r="O75" s="306"/>
      <c r="P75" s="306"/>
      <c r="Q75" s="306"/>
      <c r="R75" s="306"/>
      <c r="S75" s="306"/>
      <c r="T75" s="306"/>
      <c r="U75" s="306"/>
      <c r="V75" s="306"/>
      <c r="W75" s="306"/>
      <c r="X75" s="1145"/>
      <c r="Y75" s="1146" t="s">
        <v>733</v>
      </c>
      <c r="Z75" s="1146">
        <v>1.0</v>
      </c>
      <c r="AA75" s="31"/>
      <c r="AB75" s="31"/>
      <c r="AC75" s="31"/>
      <c r="AD75" s="31"/>
      <c r="AE75" s="31"/>
      <c r="AF75" s="31"/>
      <c r="AG75" s="331"/>
      <c r="AH75" s="331"/>
      <c r="AI75" s="331"/>
      <c r="AJ75" s="331"/>
      <c r="AK75" s="331"/>
      <c r="AL75" s="331"/>
      <c r="AM75" s="331"/>
      <c r="AN75" s="331"/>
      <c r="AO75" s="331"/>
      <c r="AP75" s="331"/>
      <c r="AQ75" s="331"/>
      <c r="AR75" s="663">
        <f>SUM(AR31:AS74)</f>
        <v>962.753</v>
      </c>
      <c r="AS75" s="13"/>
      <c r="AT75" s="331"/>
      <c r="AU75" s="331"/>
      <c r="AV75" s="331"/>
      <c r="AW75" s="331"/>
      <c r="AX75" s="331"/>
      <c r="AY75" s="331"/>
      <c r="AZ75" s="331"/>
      <c r="BA75" s="331"/>
      <c r="BB75" s="331"/>
      <c r="BC75" s="331"/>
      <c r="BD75" s="331"/>
      <c r="BE75" s="331"/>
      <c r="BF75" s="331"/>
      <c r="BG75" s="331"/>
      <c r="BH75" s="331"/>
      <c r="BI75" s="331"/>
      <c r="BJ75" s="331"/>
      <c r="BK75" s="306"/>
    </row>
    <row r="76" ht="15.75" customHeight="1">
      <c r="A76" s="306"/>
      <c r="B76" s="306"/>
      <c r="C76" s="306"/>
      <c r="D76" s="990" t="s">
        <v>1328</v>
      </c>
      <c r="E76" s="936">
        <v>10.0</v>
      </c>
      <c r="F76" s="1203">
        <v>185.0</v>
      </c>
      <c r="G76" s="939">
        <f t="shared" si="12"/>
        <v>1850</v>
      </c>
      <c r="H76" s="1204" t="s">
        <v>1992</v>
      </c>
      <c r="I76" s="1204" t="s">
        <v>1992</v>
      </c>
      <c r="J76" s="943"/>
      <c r="L76" s="306"/>
      <c r="M76" s="306"/>
      <c r="N76" s="306"/>
      <c r="O76" s="306"/>
      <c r="P76" s="306"/>
      <c r="Q76" s="306"/>
      <c r="R76" s="306"/>
      <c r="S76" s="306"/>
      <c r="T76" s="306"/>
      <c r="U76" s="306"/>
      <c r="V76" s="306"/>
      <c r="W76" s="306"/>
      <c r="X76" s="1206" t="s">
        <v>880</v>
      </c>
      <c r="Y76" s="1207" t="s">
        <v>1993</v>
      </c>
      <c r="Z76" s="1207">
        <v>1.0</v>
      </c>
      <c r="AA76" s="359">
        <v>10.0</v>
      </c>
      <c r="AB76" s="614">
        <v>15.0</v>
      </c>
      <c r="AC76" s="361">
        <v>7.0</v>
      </c>
      <c r="AD76" s="361">
        <v>4.0</v>
      </c>
      <c r="AE76" s="362">
        <v>0.0</v>
      </c>
      <c r="AF76" s="361">
        <v>0.0</v>
      </c>
      <c r="AG76" s="331"/>
      <c r="AH76" s="331"/>
      <c r="AI76" s="331"/>
      <c r="AJ76" s="331"/>
      <c r="AK76" s="331"/>
      <c r="AL76" s="331"/>
      <c r="AM76" s="331"/>
      <c r="AN76" s="331"/>
      <c r="AO76" s="331"/>
      <c r="AP76" s="331"/>
      <c r="AQ76" s="331"/>
      <c r="AR76" s="331"/>
      <c r="AS76" s="331"/>
      <c r="AT76" s="331"/>
      <c r="AU76" s="331"/>
      <c r="AV76" s="331"/>
      <c r="AW76" s="331"/>
      <c r="AX76" s="331"/>
      <c r="AY76" s="331"/>
      <c r="AZ76" s="331"/>
      <c r="BA76" s="331"/>
      <c r="BB76" s="331"/>
      <c r="BC76" s="331"/>
      <c r="BD76" s="331"/>
      <c r="BE76" s="331"/>
      <c r="BF76" s="331"/>
      <c r="BG76" s="331"/>
      <c r="BH76" s="331"/>
      <c r="BI76" s="331"/>
      <c r="BJ76" s="331"/>
      <c r="BK76" s="306"/>
    </row>
    <row r="77" ht="15.75" customHeight="1">
      <c r="A77" s="306"/>
      <c r="B77" s="306"/>
      <c r="C77" s="306"/>
      <c r="D77" s="1208" t="s">
        <v>1760</v>
      </c>
      <c r="E77" s="1205">
        <v>1.0</v>
      </c>
      <c r="F77" s="1203">
        <v>349.17</v>
      </c>
      <c r="G77" s="939">
        <f t="shared" si="12"/>
        <v>349.17</v>
      </c>
      <c r="H77" s="943"/>
      <c r="I77" s="1204" t="s">
        <v>1994</v>
      </c>
      <c r="J77" s="943"/>
      <c r="L77" s="306"/>
      <c r="M77" s="306"/>
      <c r="N77" s="306"/>
      <c r="O77" s="306"/>
      <c r="P77" s="306"/>
      <c r="Q77" s="306"/>
      <c r="R77" s="306"/>
      <c r="S77" s="306"/>
      <c r="T77" s="306"/>
      <c r="U77" s="306"/>
      <c r="V77" s="306"/>
      <c r="W77" s="306"/>
      <c r="X77" s="1206"/>
      <c r="Y77" s="1207" t="s">
        <v>1995</v>
      </c>
      <c r="Z77" s="1207">
        <v>1.0</v>
      </c>
      <c r="AA77" s="24"/>
      <c r="AB77" s="24"/>
      <c r="AC77" s="24"/>
      <c r="AD77" s="24"/>
      <c r="AE77" s="24"/>
      <c r="AF77" s="24"/>
      <c r="AG77" s="331"/>
      <c r="AH77" s="331"/>
      <c r="AI77" s="331"/>
      <c r="AJ77" s="331"/>
      <c r="AK77" s="331"/>
      <c r="AL77" s="331"/>
      <c r="AM77" s="331"/>
      <c r="AN77" s="331"/>
      <c r="AO77" s="331"/>
      <c r="AP77" s="331"/>
      <c r="AQ77" s="331"/>
      <c r="AR77" s="331"/>
      <c r="AS77" s="331"/>
      <c r="AT77" s="331"/>
      <c r="AU77" s="331"/>
      <c r="AV77" s="331"/>
      <c r="AW77" s="331"/>
      <c r="AX77" s="331"/>
      <c r="AY77" s="331"/>
      <c r="AZ77" s="331"/>
      <c r="BA77" s="331"/>
      <c r="BB77" s="331"/>
      <c r="BC77" s="331"/>
      <c r="BD77" s="331"/>
      <c r="BE77" s="331"/>
      <c r="BF77" s="331"/>
      <c r="BG77" s="331"/>
      <c r="BH77" s="331"/>
      <c r="BI77" s="331"/>
      <c r="BJ77" s="331"/>
      <c r="BK77" s="306"/>
    </row>
    <row r="78" ht="15.75" customHeight="1">
      <c r="A78" s="306"/>
      <c r="B78" s="306"/>
      <c r="C78" s="306"/>
      <c r="D78" s="1208" t="s">
        <v>1810</v>
      </c>
      <c r="E78" s="1205">
        <v>1.0</v>
      </c>
      <c r="F78" s="1203">
        <v>349.17</v>
      </c>
      <c r="G78" s="939">
        <f t="shared" si="12"/>
        <v>349.17</v>
      </c>
      <c r="H78" s="943"/>
      <c r="I78" s="1204" t="s">
        <v>1994</v>
      </c>
      <c r="J78" s="943"/>
      <c r="L78" s="306"/>
      <c r="M78" s="306"/>
      <c r="N78" s="306"/>
      <c r="O78" s="306"/>
      <c r="P78" s="306"/>
      <c r="Q78" s="306"/>
      <c r="R78" s="306"/>
      <c r="S78" s="306"/>
      <c r="T78" s="306"/>
      <c r="U78" s="306"/>
      <c r="V78" s="306"/>
      <c r="W78" s="306"/>
      <c r="X78" s="1206"/>
      <c r="Y78" s="1209" t="s">
        <v>1996</v>
      </c>
      <c r="Z78" s="1207">
        <v>1.0</v>
      </c>
      <c r="AA78" s="24"/>
      <c r="AB78" s="24"/>
      <c r="AC78" s="24"/>
      <c r="AD78" s="24"/>
      <c r="AE78" s="24"/>
      <c r="AF78" s="24"/>
      <c r="AG78" s="331"/>
      <c r="AH78" s="331"/>
      <c r="AI78" s="331"/>
      <c r="AJ78" s="333"/>
      <c r="AK78" s="335" t="s">
        <v>563</v>
      </c>
      <c r="AL78" s="12"/>
      <c r="AM78" s="13"/>
      <c r="AN78" s="335" t="s">
        <v>565</v>
      </c>
      <c r="AO78" s="13"/>
      <c r="AP78" s="333"/>
      <c r="AQ78" s="335" t="s">
        <v>569</v>
      </c>
      <c r="AR78" s="13"/>
      <c r="AS78" s="335" t="s">
        <v>571</v>
      </c>
      <c r="AT78" s="12"/>
      <c r="AU78" s="12"/>
      <c r="AV78" s="13"/>
      <c r="AW78" s="335" t="s">
        <v>574</v>
      </c>
      <c r="AX78" s="13"/>
      <c r="AY78" s="333" t="s">
        <v>575</v>
      </c>
      <c r="AZ78" s="333" t="s">
        <v>576</v>
      </c>
      <c r="BA78" s="333"/>
      <c r="BB78" s="1210"/>
      <c r="BC78" s="335" t="s">
        <v>577</v>
      </c>
      <c r="BD78" s="13"/>
      <c r="BE78" s="331"/>
      <c r="BF78" s="331"/>
      <c r="BG78" s="331"/>
      <c r="BH78" s="331"/>
      <c r="BI78" s="331"/>
      <c r="BJ78" s="331"/>
      <c r="BK78" s="306"/>
    </row>
    <row r="79" ht="15.75" customHeight="1">
      <c r="A79" s="306"/>
      <c r="B79" s="306"/>
      <c r="C79" s="306"/>
      <c r="D79" s="990" t="s">
        <v>1885</v>
      </c>
      <c r="E79" s="1205">
        <v>1.0</v>
      </c>
      <c r="F79" s="1203">
        <v>349.17</v>
      </c>
      <c r="G79" s="939">
        <f t="shared" si="12"/>
        <v>349.17</v>
      </c>
      <c r="H79" s="943"/>
      <c r="I79" s="1204" t="s">
        <v>1994</v>
      </c>
      <c r="J79" s="943"/>
      <c r="L79" s="306"/>
      <c r="M79" s="306"/>
      <c r="N79" s="306"/>
      <c r="O79" s="306"/>
      <c r="P79" s="306"/>
      <c r="Q79" s="306"/>
      <c r="R79" s="306"/>
      <c r="S79" s="306"/>
      <c r="T79" s="306"/>
      <c r="U79" s="306"/>
      <c r="V79" s="306"/>
      <c r="W79" s="306"/>
      <c r="X79" s="1206"/>
      <c r="Y79" s="1207" t="s">
        <v>1997</v>
      </c>
      <c r="Z79" s="1207">
        <v>1.0</v>
      </c>
      <c r="AA79" s="24"/>
      <c r="AB79" s="24"/>
      <c r="AC79" s="24"/>
      <c r="AD79" s="24"/>
      <c r="AE79" s="24"/>
      <c r="AF79" s="24"/>
      <c r="AG79" s="331"/>
      <c r="AH79" s="331"/>
      <c r="AI79" s="331"/>
      <c r="AJ79" s="333"/>
      <c r="AK79" s="333"/>
      <c r="AL79" s="333"/>
      <c r="AM79" s="333"/>
      <c r="AN79" s="333"/>
      <c r="AO79" s="333"/>
      <c r="AP79" s="333"/>
      <c r="AQ79" s="333"/>
      <c r="AR79" s="333"/>
      <c r="AS79" s="333" t="s">
        <v>582</v>
      </c>
      <c r="AT79" s="333"/>
      <c r="AU79" s="333" t="s">
        <v>583</v>
      </c>
      <c r="AV79" s="333"/>
      <c r="AW79" s="333" t="s">
        <v>582</v>
      </c>
      <c r="AX79" s="333" t="s">
        <v>583</v>
      </c>
      <c r="AY79" s="333" t="s">
        <v>583</v>
      </c>
      <c r="AZ79" s="333" t="s">
        <v>582</v>
      </c>
      <c r="BA79" s="333" t="s">
        <v>585</v>
      </c>
      <c r="BB79" s="364"/>
      <c r="BC79" s="364" t="s">
        <v>587</v>
      </c>
      <c r="BD79" s="333"/>
      <c r="BE79" s="1211"/>
      <c r="BF79" s="1211"/>
      <c r="BG79" s="331"/>
      <c r="BH79" s="331"/>
      <c r="BI79" s="331"/>
      <c r="BJ79" s="331"/>
      <c r="BK79" s="306"/>
    </row>
    <row r="80" ht="15.75" customHeight="1">
      <c r="A80" s="306"/>
      <c r="B80" s="306"/>
      <c r="C80" s="306"/>
      <c r="D80" s="1212" t="s">
        <v>1998</v>
      </c>
      <c r="E80" s="936">
        <v>3.0</v>
      </c>
      <c r="F80" s="1203">
        <v>7800.0</v>
      </c>
      <c r="G80" s="939">
        <f t="shared" si="12"/>
        <v>23400</v>
      </c>
      <c r="H80" s="1204" t="s">
        <v>1999</v>
      </c>
      <c r="I80" s="1204" t="s">
        <v>1999</v>
      </c>
      <c r="J80" s="943"/>
      <c r="L80" s="306"/>
      <c r="M80" s="306"/>
      <c r="N80" s="306"/>
      <c r="O80" s="306"/>
      <c r="P80" s="306"/>
      <c r="Q80" s="306"/>
      <c r="R80" s="306"/>
      <c r="S80" s="306"/>
      <c r="T80" s="306"/>
      <c r="U80" s="306"/>
      <c r="V80" s="306"/>
      <c r="W80" s="306"/>
      <c r="X80" s="1206"/>
      <c r="Y80" s="1207" t="s">
        <v>2000</v>
      </c>
      <c r="Z80" s="1207">
        <v>1.0</v>
      </c>
      <c r="AA80" s="24"/>
      <c r="AB80" s="24"/>
      <c r="AC80" s="24"/>
      <c r="AD80" s="24"/>
      <c r="AE80" s="24"/>
      <c r="AF80" s="24"/>
      <c r="AG80" s="331"/>
      <c r="AH80" s="331"/>
      <c r="AI80" s="331"/>
      <c r="AJ80" s="321" t="s">
        <v>38</v>
      </c>
      <c r="AK80" s="321" t="s">
        <v>379</v>
      </c>
      <c r="AL80" s="321" t="s">
        <v>593</v>
      </c>
      <c r="AM80" s="321" t="s">
        <v>383</v>
      </c>
      <c r="AN80" s="321" t="s">
        <v>559</v>
      </c>
      <c r="AO80" s="322" t="s">
        <v>560</v>
      </c>
      <c r="AP80" s="321" t="s">
        <v>115</v>
      </c>
      <c r="AQ80" s="321" t="s">
        <v>594</v>
      </c>
      <c r="AR80" s="321" t="s">
        <v>2001</v>
      </c>
      <c r="AS80" s="321" t="s">
        <v>595</v>
      </c>
      <c r="AT80" s="321" t="s">
        <v>118</v>
      </c>
      <c r="AU80" s="321" t="s">
        <v>597</v>
      </c>
      <c r="AV80" s="321" t="s">
        <v>118</v>
      </c>
      <c r="AW80" s="321" t="s">
        <v>598</v>
      </c>
      <c r="AX80" s="321" t="s">
        <v>599</v>
      </c>
      <c r="AY80" s="321" t="s">
        <v>599</v>
      </c>
      <c r="AZ80" s="321" t="s">
        <v>600</v>
      </c>
      <c r="BA80" s="321" t="s">
        <v>601</v>
      </c>
      <c r="BB80" s="321"/>
      <c r="BC80" s="321" t="s">
        <v>604</v>
      </c>
      <c r="BD80" s="321" t="s">
        <v>118</v>
      </c>
      <c r="BE80" s="1213"/>
      <c r="BF80" s="1213"/>
      <c r="BG80" s="331"/>
      <c r="BH80" s="331"/>
      <c r="BI80" s="331"/>
      <c r="BJ80" s="331"/>
      <c r="BK80" s="306"/>
    </row>
    <row r="81" ht="15.75" customHeight="1">
      <c r="A81" s="306"/>
      <c r="B81" s="306"/>
      <c r="C81" s="306"/>
      <c r="D81" s="1212" t="s">
        <v>2002</v>
      </c>
      <c r="E81" s="936">
        <v>5.0</v>
      </c>
      <c r="F81" s="1203">
        <v>9900.0</v>
      </c>
      <c r="G81" s="939">
        <f t="shared" si="12"/>
        <v>49500</v>
      </c>
      <c r="H81" s="1204" t="s">
        <v>2003</v>
      </c>
      <c r="I81" s="1204" t="s">
        <v>2003</v>
      </c>
      <c r="J81" s="943"/>
      <c r="L81" s="306"/>
      <c r="M81" s="306"/>
      <c r="N81" s="306"/>
      <c r="O81" s="306"/>
      <c r="P81" s="306"/>
      <c r="Q81" s="306"/>
      <c r="R81" s="306"/>
      <c r="S81" s="306"/>
      <c r="T81" s="306"/>
      <c r="U81" s="306"/>
      <c r="V81" s="306"/>
      <c r="W81" s="306"/>
      <c r="X81" s="1206"/>
      <c r="Y81" s="1207" t="s">
        <v>2004</v>
      </c>
      <c r="Z81" s="1207">
        <v>1.0</v>
      </c>
      <c r="AA81" s="24"/>
      <c r="AB81" s="24"/>
      <c r="AC81" s="24"/>
      <c r="AD81" s="24"/>
      <c r="AE81" s="24"/>
      <c r="AF81" s="24"/>
      <c r="AG81" s="331"/>
      <c r="AH81" s="331"/>
      <c r="AI81" s="331"/>
      <c r="AJ81" s="333" t="s">
        <v>722</v>
      </c>
      <c r="AK81" s="333">
        <v>2.0</v>
      </c>
      <c r="AL81" s="333">
        <v>4.0</v>
      </c>
      <c r="AM81" s="333">
        <v>0.0</v>
      </c>
      <c r="AN81" s="333">
        <v>4.0</v>
      </c>
      <c r="AO81" s="333">
        <v>1.0</v>
      </c>
      <c r="AP81" s="333">
        <v>6.0</v>
      </c>
      <c r="AQ81" s="333">
        <v>3.0</v>
      </c>
      <c r="AR81" s="396">
        <v>1.0</v>
      </c>
      <c r="AS81" s="333">
        <v>3.0</v>
      </c>
      <c r="AT81" s="333">
        <v>5.3</v>
      </c>
      <c r="AU81" s="333">
        <v>4.0</v>
      </c>
      <c r="AV81" s="333">
        <v>6.9</v>
      </c>
      <c r="AW81" s="333">
        <v>2.0</v>
      </c>
      <c r="AX81" s="333">
        <v>0.0</v>
      </c>
      <c r="AY81" s="333">
        <v>0.0</v>
      </c>
      <c r="AZ81" s="333">
        <v>0.0</v>
      </c>
      <c r="BA81" s="333">
        <v>0.0</v>
      </c>
      <c r="BB81" s="333"/>
      <c r="BC81" s="396">
        <v>17.0</v>
      </c>
      <c r="BD81" s="396">
        <v>49.95</v>
      </c>
      <c r="BE81" s="1213"/>
      <c r="BF81" s="1211"/>
      <c r="BG81" s="331"/>
      <c r="BH81" s="331"/>
      <c r="BI81" s="331"/>
      <c r="BJ81" s="331"/>
      <c r="BK81" s="306"/>
    </row>
    <row r="82" ht="15.75" customHeight="1">
      <c r="A82" s="306"/>
      <c r="B82" s="306"/>
      <c r="C82" s="306"/>
      <c r="D82" s="1212" t="s">
        <v>2005</v>
      </c>
      <c r="E82" s="936">
        <v>3.0</v>
      </c>
      <c r="F82" s="1203">
        <v>9900.0</v>
      </c>
      <c r="G82" s="939">
        <f t="shared" si="12"/>
        <v>29700</v>
      </c>
      <c r="H82" s="1204" t="s">
        <v>2003</v>
      </c>
      <c r="I82" s="1204" t="s">
        <v>2003</v>
      </c>
      <c r="J82" s="943"/>
      <c r="L82" s="306"/>
      <c r="M82" s="306"/>
      <c r="N82" s="306"/>
      <c r="O82" s="306"/>
      <c r="P82" s="306"/>
      <c r="Q82" s="306"/>
      <c r="R82" s="306"/>
      <c r="S82" s="306"/>
      <c r="T82" s="306"/>
      <c r="U82" s="306"/>
      <c r="V82" s="306"/>
      <c r="W82" s="306"/>
      <c r="X82" s="1206"/>
      <c r="Y82" s="1207" t="s">
        <v>2006</v>
      </c>
      <c r="Z82" s="1207">
        <v>1.0</v>
      </c>
      <c r="AA82" s="24"/>
      <c r="AB82" s="24"/>
      <c r="AC82" s="24"/>
      <c r="AD82" s="24"/>
      <c r="AE82" s="24"/>
      <c r="AF82" s="24"/>
      <c r="AG82" s="331"/>
      <c r="AH82" s="331"/>
      <c r="AI82" s="331"/>
      <c r="AJ82" s="333"/>
      <c r="AK82" s="333"/>
      <c r="AL82" s="333"/>
      <c r="AM82" s="333"/>
      <c r="AN82" s="333"/>
      <c r="AO82" s="333"/>
      <c r="AP82" s="333"/>
      <c r="AQ82" s="333"/>
      <c r="AR82" s="24"/>
      <c r="AS82" s="333"/>
      <c r="AT82" s="333"/>
      <c r="AU82" s="333"/>
      <c r="AV82" s="333"/>
      <c r="AW82" s="333"/>
      <c r="AX82" s="333"/>
      <c r="AY82" s="333"/>
      <c r="AZ82" s="333"/>
      <c r="BA82" s="333"/>
      <c r="BB82" s="333"/>
      <c r="BC82" s="24"/>
      <c r="BD82" s="24"/>
      <c r="BE82" s="1211"/>
      <c r="BF82" s="1211"/>
      <c r="BG82" s="331"/>
      <c r="BH82" s="331"/>
      <c r="BI82" s="331"/>
      <c r="BJ82" s="331"/>
      <c r="BK82" s="306"/>
    </row>
    <row r="83" ht="15.75" customHeight="1">
      <c r="A83" s="306"/>
      <c r="B83" s="306"/>
      <c r="C83" s="306"/>
      <c r="D83" s="1208" t="s">
        <v>1988</v>
      </c>
      <c r="E83" s="936">
        <v>4.0</v>
      </c>
      <c r="F83" s="1203">
        <v>383.77</v>
      </c>
      <c r="G83" s="939">
        <f t="shared" si="12"/>
        <v>1535.08</v>
      </c>
      <c r="H83" s="1204" t="s">
        <v>2007</v>
      </c>
      <c r="I83" s="1204" t="s">
        <v>2007</v>
      </c>
      <c r="J83" s="943"/>
      <c r="L83" s="306"/>
      <c r="M83" s="306"/>
      <c r="N83" s="306"/>
      <c r="O83" s="306"/>
      <c r="P83" s="306"/>
      <c r="Q83" s="306"/>
      <c r="R83" s="306"/>
      <c r="S83" s="306"/>
      <c r="T83" s="306"/>
      <c r="U83" s="306"/>
      <c r="V83" s="306"/>
      <c r="W83" s="306"/>
      <c r="X83" s="1206"/>
      <c r="Y83" s="1207" t="s">
        <v>2008</v>
      </c>
      <c r="Z83" s="1207">
        <v>1.0</v>
      </c>
      <c r="AA83" s="24"/>
      <c r="AB83" s="24"/>
      <c r="AC83" s="24"/>
      <c r="AD83" s="24"/>
      <c r="AE83" s="24"/>
      <c r="AF83" s="24"/>
      <c r="AG83" s="331"/>
      <c r="AH83" s="331"/>
      <c r="AI83" s="331"/>
      <c r="AJ83" s="333" t="s">
        <v>738</v>
      </c>
      <c r="AK83" s="333">
        <v>2.0</v>
      </c>
      <c r="AL83" s="333">
        <v>4.0</v>
      </c>
      <c r="AM83" s="333">
        <v>0.0</v>
      </c>
      <c r="AN83" s="333">
        <v>4.0</v>
      </c>
      <c r="AO83" s="333">
        <v>1.0</v>
      </c>
      <c r="AP83" s="333">
        <v>6.0</v>
      </c>
      <c r="AQ83" s="333">
        <v>3.0</v>
      </c>
      <c r="AR83" s="31"/>
      <c r="AS83" s="333">
        <v>4.0</v>
      </c>
      <c r="AT83" s="333">
        <v>6.5</v>
      </c>
      <c r="AU83" s="333">
        <v>4.0</v>
      </c>
      <c r="AV83" s="333">
        <v>6.9</v>
      </c>
      <c r="AW83" s="333">
        <v>0.0</v>
      </c>
      <c r="AX83" s="333">
        <v>0.0</v>
      </c>
      <c r="AY83" s="333">
        <v>0.0</v>
      </c>
      <c r="AZ83" s="333">
        <v>0.0</v>
      </c>
      <c r="BA83" s="333">
        <v>0.0</v>
      </c>
      <c r="BB83" s="333"/>
      <c r="BC83" s="31"/>
      <c r="BD83" s="31"/>
      <c r="BE83" s="1213"/>
      <c r="BF83" s="1211"/>
      <c r="BG83" s="331"/>
      <c r="BH83" s="331"/>
      <c r="BI83" s="331"/>
      <c r="BJ83" s="331"/>
      <c r="BK83" s="306"/>
    </row>
    <row r="84" ht="15.75" customHeight="1">
      <c r="A84" s="306"/>
      <c r="B84" s="306"/>
      <c r="C84" s="306"/>
      <c r="D84" s="1208" t="s">
        <v>2009</v>
      </c>
      <c r="E84" s="936">
        <v>3.0</v>
      </c>
      <c r="F84" s="1203">
        <v>349.17</v>
      </c>
      <c r="G84" s="939">
        <f t="shared" si="12"/>
        <v>1047.51</v>
      </c>
      <c r="H84" s="943"/>
      <c r="I84" s="1204" t="s">
        <v>1994</v>
      </c>
      <c r="J84" s="943"/>
      <c r="L84" s="306"/>
      <c r="M84" s="306"/>
      <c r="N84" s="306"/>
      <c r="O84" s="306"/>
      <c r="P84" s="306"/>
      <c r="Q84" s="306"/>
      <c r="R84" s="306"/>
      <c r="S84" s="306"/>
      <c r="T84" s="306"/>
      <c r="U84" s="306"/>
      <c r="V84" s="306"/>
      <c r="W84" s="306"/>
      <c r="X84" s="1206"/>
      <c r="Y84" s="1207" t="s">
        <v>2010</v>
      </c>
      <c r="Z84" s="1207">
        <v>1.0</v>
      </c>
      <c r="AA84" s="24"/>
      <c r="AB84" s="24"/>
      <c r="AC84" s="24"/>
      <c r="AD84" s="24"/>
      <c r="AE84" s="24"/>
      <c r="AF84" s="24"/>
      <c r="AG84" s="331"/>
      <c r="AH84" s="331"/>
      <c r="AI84" s="331"/>
      <c r="AJ84" s="537" t="s">
        <v>93</v>
      </c>
      <c r="AK84" s="540">
        <f t="shared" ref="AK84:BD84" si="14">SUM(AK81:AK83)</f>
        <v>4</v>
      </c>
      <c r="AL84" s="540">
        <f t="shared" si="14"/>
        <v>8</v>
      </c>
      <c r="AM84" s="540">
        <f t="shared" si="14"/>
        <v>0</v>
      </c>
      <c r="AN84" s="540">
        <f t="shared" si="14"/>
        <v>8</v>
      </c>
      <c r="AO84" s="540">
        <f t="shared" si="14"/>
        <v>2</v>
      </c>
      <c r="AP84" s="540">
        <f t="shared" si="14"/>
        <v>12</v>
      </c>
      <c r="AQ84" s="540">
        <f t="shared" si="14"/>
        <v>6</v>
      </c>
      <c r="AR84" s="540">
        <f t="shared" si="14"/>
        <v>1</v>
      </c>
      <c r="AS84" s="540">
        <f t="shared" si="14"/>
        <v>7</v>
      </c>
      <c r="AT84" s="540">
        <f t="shared" si="14"/>
        <v>11.8</v>
      </c>
      <c r="AU84" s="540">
        <f t="shared" si="14"/>
        <v>8</v>
      </c>
      <c r="AV84" s="540">
        <f t="shared" si="14"/>
        <v>13.8</v>
      </c>
      <c r="AW84" s="540">
        <f t="shared" si="14"/>
        <v>2</v>
      </c>
      <c r="AX84" s="540">
        <f t="shared" si="14"/>
        <v>0</v>
      </c>
      <c r="AY84" s="540">
        <f t="shared" si="14"/>
        <v>0</v>
      </c>
      <c r="AZ84" s="540">
        <f t="shared" si="14"/>
        <v>0</v>
      </c>
      <c r="BA84" s="540">
        <f t="shared" si="14"/>
        <v>0</v>
      </c>
      <c r="BB84" s="540">
        <f t="shared" si="14"/>
        <v>0</v>
      </c>
      <c r="BC84" s="540">
        <f t="shared" si="14"/>
        <v>17</v>
      </c>
      <c r="BD84" s="540">
        <f t="shared" si="14"/>
        <v>49.95</v>
      </c>
      <c r="BE84" s="1213"/>
      <c r="BF84" s="1213"/>
      <c r="BG84" s="331"/>
      <c r="BH84" s="331"/>
      <c r="BI84" s="331"/>
      <c r="BJ84" s="331"/>
      <c r="BK84" s="306"/>
    </row>
    <row r="85" ht="15.75" customHeight="1">
      <c r="A85" s="306"/>
      <c r="B85" s="306"/>
      <c r="C85" s="306"/>
      <c r="D85" s="1212" t="s">
        <v>2011</v>
      </c>
      <c r="E85" s="936">
        <v>2.0</v>
      </c>
      <c r="F85" s="1203">
        <v>956.88</v>
      </c>
      <c r="G85" s="1053">
        <f t="shared" si="12"/>
        <v>1913.76</v>
      </c>
      <c r="H85" s="943"/>
      <c r="I85" s="1204" t="s">
        <v>2012</v>
      </c>
      <c r="J85" s="943"/>
      <c r="L85" s="306"/>
      <c r="M85" s="306"/>
      <c r="N85" s="306"/>
      <c r="O85" s="306"/>
      <c r="P85" s="306"/>
      <c r="Q85" s="306"/>
      <c r="R85" s="306"/>
      <c r="S85" s="306"/>
      <c r="T85" s="306"/>
      <c r="U85" s="306"/>
      <c r="V85" s="306"/>
      <c r="W85" s="306"/>
      <c r="X85" s="1206"/>
      <c r="Y85" s="1207" t="s">
        <v>2013</v>
      </c>
      <c r="Z85" s="1207">
        <v>1.0</v>
      </c>
      <c r="AA85" s="24"/>
      <c r="AB85" s="24"/>
      <c r="AC85" s="24"/>
      <c r="AD85" s="24"/>
      <c r="AE85" s="24"/>
      <c r="AF85" s="24"/>
      <c r="AG85" s="331"/>
      <c r="AH85" s="331"/>
      <c r="AI85" s="331"/>
      <c r="AJ85" s="331"/>
      <c r="AK85" s="331"/>
      <c r="AL85" s="331"/>
      <c r="AM85" s="331"/>
      <c r="AN85" s="331"/>
      <c r="AO85" s="331"/>
      <c r="AP85" s="331"/>
      <c r="AQ85" s="331"/>
      <c r="AR85" s="331"/>
      <c r="AS85" s="331"/>
      <c r="AT85" s="331"/>
      <c r="AU85" s="331"/>
      <c r="AV85" s="331"/>
      <c r="AW85" s="331"/>
      <c r="AX85" s="331"/>
      <c r="AY85" s="331"/>
      <c r="AZ85" s="331"/>
      <c r="BA85" s="331"/>
      <c r="BB85" s="331"/>
      <c r="BC85" s="331"/>
      <c r="BD85" s="331"/>
      <c r="BE85" s="331"/>
      <c r="BF85" s="331"/>
      <c r="BG85" s="331"/>
      <c r="BH85" s="331"/>
      <c r="BI85" s="331"/>
      <c r="BJ85" s="331"/>
      <c r="BK85" s="306"/>
    </row>
    <row r="86" ht="15.75" customHeight="1">
      <c r="A86" s="306"/>
      <c r="B86" s="306"/>
      <c r="C86" s="306"/>
      <c r="D86" s="1212" t="s">
        <v>2014</v>
      </c>
      <c r="E86" s="1214">
        <v>7.0</v>
      </c>
      <c r="F86" s="1203">
        <v>8500.0</v>
      </c>
      <c r="G86" s="1215">
        <f t="shared" si="12"/>
        <v>59500</v>
      </c>
      <c r="H86" s="1204" t="s">
        <v>2015</v>
      </c>
      <c r="I86" s="1204" t="s">
        <v>2015</v>
      </c>
      <c r="J86" s="943"/>
      <c r="L86" s="306"/>
      <c r="M86" s="306"/>
      <c r="N86" s="306"/>
      <c r="O86" s="306"/>
      <c r="P86" s="306"/>
      <c r="Q86" s="306"/>
      <c r="R86" s="306"/>
      <c r="S86" s="306"/>
      <c r="T86" s="306"/>
      <c r="U86" s="306"/>
      <c r="V86" s="306"/>
      <c r="W86" s="306"/>
      <c r="X86" s="1206"/>
      <c r="Y86" s="1207" t="s">
        <v>2016</v>
      </c>
      <c r="Z86" s="1207">
        <v>1.0</v>
      </c>
      <c r="AA86" s="24"/>
      <c r="AB86" s="24"/>
      <c r="AC86" s="24"/>
      <c r="AD86" s="24"/>
      <c r="AE86" s="24"/>
      <c r="AF86" s="24"/>
      <c r="AG86" s="331"/>
      <c r="AH86" s="331"/>
      <c r="AI86" s="331"/>
      <c r="AJ86" s="618"/>
      <c r="AK86" s="618" t="s">
        <v>873</v>
      </c>
      <c r="AL86" s="618" t="s">
        <v>427</v>
      </c>
      <c r="AM86" s="618" t="s">
        <v>874</v>
      </c>
      <c r="AN86" s="618" t="s">
        <v>875</v>
      </c>
      <c r="AO86" s="618" t="s">
        <v>876</v>
      </c>
      <c r="AP86" s="618" t="s">
        <v>877</v>
      </c>
      <c r="AQ86" s="618" t="s">
        <v>2017</v>
      </c>
      <c r="AR86" s="618" t="s">
        <v>878</v>
      </c>
      <c r="AS86" s="331"/>
      <c r="AT86" s="331"/>
      <c r="AU86" s="331"/>
      <c r="AV86" s="331"/>
      <c r="AW86" s="331"/>
      <c r="AX86" s="331"/>
      <c r="AY86" s="331"/>
      <c r="AZ86" s="331"/>
      <c r="BA86" s="331"/>
      <c r="BB86" s="331"/>
      <c r="BC86" s="331"/>
      <c r="BD86" s="331"/>
      <c r="BE86" s="331"/>
      <c r="BF86" s="331"/>
      <c r="BG86" s="331"/>
      <c r="BH86" s="331"/>
      <c r="BI86" s="331"/>
      <c r="BJ86" s="331"/>
      <c r="BK86" s="306"/>
    </row>
    <row r="87" ht="15.75" customHeight="1">
      <c r="A87" s="306"/>
      <c r="B87" s="306"/>
      <c r="C87" s="306"/>
      <c r="D87" s="1216" t="s">
        <v>753</v>
      </c>
      <c r="E87" s="1217">
        <v>1.0</v>
      </c>
      <c r="F87" s="1218">
        <v>262.0</v>
      </c>
      <c r="G87" s="1215">
        <f t="shared" si="12"/>
        <v>262</v>
      </c>
      <c r="H87" s="941" t="s">
        <v>2018</v>
      </c>
      <c r="I87" s="1219" t="s">
        <v>759</v>
      </c>
      <c r="J87" s="943"/>
      <c r="N87" s="306"/>
      <c r="O87" s="1220"/>
      <c r="P87" s="1220"/>
      <c r="Q87" s="306"/>
      <c r="R87" s="306"/>
      <c r="S87" s="306"/>
      <c r="T87" s="306"/>
      <c r="U87" s="306"/>
      <c r="V87" s="306"/>
      <c r="W87" s="306"/>
      <c r="X87" s="1206"/>
      <c r="Y87" s="1207" t="s">
        <v>1988</v>
      </c>
      <c r="Z87" s="1207">
        <v>1.0</v>
      </c>
      <c r="AA87" s="24"/>
      <c r="AB87" s="24"/>
      <c r="AC87" s="24"/>
      <c r="AD87" s="24"/>
      <c r="AE87" s="24"/>
      <c r="AF87" s="24"/>
      <c r="AG87" s="331"/>
      <c r="AH87" s="331"/>
      <c r="AI87" s="331"/>
      <c r="AJ87" s="333" t="s">
        <v>722</v>
      </c>
      <c r="AK87" s="333" t="s">
        <v>762</v>
      </c>
      <c r="AL87" s="333">
        <f t="shared" ref="AL87:AM87" si="15">SUM(AL88)</f>
        <v>5</v>
      </c>
      <c r="AM87" s="333">
        <f t="shared" si="15"/>
        <v>3.55</v>
      </c>
      <c r="AN87" s="333"/>
      <c r="AO87" s="333"/>
      <c r="AP87" s="333"/>
      <c r="AQ87" s="333"/>
      <c r="AR87" s="333"/>
      <c r="AS87" s="331"/>
      <c r="AT87" s="331"/>
      <c r="AU87" s="331"/>
      <c r="AV87" s="331"/>
      <c r="AW87" s="331"/>
      <c r="AX87" s="331"/>
      <c r="AY87" s="331"/>
      <c r="AZ87" s="331"/>
      <c r="BA87" s="331"/>
      <c r="BB87" s="331"/>
      <c r="BC87" s="331"/>
      <c r="BD87" s="331"/>
      <c r="BE87" s="331"/>
      <c r="BF87" s="331"/>
      <c r="BG87" s="331"/>
      <c r="BH87" s="331"/>
      <c r="BI87" s="331"/>
      <c r="BJ87" s="331"/>
      <c r="BK87" s="306"/>
    </row>
    <row r="88" ht="15.75" customHeight="1">
      <c r="A88" s="306"/>
      <c r="B88" s="306"/>
      <c r="C88" s="306"/>
      <c r="D88" s="568" t="s">
        <v>768</v>
      </c>
      <c r="E88" s="1221">
        <f>SUM(E51:E87)</f>
        <v>301</v>
      </c>
      <c r="F88" s="1221"/>
      <c r="G88" s="1222">
        <f>SUM(G49:G87,M110)</f>
        <v>221428.81</v>
      </c>
      <c r="H88" s="943"/>
      <c r="I88" s="943"/>
      <c r="J88" s="1223"/>
      <c r="L88" s="306"/>
      <c r="M88" s="306"/>
      <c r="N88" s="306"/>
      <c r="O88" s="1224"/>
      <c r="P88" s="1225"/>
      <c r="Q88" s="306"/>
      <c r="R88" s="306"/>
      <c r="S88" s="306"/>
      <c r="T88" s="306"/>
      <c r="U88" s="306"/>
      <c r="V88" s="306"/>
      <c r="W88" s="306"/>
      <c r="X88" s="1206"/>
      <c r="Y88" s="1207" t="s">
        <v>726</v>
      </c>
      <c r="Z88" s="1207">
        <v>1.0</v>
      </c>
      <c r="AA88" s="24"/>
      <c r="AB88" s="24"/>
      <c r="AC88" s="24"/>
      <c r="AD88" s="24"/>
      <c r="AE88" s="24"/>
      <c r="AF88" s="24"/>
      <c r="AG88" s="331"/>
      <c r="AH88" s="331"/>
      <c r="AI88" s="331"/>
      <c r="AJ88" s="333"/>
      <c r="AK88" s="333">
        <v>25.0</v>
      </c>
      <c r="AL88" s="333">
        <v>5.0</v>
      </c>
      <c r="AM88" s="333">
        <v>3.55</v>
      </c>
      <c r="AN88" s="333" t="s">
        <v>2019</v>
      </c>
      <c r="AO88" s="333">
        <v>30.67</v>
      </c>
      <c r="AP88" s="333">
        <f>SUM(AT81,AV81)</f>
        <v>12.2</v>
      </c>
      <c r="AQ88" s="333">
        <v>5.94</v>
      </c>
      <c r="AR88" s="333">
        <f>SUM(AP88,AM88, AO88,AQ88)</f>
        <v>52.36</v>
      </c>
      <c r="AS88" s="331"/>
      <c r="AT88" s="331"/>
      <c r="AU88" s="331"/>
      <c r="AV88" s="331"/>
      <c r="AW88" s="331"/>
      <c r="AX88" s="331"/>
      <c r="AY88" s="331"/>
      <c r="AZ88" s="331"/>
      <c r="BA88" s="331"/>
      <c r="BB88" s="331"/>
      <c r="BC88" s="331"/>
      <c r="BD88" s="331"/>
      <c r="BE88" s="331"/>
      <c r="BF88" s="331"/>
      <c r="BG88" s="331"/>
      <c r="BH88" s="331"/>
      <c r="BI88" s="331"/>
      <c r="BJ88" s="331"/>
      <c r="BK88" s="306"/>
    </row>
    <row r="89" ht="15.75" customHeight="1">
      <c r="A89" s="306"/>
      <c r="B89" s="306"/>
      <c r="C89" s="306"/>
      <c r="D89" s="1223"/>
      <c r="E89" s="1223"/>
      <c r="F89" s="1223"/>
      <c r="G89" s="1223"/>
      <c r="H89" s="1223"/>
      <c r="I89" s="1223"/>
      <c r="J89" s="1226"/>
      <c r="L89" s="306"/>
      <c r="M89" s="306"/>
      <c r="N89" s="306"/>
      <c r="O89" s="1224"/>
      <c r="P89" s="1224"/>
      <c r="Q89" s="306"/>
      <c r="R89" s="306"/>
      <c r="S89" s="306"/>
      <c r="T89" s="306"/>
      <c r="U89" s="306"/>
      <c r="V89" s="306"/>
      <c r="W89" s="306"/>
      <c r="X89" s="1207"/>
      <c r="Y89" s="1207" t="s">
        <v>733</v>
      </c>
      <c r="Z89" s="1207">
        <v>1.0</v>
      </c>
      <c r="AA89" s="24"/>
      <c r="AB89" s="24"/>
      <c r="AC89" s="24"/>
      <c r="AD89" s="24"/>
      <c r="AE89" s="24"/>
      <c r="AF89" s="24"/>
      <c r="AG89" s="331"/>
      <c r="AH89" s="331"/>
      <c r="AI89" s="331"/>
      <c r="AJ89" s="333"/>
      <c r="AK89" s="333"/>
      <c r="AL89" s="333"/>
      <c r="AM89" s="333"/>
      <c r="AN89" s="333"/>
      <c r="AO89" s="333"/>
      <c r="AP89" s="333"/>
      <c r="AQ89" s="333"/>
      <c r="AR89" s="333"/>
      <c r="AS89" s="331"/>
      <c r="AT89" s="331"/>
      <c r="AU89" s="331"/>
      <c r="AV89" s="331"/>
      <c r="AW89" s="331"/>
      <c r="AX89" s="331"/>
      <c r="AY89" s="331"/>
      <c r="AZ89" s="331"/>
      <c r="BA89" s="331"/>
      <c r="BB89" s="331"/>
      <c r="BC89" s="331"/>
      <c r="BD89" s="331"/>
      <c r="BE89" s="331"/>
      <c r="BF89" s="331"/>
      <c r="BG89" s="331"/>
      <c r="BH89" s="331"/>
      <c r="BI89" s="331"/>
      <c r="BJ89" s="331"/>
      <c r="BK89" s="306"/>
    </row>
    <row r="90" ht="15.75" customHeight="1">
      <c r="A90" s="306"/>
      <c r="B90" s="306"/>
      <c r="C90" s="306"/>
      <c r="D90" s="306"/>
      <c r="E90" s="306"/>
      <c r="F90" s="306"/>
      <c r="G90" s="912"/>
      <c r="H90" s="912"/>
      <c r="I90" s="912"/>
      <c r="J90" s="912"/>
      <c r="L90" s="306"/>
      <c r="M90" s="306"/>
      <c r="N90" s="306"/>
      <c r="O90" s="1227"/>
      <c r="P90" s="1228"/>
      <c r="Q90" s="306"/>
      <c r="R90" s="306"/>
      <c r="S90" s="306"/>
      <c r="T90" s="306"/>
      <c r="U90" s="306"/>
      <c r="V90" s="306"/>
      <c r="W90" s="306"/>
      <c r="X90" s="1206"/>
      <c r="Y90" s="1206" t="s">
        <v>48</v>
      </c>
      <c r="Z90" s="1206">
        <v>1.0</v>
      </c>
      <c r="AA90" s="31"/>
      <c r="AB90" s="31"/>
      <c r="AC90" s="31"/>
      <c r="AD90" s="31"/>
      <c r="AE90" s="31"/>
      <c r="AF90" s="31"/>
      <c r="AG90" s="331"/>
      <c r="AH90" s="331"/>
      <c r="AI90" s="331"/>
      <c r="AJ90" s="333" t="s">
        <v>738</v>
      </c>
      <c r="AK90" s="333" t="s">
        <v>762</v>
      </c>
      <c r="AL90" s="333">
        <f>SUM(AL91:AL93)</f>
        <v>7</v>
      </c>
      <c r="AM90" s="333"/>
      <c r="AN90" s="333"/>
      <c r="AO90" s="333"/>
      <c r="AP90" s="333"/>
      <c r="AQ90" s="333"/>
      <c r="AR90" s="333"/>
      <c r="AS90" s="331"/>
      <c r="AT90" s="331"/>
      <c r="AU90" s="331"/>
      <c r="AV90" s="331"/>
      <c r="AW90" s="331"/>
      <c r="AX90" s="331"/>
      <c r="AY90" s="331"/>
      <c r="AZ90" s="331"/>
      <c r="BA90" s="331"/>
      <c r="BB90" s="331"/>
      <c r="BC90" s="331"/>
      <c r="BD90" s="331"/>
      <c r="BE90" s="331"/>
      <c r="BF90" s="331"/>
      <c r="BG90" s="331"/>
      <c r="BH90" s="331"/>
      <c r="BI90" s="331"/>
      <c r="BJ90" s="331"/>
      <c r="BK90" s="306"/>
    </row>
    <row r="91" ht="15.75" customHeight="1">
      <c r="A91" s="306"/>
      <c r="B91" s="306"/>
      <c r="C91" s="306"/>
      <c r="D91" s="133"/>
      <c r="E91" s="133"/>
      <c r="F91" s="133"/>
      <c r="G91" s="133"/>
      <c r="H91" s="133"/>
      <c r="I91" s="133"/>
      <c r="J91" s="131"/>
      <c r="K91" s="131"/>
      <c r="L91" s="131"/>
      <c r="M91" s="131"/>
      <c r="N91" s="306"/>
      <c r="O91" s="1229"/>
      <c r="P91" s="1228"/>
      <c r="Q91" s="306"/>
      <c r="R91" s="306"/>
      <c r="S91" s="306"/>
      <c r="T91" s="306"/>
      <c r="U91" s="306"/>
      <c r="V91" s="306"/>
      <c r="W91" s="306"/>
      <c r="X91" s="1230" t="s">
        <v>994</v>
      </c>
      <c r="Y91" s="1230" t="s">
        <v>44</v>
      </c>
      <c r="Z91" s="1230">
        <v>1.0</v>
      </c>
      <c r="AA91" s="359">
        <v>3.0</v>
      </c>
      <c r="AB91" s="614">
        <v>4.0</v>
      </c>
      <c r="AC91" s="361">
        <v>2.0</v>
      </c>
      <c r="AD91" s="361">
        <v>1.0</v>
      </c>
      <c r="AE91" s="362">
        <v>0.0</v>
      </c>
      <c r="AF91" s="361">
        <v>0.0</v>
      </c>
      <c r="AG91" s="331"/>
      <c r="AH91" s="331"/>
      <c r="AI91" s="331"/>
      <c r="AJ91" s="333"/>
      <c r="AK91" s="333">
        <v>26.0</v>
      </c>
      <c r="AL91" s="333">
        <v>2.0</v>
      </c>
      <c r="AM91" s="333">
        <v>18.23</v>
      </c>
      <c r="AN91" s="333" t="s">
        <v>950</v>
      </c>
      <c r="AO91" s="333">
        <v>4.95</v>
      </c>
      <c r="AP91" s="333">
        <v>0.0</v>
      </c>
      <c r="AQ91" s="333">
        <v>5.94</v>
      </c>
      <c r="AR91" s="333">
        <f t="shared" ref="AR91:AR93" si="16">SUM(AP91,AM91, AO91,AQ91)</f>
        <v>29.12</v>
      </c>
      <c r="AS91" s="331"/>
      <c r="AT91" s="331"/>
      <c r="AU91" s="331"/>
      <c r="AV91" s="331"/>
      <c r="AW91" s="331"/>
      <c r="AX91" s="331"/>
      <c r="AY91" s="331"/>
      <c r="AZ91" s="331"/>
      <c r="BA91" s="331"/>
      <c r="BB91" s="331"/>
      <c r="BC91" s="331"/>
      <c r="BD91" s="331"/>
      <c r="BE91" s="331"/>
      <c r="BF91" s="331"/>
      <c r="BG91" s="331"/>
      <c r="BH91" s="331"/>
      <c r="BI91" s="331"/>
      <c r="BJ91" s="331"/>
      <c r="BK91" s="306"/>
    </row>
    <row r="92" ht="15.75" customHeight="1">
      <c r="A92" s="306"/>
      <c r="B92" s="306"/>
      <c r="D92" s="1231" t="s">
        <v>198</v>
      </c>
      <c r="E92" s="1231" t="s">
        <v>199</v>
      </c>
      <c r="F92" s="1231" t="s">
        <v>200</v>
      </c>
      <c r="G92" s="1231" t="s">
        <v>201</v>
      </c>
      <c r="H92" s="1231" t="s">
        <v>202</v>
      </c>
      <c r="I92" s="1231" t="s">
        <v>203</v>
      </c>
      <c r="J92" s="1232" t="s">
        <v>204</v>
      </c>
      <c r="K92" s="1232" t="s">
        <v>205</v>
      </c>
      <c r="L92" s="1232" t="s">
        <v>206</v>
      </c>
      <c r="M92" s="1232" t="s">
        <v>207</v>
      </c>
      <c r="N92" s="306"/>
      <c r="O92" s="1233"/>
      <c r="P92" s="1228"/>
      <c r="Q92" s="306"/>
      <c r="R92" s="306"/>
      <c r="S92" s="306"/>
      <c r="T92" s="306"/>
      <c r="U92" s="306"/>
      <c r="V92" s="306"/>
      <c r="W92" s="306"/>
      <c r="X92" s="1230"/>
      <c r="Y92" s="1230" t="s">
        <v>45</v>
      </c>
      <c r="Z92" s="1230">
        <v>1.0</v>
      </c>
      <c r="AA92" s="24"/>
      <c r="AB92" s="24"/>
      <c r="AC92" s="24"/>
      <c r="AD92" s="24"/>
      <c r="AE92" s="24"/>
      <c r="AF92" s="24"/>
      <c r="AG92" s="331"/>
      <c r="AH92" s="331"/>
      <c r="AI92" s="331"/>
      <c r="AJ92" s="333"/>
      <c r="AK92" s="333">
        <v>27.0</v>
      </c>
      <c r="AL92" s="333">
        <v>2.0</v>
      </c>
      <c r="AM92" s="333">
        <v>5.65</v>
      </c>
      <c r="AN92" s="333" t="s">
        <v>950</v>
      </c>
      <c r="AO92" s="333">
        <v>12.47</v>
      </c>
      <c r="AP92" s="333">
        <f>SUM(AT83)</f>
        <v>6.5</v>
      </c>
      <c r="AQ92" s="333">
        <v>5.94</v>
      </c>
      <c r="AR92" s="333">
        <f t="shared" si="16"/>
        <v>30.56</v>
      </c>
      <c r="AS92" s="331"/>
      <c r="AT92" s="331"/>
      <c r="AU92" s="331"/>
      <c r="AV92" s="331"/>
      <c r="AW92" s="331"/>
      <c r="AX92" s="331"/>
      <c r="AY92" s="331"/>
      <c r="AZ92" s="331"/>
      <c r="BA92" s="331"/>
      <c r="BB92" s="331"/>
      <c r="BC92" s="331"/>
      <c r="BD92" s="331"/>
      <c r="BE92" s="331"/>
      <c r="BF92" s="331"/>
      <c r="BG92" s="331"/>
      <c r="BH92" s="331"/>
      <c r="BI92" s="331"/>
      <c r="BJ92" s="331"/>
      <c r="BK92" s="306"/>
    </row>
    <row r="93" ht="15.75" customHeight="1">
      <c r="A93" s="306"/>
      <c r="B93" s="306"/>
      <c r="D93" s="1234" t="s">
        <v>208</v>
      </c>
      <c r="E93" s="1234" t="s">
        <v>210</v>
      </c>
      <c r="F93" s="1234" t="s">
        <v>212</v>
      </c>
      <c r="G93" s="1234" t="s">
        <v>213</v>
      </c>
      <c r="H93" s="1234" t="s">
        <v>214</v>
      </c>
      <c r="I93" s="1234" t="s">
        <v>215</v>
      </c>
      <c r="J93" s="1235" t="s">
        <v>216</v>
      </c>
      <c r="K93" s="1235" t="s">
        <v>217</v>
      </c>
      <c r="L93" s="1235" t="s">
        <v>218</v>
      </c>
      <c r="M93" s="1235" t="s">
        <v>219</v>
      </c>
      <c r="N93" s="306"/>
      <c r="O93" s="1236"/>
      <c r="P93" s="1228"/>
      <c r="Q93" s="306"/>
      <c r="R93" s="306"/>
      <c r="S93" s="306"/>
      <c r="T93" s="306"/>
      <c r="U93" s="306"/>
      <c r="V93" s="306"/>
      <c r="W93" s="306"/>
      <c r="X93" s="1230"/>
      <c r="Y93" s="1230" t="s">
        <v>618</v>
      </c>
      <c r="Z93" s="1230">
        <v>1.0</v>
      </c>
      <c r="AA93" s="24"/>
      <c r="AB93" s="24"/>
      <c r="AC93" s="24"/>
      <c r="AD93" s="24"/>
      <c r="AE93" s="24"/>
      <c r="AF93" s="24"/>
      <c r="AG93" s="331"/>
      <c r="AH93" s="331"/>
      <c r="AI93" s="331"/>
      <c r="AJ93" s="333"/>
      <c r="AK93" s="333">
        <v>28.0</v>
      </c>
      <c r="AL93" s="333">
        <v>3.0</v>
      </c>
      <c r="AM93" s="333">
        <v>3.55</v>
      </c>
      <c r="AN93" s="333" t="s">
        <v>1330</v>
      </c>
      <c r="AO93" s="333">
        <v>17.64</v>
      </c>
      <c r="AP93" s="333">
        <f>SUM(AV83)</f>
        <v>6.9</v>
      </c>
      <c r="AQ93" s="333">
        <v>5.94</v>
      </c>
      <c r="AR93" s="333">
        <f t="shared" si="16"/>
        <v>34.03</v>
      </c>
      <c r="AS93" s="331"/>
      <c r="AT93" s="331"/>
      <c r="AU93" s="331"/>
      <c r="AV93" s="331"/>
      <c r="AW93" s="331"/>
      <c r="AX93" s="331"/>
      <c r="AY93" s="331"/>
      <c r="AZ93" s="331"/>
      <c r="BA93" s="331"/>
      <c r="BB93" s="331"/>
      <c r="BC93" s="331"/>
      <c r="BD93" s="331"/>
      <c r="BE93" s="331"/>
      <c r="BF93" s="331"/>
      <c r="BG93" s="331"/>
      <c r="BH93" s="331"/>
      <c r="BI93" s="331"/>
      <c r="BJ93" s="331"/>
      <c r="BK93" s="306"/>
    </row>
    <row r="94" ht="15.75" customHeight="1">
      <c r="A94" s="306"/>
      <c r="B94" s="306"/>
      <c r="C94" s="306"/>
      <c r="D94" s="140" t="s">
        <v>220</v>
      </c>
      <c r="E94" s="140">
        <v>6.0</v>
      </c>
      <c r="F94" s="140" t="s">
        <v>221</v>
      </c>
      <c r="G94" s="140" t="s">
        <v>222</v>
      </c>
      <c r="H94" s="140" t="s">
        <v>223</v>
      </c>
      <c r="I94" s="140" t="s">
        <v>2020</v>
      </c>
      <c r="J94" s="1237" t="s">
        <v>226</v>
      </c>
      <c r="K94" s="1237" t="s">
        <v>230</v>
      </c>
      <c r="L94" s="1238">
        <v>1000.0</v>
      </c>
      <c r="M94" s="1239">
        <f t="shared" ref="M94:M96" si="17">L94*E94</f>
        <v>6000</v>
      </c>
      <c r="N94" s="306"/>
      <c r="O94" s="1229"/>
      <c r="P94" s="1228"/>
      <c r="Q94" s="306"/>
      <c r="R94" s="306"/>
      <c r="S94" s="306"/>
      <c r="T94" s="306"/>
      <c r="U94" s="306"/>
      <c r="V94" s="306"/>
      <c r="W94" s="306"/>
      <c r="X94" s="1230"/>
      <c r="Y94" s="1230" t="s">
        <v>48</v>
      </c>
      <c r="Z94" s="1230">
        <v>1.0</v>
      </c>
      <c r="AA94" s="31"/>
      <c r="AB94" s="31"/>
      <c r="AC94" s="31"/>
      <c r="AD94" s="31"/>
      <c r="AE94" s="31"/>
      <c r="AF94" s="31"/>
      <c r="AG94" s="331"/>
      <c r="AH94" s="331"/>
      <c r="AI94" s="331"/>
      <c r="AJ94" s="331"/>
      <c r="AK94" s="331"/>
      <c r="AL94" s="331"/>
      <c r="AM94" s="331"/>
      <c r="AN94" s="331"/>
      <c r="AO94" s="331"/>
      <c r="AP94" s="331"/>
      <c r="AQ94" s="331"/>
      <c r="AR94" s="331"/>
      <c r="AS94" s="331"/>
      <c r="AT94" s="331"/>
      <c r="AU94" s="331"/>
      <c r="AV94" s="331"/>
      <c r="AW94" s="331"/>
      <c r="AX94" s="331"/>
      <c r="AY94" s="331"/>
      <c r="AZ94" s="331"/>
      <c r="BA94" s="331"/>
      <c r="BB94" s="331"/>
      <c r="BC94" s="331"/>
      <c r="BD94" s="331"/>
      <c r="BE94" s="331"/>
      <c r="BF94" s="331"/>
      <c r="BG94" s="331"/>
      <c r="BH94" s="331"/>
      <c r="BI94" s="331"/>
      <c r="BJ94" s="331"/>
      <c r="BK94" s="306"/>
    </row>
    <row r="95" ht="15.75" customHeight="1">
      <c r="A95" s="306"/>
      <c r="B95" s="306"/>
      <c r="C95" s="306"/>
      <c r="D95" s="138" t="s">
        <v>2021</v>
      </c>
      <c r="E95" s="138">
        <v>1.0</v>
      </c>
      <c r="F95" s="138" t="s">
        <v>259</v>
      </c>
      <c r="G95" s="138" t="s">
        <v>298</v>
      </c>
      <c r="H95" s="1240"/>
      <c r="I95" s="1240"/>
      <c r="J95" s="1241" t="s">
        <v>2022</v>
      </c>
      <c r="K95" s="1237" t="s">
        <v>230</v>
      </c>
      <c r="L95" s="1238">
        <v>544.87</v>
      </c>
      <c r="M95" s="1239">
        <f t="shared" si="17"/>
        <v>544.87</v>
      </c>
      <c r="O95" s="1242"/>
      <c r="P95" s="1243"/>
      <c r="Q95" s="306"/>
      <c r="R95" s="306"/>
      <c r="S95" s="306"/>
      <c r="T95" s="306"/>
      <c r="U95" s="306"/>
      <c r="V95" s="306"/>
      <c r="W95" s="306"/>
      <c r="X95" s="1244" t="s">
        <v>2023</v>
      </c>
      <c r="Y95" s="1244" t="s">
        <v>1245</v>
      </c>
      <c r="Z95" s="1244">
        <v>1.0</v>
      </c>
      <c r="AA95" s="359">
        <v>2.0</v>
      </c>
      <c r="AB95" s="614">
        <v>2.0</v>
      </c>
      <c r="AC95" s="361">
        <v>2.0</v>
      </c>
      <c r="AD95" s="361">
        <v>0.0</v>
      </c>
      <c r="AE95" s="362">
        <v>0.0</v>
      </c>
      <c r="AF95" s="361">
        <v>0.0</v>
      </c>
      <c r="AG95" s="331"/>
      <c r="AH95" s="331"/>
      <c r="AI95" s="331"/>
      <c r="AJ95" s="1245" t="s">
        <v>2024</v>
      </c>
      <c r="AK95" s="1246"/>
      <c r="AL95" s="1246"/>
      <c r="AM95" s="1246"/>
      <c r="AN95" s="1246"/>
      <c r="AO95" s="1246"/>
      <c r="AP95" s="1246"/>
      <c r="AQ95" s="1246"/>
      <c r="AR95" s="1246"/>
      <c r="AS95" s="1246"/>
      <c r="AT95" s="1246"/>
      <c r="AU95" s="1246"/>
      <c r="AV95" s="1246"/>
      <c r="AW95" s="1246"/>
      <c r="AX95" s="1246"/>
      <c r="AY95" s="1246"/>
      <c r="AZ95" s="1246"/>
      <c r="BA95" s="1246"/>
      <c r="BB95" s="1246"/>
      <c r="BC95" s="1247"/>
      <c r="BD95" s="331"/>
      <c r="BE95" s="331"/>
      <c r="BF95" s="331"/>
      <c r="BG95" s="331"/>
      <c r="BH95" s="331"/>
      <c r="BI95" s="331"/>
      <c r="BJ95" s="331"/>
      <c r="BK95" s="306"/>
    </row>
    <row r="96" ht="15.75" customHeight="1">
      <c r="A96" s="306"/>
      <c r="B96" s="306"/>
      <c r="C96" s="306"/>
      <c r="D96" s="1248" t="s">
        <v>286</v>
      </c>
      <c r="E96" s="138">
        <v>1.0</v>
      </c>
      <c r="F96" s="138" t="s">
        <v>259</v>
      </c>
      <c r="G96" s="1248" t="s">
        <v>289</v>
      </c>
      <c r="H96" s="1240"/>
      <c r="I96" s="1249" t="s">
        <v>288</v>
      </c>
      <c r="J96" s="1250" t="s">
        <v>475</v>
      </c>
      <c r="K96" s="1250" t="s">
        <v>230</v>
      </c>
      <c r="L96" s="1251">
        <v>1567.0</v>
      </c>
      <c r="M96" s="1252">
        <f t="shared" si="17"/>
        <v>1567</v>
      </c>
      <c r="N96" s="306"/>
      <c r="O96" s="306"/>
      <c r="P96" s="306"/>
      <c r="Q96" s="306"/>
      <c r="R96" s="306"/>
      <c r="S96" s="306"/>
      <c r="T96" s="306"/>
      <c r="U96" s="306"/>
      <c r="V96" s="306"/>
      <c r="W96" s="306"/>
      <c r="X96" s="1244"/>
      <c r="Y96" s="1244" t="s">
        <v>618</v>
      </c>
      <c r="Z96" s="1244">
        <v>1.0</v>
      </c>
      <c r="AA96" s="31"/>
      <c r="AB96" s="31"/>
      <c r="AC96" s="31"/>
      <c r="AD96" s="31"/>
      <c r="AE96" s="31"/>
      <c r="AF96" s="31"/>
      <c r="AG96" s="331"/>
      <c r="AH96" s="331"/>
      <c r="AI96" s="331"/>
      <c r="AJ96" s="331"/>
      <c r="AK96" s="331"/>
      <c r="AL96" s="331"/>
      <c r="AM96" s="331"/>
      <c r="AN96" s="331"/>
      <c r="AO96" s="331"/>
      <c r="AP96" s="331"/>
      <c r="AQ96" s="331"/>
      <c r="AR96" s="331"/>
      <c r="AS96" s="331"/>
      <c r="AT96" s="331"/>
      <c r="AU96" s="331"/>
      <c r="AV96" s="331"/>
      <c r="AW96" s="331"/>
      <c r="AX96" s="331"/>
      <c r="AY96" s="331"/>
      <c r="AZ96" s="331"/>
      <c r="BA96" s="331"/>
      <c r="BB96" s="331"/>
      <c r="BC96" s="331"/>
      <c r="BD96" s="331"/>
      <c r="BE96" s="331"/>
      <c r="BF96" s="331"/>
      <c r="BG96" s="331"/>
      <c r="BH96" s="331"/>
      <c r="BI96" s="331"/>
      <c r="BJ96" s="331"/>
      <c r="BK96" s="306"/>
    </row>
    <row r="97" ht="15.75" customHeight="1">
      <c r="A97" s="306"/>
      <c r="B97" s="306"/>
      <c r="C97" s="306"/>
      <c r="D97" s="1253" t="s">
        <v>231</v>
      </c>
      <c r="E97" s="1254"/>
      <c r="F97" s="1254"/>
      <c r="G97" s="1254"/>
      <c r="H97" s="1255"/>
      <c r="I97" s="1255"/>
      <c r="J97" s="1255"/>
      <c r="K97" s="1255"/>
      <c r="L97" s="1256"/>
      <c r="M97" s="1255"/>
      <c r="N97" s="306"/>
      <c r="O97" s="306"/>
      <c r="P97" s="306"/>
      <c r="Q97" s="306"/>
      <c r="R97" s="306"/>
      <c r="S97" s="306"/>
      <c r="T97" s="306"/>
      <c r="U97" s="306"/>
      <c r="V97" s="306"/>
      <c r="W97" s="306"/>
      <c r="X97" s="1257" t="s">
        <v>977</v>
      </c>
      <c r="Y97" s="1257" t="s">
        <v>48</v>
      </c>
      <c r="Z97" s="1257">
        <v>1.0</v>
      </c>
      <c r="AA97" s="359">
        <v>11.0</v>
      </c>
      <c r="AB97" s="614">
        <v>18.0</v>
      </c>
      <c r="AC97" s="361">
        <v>7.0</v>
      </c>
      <c r="AD97" s="361">
        <v>2.0</v>
      </c>
      <c r="AE97" s="362">
        <v>1.0</v>
      </c>
      <c r="AF97" s="361">
        <v>1.0</v>
      </c>
      <c r="AG97" s="331"/>
      <c r="AH97" s="331"/>
      <c r="AI97" s="331"/>
      <c r="AJ97" s="333"/>
      <c r="AK97" s="335" t="s">
        <v>563</v>
      </c>
      <c r="AL97" s="12"/>
      <c r="AM97" s="13"/>
      <c r="AN97" s="335" t="s">
        <v>565</v>
      </c>
      <c r="AO97" s="13"/>
      <c r="AP97" s="333"/>
      <c r="AQ97" s="333" t="s">
        <v>569</v>
      </c>
      <c r="AR97" s="335" t="s">
        <v>576</v>
      </c>
      <c r="AS97" s="12"/>
      <c r="AT97" s="12"/>
      <c r="AU97" s="12"/>
      <c r="AV97" s="12"/>
      <c r="AW97" s="13"/>
      <c r="AX97" s="335" t="s">
        <v>2025</v>
      </c>
      <c r="AY97" s="12"/>
      <c r="AZ97" s="12"/>
      <c r="BA97" s="12"/>
      <c r="BB97" s="12"/>
      <c r="BC97" s="13"/>
      <c r="BD97" s="331"/>
      <c r="BE97" s="331"/>
      <c r="BF97" s="331"/>
      <c r="BG97" s="331"/>
      <c r="BH97" s="331"/>
      <c r="BI97" s="331"/>
      <c r="BJ97" s="331"/>
      <c r="BK97" s="306"/>
    </row>
    <row r="98" ht="15.75" customHeight="1">
      <c r="A98" s="306"/>
      <c r="B98" s="306"/>
      <c r="C98" s="306"/>
      <c r="D98" s="1258" t="s">
        <v>208</v>
      </c>
      <c r="E98" s="1258" t="s">
        <v>210</v>
      </c>
      <c r="F98" s="1258" t="s">
        <v>212</v>
      </c>
      <c r="G98" s="1258" t="s">
        <v>248</v>
      </c>
      <c r="H98" s="1258" t="s">
        <v>249</v>
      </c>
      <c r="I98" s="1259"/>
      <c r="J98" s="1260" t="s">
        <v>216</v>
      </c>
      <c r="K98" s="1260" t="s">
        <v>217</v>
      </c>
      <c r="L98" s="1260" t="s">
        <v>218</v>
      </c>
      <c r="M98" s="1260" t="s">
        <v>219</v>
      </c>
      <c r="N98" s="306"/>
      <c r="O98" s="306"/>
      <c r="P98" s="306"/>
      <c r="Q98" s="306"/>
      <c r="R98" s="306"/>
      <c r="S98" s="306"/>
      <c r="T98" s="306"/>
      <c r="U98" s="306"/>
      <c r="V98" s="306"/>
      <c r="W98" s="306"/>
      <c r="X98" s="1257"/>
      <c r="Y98" s="1257" t="s">
        <v>618</v>
      </c>
      <c r="Z98" s="1257">
        <v>1.0</v>
      </c>
      <c r="AA98" s="24"/>
      <c r="AB98" s="24"/>
      <c r="AC98" s="24"/>
      <c r="AD98" s="24"/>
      <c r="AE98" s="24"/>
      <c r="AF98" s="24"/>
      <c r="AG98" s="331"/>
      <c r="AH98" s="331"/>
      <c r="AI98" s="331"/>
      <c r="AJ98" s="333"/>
      <c r="AK98" s="333"/>
      <c r="AL98" s="333"/>
      <c r="AM98" s="333"/>
      <c r="AN98" s="333"/>
      <c r="AO98" s="333"/>
      <c r="AP98" s="333"/>
      <c r="AQ98" s="333"/>
      <c r="AR98" s="333" t="s">
        <v>582</v>
      </c>
      <c r="AS98" s="333" t="s">
        <v>2026</v>
      </c>
      <c r="AT98" s="333" t="s">
        <v>583</v>
      </c>
      <c r="AU98" s="333" t="s">
        <v>2027</v>
      </c>
      <c r="AV98" s="333" t="s">
        <v>585</v>
      </c>
      <c r="AW98" s="333" t="s">
        <v>2028</v>
      </c>
      <c r="AX98" s="333"/>
      <c r="AY98" s="333"/>
      <c r="AZ98" s="333"/>
      <c r="BA98" s="333"/>
      <c r="BB98" s="333"/>
      <c r="BC98" s="333"/>
      <c r="BD98" s="1211"/>
      <c r="BE98" s="1211"/>
      <c r="BF98" s="331"/>
      <c r="BG98" s="331"/>
      <c r="BH98" s="331"/>
      <c r="BI98" s="331"/>
      <c r="BJ98" s="331"/>
      <c r="BK98" s="306"/>
    </row>
    <row r="99" ht="15.75" customHeight="1">
      <c r="A99" s="306"/>
      <c r="B99" s="306"/>
      <c r="C99" s="306"/>
      <c r="D99" s="140" t="s">
        <v>258</v>
      </c>
      <c r="E99" s="140">
        <v>1.0</v>
      </c>
      <c r="F99" s="140" t="s">
        <v>259</v>
      </c>
      <c r="G99" s="140" t="s">
        <v>260</v>
      </c>
      <c r="H99" s="140" t="s">
        <v>2029</v>
      </c>
      <c r="I99" s="1261"/>
      <c r="J99" s="1262" t="s">
        <v>216</v>
      </c>
      <c r="K99" s="1237" t="s">
        <v>216</v>
      </c>
      <c r="L99" s="1263">
        <v>220.0</v>
      </c>
      <c r="M99" s="1239">
        <f t="shared" ref="M99:M104" si="18">L99*E99</f>
        <v>220</v>
      </c>
      <c r="N99" s="306"/>
      <c r="O99" s="306"/>
      <c r="P99" s="306"/>
      <c r="Q99" s="306"/>
      <c r="R99" s="306"/>
      <c r="S99" s="306"/>
      <c r="T99" s="306"/>
      <c r="U99" s="306"/>
      <c r="V99" s="306"/>
      <c r="W99" s="306"/>
      <c r="X99" s="1257"/>
      <c r="Y99" s="1264" t="s">
        <v>2009</v>
      </c>
      <c r="Z99" s="1257">
        <v>1.0</v>
      </c>
      <c r="AA99" s="24"/>
      <c r="AB99" s="24"/>
      <c r="AC99" s="24"/>
      <c r="AD99" s="24"/>
      <c r="AE99" s="24"/>
      <c r="AF99" s="24"/>
      <c r="AG99" s="331"/>
      <c r="AH99" s="331"/>
      <c r="AI99" s="331"/>
      <c r="AJ99" s="321" t="s">
        <v>38</v>
      </c>
      <c r="AK99" s="321" t="s">
        <v>379</v>
      </c>
      <c r="AL99" s="321" t="s">
        <v>593</v>
      </c>
      <c r="AM99" s="321" t="s">
        <v>383</v>
      </c>
      <c r="AN99" s="321" t="s">
        <v>559</v>
      </c>
      <c r="AO99" s="322" t="s">
        <v>560</v>
      </c>
      <c r="AP99" s="321" t="s">
        <v>115</v>
      </c>
      <c r="AQ99" s="321" t="s">
        <v>594</v>
      </c>
      <c r="AR99" s="321" t="s">
        <v>2030</v>
      </c>
      <c r="AS99" s="321" t="s">
        <v>2031</v>
      </c>
      <c r="AT99" s="321" t="s">
        <v>2032</v>
      </c>
      <c r="AU99" s="321" t="s">
        <v>2033</v>
      </c>
      <c r="AV99" s="321" t="s">
        <v>601</v>
      </c>
      <c r="AW99" s="321" t="s">
        <v>2034</v>
      </c>
      <c r="AX99" s="321" t="s">
        <v>2030</v>
      </c>
      <c r="AY99" s="321" t="s">
        <v>2031</v>
      </c>
      <c r="AZ99" s="321" t="s">
        <v>2032</v>
      </c>
      <c r="BA99" s="321" t="s">
        <v>2033</v>
      </c>
      <c r="BB99" s="321" t="s">
        <v>601</v>
      </c>
      <c r="BC99" s="321" t="s">
        <v>2034</v>
      </c>
      <c r="BD99" s="1213"/>
      <c r="BE99" s="1213"/>
      <c r="BF99" s="331"/>
      <c r="BG99" s="331"/>
      <c r="BH99" s="331"/>
      <c r="BI99" s="331"/>
      <c r="BJ99" s="331"/>
      <c r="BK99" s="306"/>
    </row>
    <row r="100" ht="15.75" customHeight="1">
      <c r="A100" s="306"/>
      <c r="B100" s="306"/>
      <c r="C100" s="306"/>
      <c r="D100" s="140" t="s">
        <v>258</v>
      </c>
      <c r="E100" s="1265">
        <v>3.0</v>
      </c>
      <c r="F100" s="1265" t="s">
        <v>259</v>
      </c>
      <c r="G100" s="1265" t="s">
        <v>2035</v>
      </c>
      <c r="H100" s="140" t="s">
        <v>2036</v>
      </c>
      <c r="I100" s="1266"/>
      <c r="J100" s="1262" t="s">
        <v>216</v>
      </c>
      <c r="K100" s="1262" t="s">
        <v>216</v>
      </c>
      <c r="L100" s="1263">
        <v>99.99</v>
      </c>
      <c r="M100" s="1239">
        <f t="shared" si="18"/>
        <v>299.97</v>
      </c>
      <c r="N100" s="306"/>
      <c r="O100" s="306"/>
      <c r="P100" s="306"/>
      <c r="Q100" s="306"/>
      <c r="R100" s="306"/>
      <c r="S100" s="306"/>
      <c r="T100" s="306"/>
      <c r="U100" s="306"/>
      <c r="V100" s="306"/>
      <c r="W100" s="306"/>
      <c r="X100" s="1257"/>
      <c r="Y100" s="1267" t="s">
        <v>2037</v>
      </c>
      <c r="Z100" s="1257">
        <v>1.0</v>
      </c>
      <c r="AA100" s="24"/>
      <c r="AB100" s="24"/>
      <c r="AC100" s="24"/>
      <c r="AD100" s="24"/>
      <c r="AE100" s="24"/>
      <c r="AF100" s="24"/>
      <c r="AG100" s="331"/>
      <c r="AH100" s="331"/>
      <c r="AI100" s="331"/>
      <c r="AJ100" s="333" t="s">
        <v>865</v>
      </c>
      <c r="AK100" s="333">
        <v>5.0</v>
      </c>
      <c r="AL100" s="333">
        <v>0.0</v>
      </c>
      <c r="AM100" s="333">
        <v>7.0</v>
      </c>
      <c r="AN100" s="333">
        <v>6.0</v>
      </c>
      <c r="AO100" s="333">
        <v>3.0</v>
      </c>
      <c r="AP100" s="333">
        <v>12.0</v>
      </c>
      <c r="AQ100" s="333">
        <v>7.0</v>
      </c>
      <c r="AR100" s="333">
        <v>6.0</v>
      </c>
      <c r="AS100" s="333">
        <v>0.0</v>
      </c>
      <c r="AT100" s="333">
        <v>3.0</v>
      </c>
      <c r="AU100" s="333">
        <v>0.0</v>
      </c>
      <c r="AV100" s="333">
        <v>2.0</v>
      </c>
      <c r="AW100" s="333">
        <v>0.0</v>
      </c>
      <c r="AX100" s="333">
        <v>1.0</v>
      </c>
      <c r="AY100" s="333">
        <v>2.0</v>
      </c>
      <c r="AZ100" s="333">
        <v>3.0</v>
      </c>
      <c r="BA100" s="333">
        <v>0.0</v>
      </c>
      <c r="BB100" s="333">
        <v>1.0</v>
      </c>
      <c r="BC100" s="333">
        <v>0.0</v>
      </c>
      <c r="BD100" s="1213"/>
      <c r="BE100" s="1213"/>
      <c r="BF100" s="331"/>
      <c r="BG100" s="331"/>
      <c r="BH100" s="331"/>
      <c r="BI100" s="331"/>
      <c r="BJ100" s="331"/>
      <c r="BK100" s="306"/>
    </row>
    <row r="101" ht="15.75" customHeight="1">
      <c r="A101" s="306"/>
      <c r="B101" s="306"/>
      <c r="C101" s="306"/>
      <c r="D101" s="138" t="s">
        <v>292</v>
      </c>
      <c r="E101" s="138">
        <v>8.0</v>
      </c>
      <c r="F101" s="138" t="s">
        <v>221</v>
      </c>
      <c r="G101" s="138" t="s">
        <v>293</v>
      </c>
      <c r="H101" s="138" t="s">
        <v>295</v>
      </c>
      <c r="I101" s="1268"/>
      <c r="J101" s="1250" t="s">
        <v>216</v>
      </c>
      <c r="K101" s="1250" t="s">
        <v>216</v>
      </c>
      <c r="L101" s="1269">
        <v>80.0</v>
      </c>
      <c r="M101" s="1252">
        <f t="shared" si="18"/>
        <v>640</v>
      </c>
      <c r="N101" s="306"/>
      <c r="O101" s="306"/>
      <c r="P101" s="306"/>
      <c r="Q101" s="306"/>
      <c r="R101" s="306"/>
      <c r="S101" s="306"/>
      <c r="T101" s="306"/>
      <c r="U101" s="306"/>
      <c r="V101" s="306"/>
      <c r="W101" s="306"/>
      <c r="X101" s="1257"/>
      <c r="Y101" s="1267" t="s">
        <v>2038</v>
      </c>
      <c r="Z101" s="1257">
        <v>1.0</v>
      </c>
      <c r="AA101" s="24"/>
      <c r="AB101" s="24"/>
      <c r="AC101" s="24"/>
      <c r="AD101" s="24"/>
      <c r="AE101" s="24"/>
      <c r="AF101" s="24"/>
      <c r="AG101" s="331"/>
      <c r="AH101" s="331"/>
      <c r="AI101" s="331"/>
      <c r="AJ101" s="331"/>
      <c r="AK101" s="331"/>
      <c r="AL101" s="331"/>
      <c r="AM101" s="331"/>
      <c r="AN101" s="331"/>
      <c r="AO101" s="331"/>
      <c r="AP101" s="331"/>
      <c r="AQ101" s="331"/>
      <c r="AR101" s="331"/>
      <c r="AS101" s="331"/>
      <c r="AT101" s="331"/>
      <c r="AU101" s="331"/>
      <c r="AV101" s="331"/>
      <c r="AW101" s="331"/>
      <c r="AX101" s="331"/>
      <c r="AY101" s="331"/>
      <c r="AZ101" s="331"/>
      <c r="BA101" s="331"/>
      <c r="BB101" s="331"/>
      <c r="BC101" s="331"/>
      <c r="BD101" s="331"/>
      <c r="BE101" s="331"/>
      <c r="BF101" s="331"/>
      <c r="BG101" s="331"/>
      <c r="BH101" s="331"/>
      <c r="BI101" s="331"/>
      <c r="BJ101" s="331"/>
      <c r="BK101" s="306"/>
    </row>
    <row r="102" ht="15.75" customHeight="1">
      <c r="A102" s="306"/>
      <c r="B102" s="306"/>
      <c r="D102" s="138" t="s">
        <v>308</v>
      </c>
      <c r="E102" s="138">
        <v>8.0</v>
      </c>
      <c r="F102" s="138" t="s">
        <v>221</v>
      </c>
      <c r="G102" s="138" t="s">
        <v>311</v>
      </c>
      <c r="H102" s="138" t="s">
        <v>313</v>
      </c>
      <c r="I102" s="1268"/>
      <c r="J102" s="1250" t="s">
        <v>216</v>
      </c>
      <c r="K102" s="1250" t="s">
        <v>216</v>
      </c>
      <c r="L102" s="1269">
        <v>40.0</v>
      </c>
      <c r="M102" s="1252">
        <f t="shared" si="18"/>
        <v>320</v>
      </c>
      <c r="N102" s="306"/>
      <c r="O102" s="306"/>
      <c r="P102" s="306"/>
      <c r="Q102" s="306"/>
      <c r="R102" s="306"/>
      <c r="S102" s="306"/>
      <c r="T102" s="306"/>
      <c r="U102" s="306"/>
      <c r="V102" s="306"/>
      <c r="W102" s="306"/>
      <c r="X102" s="1257"/>
      <c r="Y102" s="1267" t="s">
        <v>2039</v>
      </c>
      <c r="Z102" s="1257">
        <v>1.0</v>
      </c>
      <c r="AA102" s="24"/>
      <c r="AB102" s="24"/>
      <c r="AC102" s="24"/>
      <c r="AD102" s="24"/>
      <c r="AE102" s="24"/>
      <c r="AF102" s="24"/>
      <c r="AG102" s="331"/>
      <c r="AH102" s="331"/>
      <c r="AI102" s="331"/>
      <c r="AJ102" s="331"/>
      <c r="AK102" s="331"/>
      <c r="AL102" s="331"/>
      <c r="AM102" s="331"/>
      <c r="AN102" s="331"/>
      <c r="AO102" s="331"/>
      <c r="AP102" s="331"/>
      <c r="AQ102" s="331"/>
      <c r="AR102" s="331"/>
      <c r="AS102" s="331"/>
      <c r="AT102" s="331"/>
      <c r="AU102" s="331"/>
      <c r="AV102" s="331"/>
      <c r="AW102" s="331"/>
      <c r="AX102" s="331"/>
      <c r="AY102" s="331"/>
      <c r="AZ102" s="331"/>
      <c r="BA102" s="331"/>
      <c r="BB102" s="331"/>
      <c r="BC102" s="331"/>
      <c r="BD102" s="331"/>
      <c r="BE102" s="331"/>
      <c r="BF102" s="331"/>
      <c r="BG102" s="331"/>
      <c r="BH102" s="331"/>
      <c r="BI102" s="331"/>
      <c r="BJ102" s="331"/>
      <c r="BK102" s="306"/>
    </row>
    <row r="103" ht="15.75" customHeight="1">
      <c r="A103" s="306"/>
      <c r="B103" s="306"/>
      <c r="D103" s="138" t="s">
        <v>332</v>
      </c>
      <c r="E103" s="138">
        <v>8.0</v>
      </c>
      <c r="F103" s="138" t="s">
        <v>259</v>
      </c>
      <c r="G103" s="138" t="s">
        <v>333</v>
      </c>
      <c r="H103" s="138" t="s">
        <v>334</v>
      </c>
      <c r="I103" s="1268"/>
      <c r="J103" s="1250" t="s">
        <v>216</v>
      </c>
      <c r="K103" s="1268"/>
      <c r="L103" s="1269">
        <v>120.0</v>
      </c>
      <c r="M103" s="1252">
        <f t="shared" si="18"/>
        <v>960</v>
      </c>
      <c r="N103" s="306"/>
      <c r="O103" s="306"/>
      <c r="P103" s="306"/>
      <c r="Q103" s="306"/>
      <c r="R103" s="306"/>
      <c r="S103" s="306"/>
      <c r="T103" s="306"/>
      <c r="U103" s="306"/>
      <c r="V103" s="306"/>
      <c r="W103" s="306"/>
      <c r="X103" s="1257"/>
      <c r="Y103" s="1267" t="s">
        <v>2040</v>
      </c>
      <c r="Z103" s="1257">
        <v>1.0</v>
      </c>
      <c r="AA103" s="24"/>
      <c r="AB103" s="24"/>
      <c r="AC103" s="24"/>
      <c r="AD103" s="24"/>
      <c r="AE103" s="24"/>
      <c r="AF103" s="24"/>
      <c r="AG103" s="331"/>
      <c r="AH103" s="331"/>
      <c r="AI103" s="331"/>
      <c r="AJ103" s="618"/>
      <c r="AK103" s="618" t="s">
        <v>873</v>
      </c>
      <c r="AL103" s="618" t="s">
        <v>427</v>
      </c>
      <c r="AM103" s="618" t="s">
        <v>2041</v>
      </c>
      <c r="AN103" s="618" t="s">
        <v>2042</v>
      </c>
      <c r="AO103" s="618" t="s">
        <v>2043</v>
      </c>
      <c r="AP103" s="618" t="s">
        <v>2044</v>
      </c>
      <c r="AQ103" s="618" t="s">
        <v>2045</v>
      </c>
      <c r="AR103" s="618" t="s">
        <v>2046</v>
      </c>
      <c r="AS103" s="618" t="s">
        <v>2047</v>
      </c>
      <c r="AT103" s="618" t="s">
        <v>2048</v>
      </c>
      <c r="AU103" s="618" t="s">
        <v>2049</v>
      </c>
      <c r="AV103" s="618" t="s">
        <v>2050</v>
      </c>
      <c r="AW103" s="618" t="s">
        <v>2051</v>
      </c>
      <c r="AX103" s="618" t="s">
        <v>2052</v>
      </c>
      <c r="AY103" s="618" t="s">
        <v>2053</v>
      </c>
      <c r="AZ103" s="618" t="s">
        <v>2054</v>
      </c>
      <c r="BA103" s="618" t="s">
        <v>2055</v>
      </c>
      <c r="BB103" s="618" t="s">
        <v>2056</v>
      </c>
      <c r="BC103" s="618" t="s">
        <v>876</v>
      </c>
      <c r="BD103" s="618" t="s">
        <v>877</v>
      </c>
      <c r="BE103" s="618" t="s">
        <v>2017</v>
      </c>
      <c r="BF103" s="618" t="s">
        <v>878</v>
      </c>
      <c r="BG103" s="331"/>
      <c r="BH103" s="331"/>
      <c r="BI103" s="331"/>
      <c r="BJ103" s="331"/>
      <c r="BK103" s="306"/>
    </row>
    <row r="104" ht="15.75" customHeight="1">
      <c r="A104" s="306"/>
      <c r="B104" s="306"/>
      <c r="D104" s="138" t="s">
        <v>344</v>
      </c>
      <c r="E104" s="138">
        <v>4.0</v>
      </c>
      <c r="F104" s="138" t="s">
        <v>259</v>
      </c>
      <c r="G104" s="138" t="s">
        <v>346</v>
      </c>
      <c r="H104" s="138" t="s">
        <v>349</v>
      </c>
      <c r="I104" s="1268"/>
      <c r="J104" s="1250" t="s">
        <v>216</v>
      </c>
      <c r="K104" s="1250" t="s">
        <v>216</v>
      </c>
      <c r="L104" s="1269">
        <v>5000.0</v>
      </c>
      <c r="M104" s="1252">
        <f t="shared" si="18"/>
        <v>20000</v>
      </c>
      <c r="N104" s="306"/>
      <c r="O104" s="306"/>
      <c r="P104" s="306"/>
      <c r="Q104" s="306"/>
      <c r="R104" s="306"/>
      <c r="S104" s="306"/>
      <c r="T104" s="306"/>
      <c r="U104" s="306"/>
      <c r="V104" s="306"/>
      <c r="W104" s="306"/>
      <c r="X104" s="1257"/>
      <c r="Y104" s="1267" t="s">
        <v>2057</v>
      </c>
      <c r="Z104" s="1257">
        <v>1.0</v>
      </c>
      <c r="AA104" s="24"/>
      <c r="AB104" s="24"/>
      <c r="AC104" s="24"/>
      <c r="AD104" s="24"/>
      <c r="AE104" s="24"/>
      <c r="AF104" s="24"/>
      <c r="AG104" s="331"/>
      <c r="AH104" s="331"/>
      <c r="AI104" s="331"/>
      <c r="AJ104" s="333" t="s">
        <v>865</v>
      </c>
      <c r="AK104" s="333" t="s">
        <v>762</v>
      </c>
      <c r="AL104" s="333">
        <v>12.0</v>
      </c>
      <c r="AM104" s="333"/>
      <c r="AN104" s="333"/>
      <c r="AO104" s="333"/>
      <c r="AP104" s="333"/>
      <c r="AQ104" s="333"/>
      <c r="AR104" s="333"/>
      <c r="AS104" s="333"/>
      <c r="AT104" s="333"/>
      <c r="AU104" s="333"/>
      <c r="AV104" s="333"/>
      <c r="AW104" s="333"/>
      <c r="AX104" s="333"/>
      <c r="AY104" s="333"/>
      <c r="AZ104" s="333"/>
      <c r="BA104" s="333"/>
      <c r="BB104" s="333"/>
      <c r="BC104" s="333"/>
      <c r="BD104" s="333"/>
      <c r="BE104" s="333"/>
      <c r="BF104" s="333"/>
      <c r="BG104" s="331"/>
      <c r="BH104" s="331"/>
      <c r="BI104" s="331"/>
      <c r="BJ104" s="331"/>
      <c r="BK104" s="306"/>
    </row>
    <row r="105" ht="15.75" customHeight="1">
      <c r="A105" s="306"/>
      <c r="B105" s="306"/>
      <c r="D105" s="1270" t="s">
        <v>361</v>
      </c>
      <c r="E105" s="1271"/>
      <c r="F105" s="1271"/>
      <c r="G105" s="1271"/>
      <c r="H105" s="1271"/>
      <c r="I105" s="1271"/>
      <c r="J105" s="1271"/>
      <c r="K105" s="1271"/>
      <c r="L105" s="1272"/>
      <c r="M105" s="1271"/>
      <c r="N105" s="306"/>
      <c r="O105" s="306"/>
      <c r="P105" s="306"/>
      <c r="Q105" s="306"/>
      <c r="R105" s="306"/>
      <c r="S105" s="306"/>
      <c r="T105" s="306"/>
      <c r="U105" s="306"/>
      <c r="V105" s="306"/>
      <c r="W105" s="306"/>
      <c r="X105" s="1257"/>
      <c r="Y105" s="1267" t="s">
        <v>2058</v>
      </c>
      <c r="Z105" s="1257">
        <v>1.0</v>
      </c>
      <c r="AA105" s="24"/>
      <c r="AB105" s="24"/>
      <c r="AC105" s="24"/>
      <c r="AD105" s="24"/>
      <c r="AE105" s="24"/>
      <c r="AF105" s="24"/>
      <c r="AG105" s="331"/>
      <c r="AH105" s="331"/>
      <c r="AI105" s="331"/>
      <c r="AJ105" s="333"/>
      <c r="AK105" s="333">
        <v>29.0</v>
      </c>
      <c r="AL105" s="333">
        <v>6.0</v>
      </c>
      <c r="AM105" s="333">
        <v>5.6</v>
      </c>
      <c r="AN105" s="333" t="s">
        <v>950</v>
      </c>
      <c r="AO105" s="333">
        <v>3.0</v>
      </c>
      <c r="AP105" s="333" t="s">
        <v>950</v>
      </c>
      <c r="AQ105" s="333">
        <v>2.68</v>
      </c>
      <c r="AR105" s="333" t="s">
        <v>1330</v>
      </c>
      <c r="AS105" s="333">
        <v>1.4</v>
      </c>
      <c r="AT105" s="333" t="s">
        <v>950</v>
      </c>
      <c r="AU105" s="333">
        <v>1.0</v>
      </c>
      <c r="AV105" s="333" t="s">
        <v>2019</v>
      </c>
      <c r="AW105" s="333">
        <v>2.4</v>
      </c>
      <c r="AX105" s="333" t="s">
        <v>950</v>
      </c>
      <c r="AY105" s="333">
        <v>1.5</v>
      </c>
      <c r="AZ105" s="333" t="s">
        <v>2019</v>
      </c>
      <c r="BA105" s="333">
        <v>1.5</v>
      </c>
      <c r="BB105" s="333" t="s">
        <v>2019</v>
      </c>
      <c r="BC105" s="333">
        <v>7.32</v>
      </c>
      <c r="BD105" s="333">
        <v>0.0</v>
      </c>
      <c r="BE105" s="333">
        <v>5.5</v>
      </c>
      <c r="BF105" s="333">
        <f t="shared" ref="BF105:BF107" si="19">SUM(AM105,AO105,AQ105,AS105,AU105,AW105,AY105,BA105,BC105,BE105,BD105)</f>
        <v>31.9</v>
      </c>
      <c r="BG105" s="331"/>
      <c r="BH105" s="331"/>
      <c r="BI105" s="331"/>
      <c r="BJ105" s="331"/>
      <c r="BK105" s="306"/>
    </row>
    <row r="106" ht="15.75" customHeight="1">
      <c r="A106" s="306"/>
      <c r="B106" s="306"/>
      <c r="C106" s="306"/>
      <c r="D106" s="1273" t="s">
        <v>208</v>
      </c>
      <c r="E106" s="1273" t="s">
        <v>210</v>
      </c>
      <c r="F106" s="1273" t="s">
        <v>212</v>
      </c>
      <c r="G106" s="1273" t="s">
        <v>248</v>
      </c>
      <c r="H106" s="1273" t="s">
        <v>249</v>
      </c>
      <c r="I106" s="1274"/>
      <c r="J106" s="1275" t="s">
        <v>216</v>
      </c>
      <c r="K106" s="1275" t="s">
        <v>217</v>
      </c>
      <c r="L106" s="1275" t="s">
        <v>218</v>
      </c>
      <c r="M106" s="1275" t="s">
        <v>219</v>
      </c>
      <c r="N106" s="306"/>
      <c r="O106" s="306"/>
      <c r="P106" s="306"/>
      <c r="Q106" s="306"/>
      <c r="R106" s="306"/>
      <c r="S106" s="306"/>
      <c r="T106" s="306"/>
      <c r="U106" s="306"/>
      <c r="V106" s="306"/>
      <c r="W106" s="306"/>
      <c r="X106" s="1257"/>
      <c r="Y106" s="1267" t="s">
        <v>2059</v>
      </c>
      <c r="Z106" s="1257">
        <v>1.0</v>
      </c>
      <c r="AA106" s="24"/>
      <c r="AB106" s="24"/>
      <c r="AC106" s="24"/>
      <c r="AD106" s="24"/>
      <c r="AE106" s="24"/>
      <c r="AF106" s="24"/>
      <c r="AG106" s="331"/>
      <c r="AH106" s="331"/>
      <c r="AI106" s="331"/>
      <c r="AJ106" s="333"/>
      <c r="AK106" s="333">
        <v>30.0</v>
      </c>
      <c r="AL106" s="333">
        <v>5.0</v>
      </c>
      <c r="AM106" s="333">
        <v>4.87</v>
      </c>
      <c r="AN106" s="333" t="s">
        <v>950</v>
      </c>
      <c r="AO106" s="333">
        <v>1.4</v>
      </c>
      <c r="AP106" s="333" t="s">
        <v>950</v>
      </c>
      <c r="AQ106" s="333">
        <v>5.9</v>
      </c>
      <c r="AR106" s="333" t="s">
        <v>950</v>
      </c>
      <c r="AS106" s="333">
        <v>1.4</v>
      </c>
      <c r="AT106" s="333" t="s">
        <v>950</v>
      </c>
      <c r="AU106" s="333">
        <v>2.06</v>
      </c>
      <c r="AV106" s="333" t="s">
        <v>2060</v>
      </c>
      <c r="AW106" s="333">
        <v>1.27</v>
      </c>
      <c r="AX106" s="333" t="s">
        <v>950</v>
      </c>
      <c r="AY106" s="333">
        <v>8.28</v>
      </c>
      <c r="AZ106" s="333" t="s">
        <v>2019</v>
      </c>
      <c r="BA106" s="333">
        <v>8.28</v>
      </c>
      <c r="BB106" s="333" t="s">
        <v>2019</v>
      </c>
      <c r="BC106" s="333">
        <v>7.32</v>
      </c>
      <c r="BD106" s="333">
        <v>0.0</v>
      </c>
      <c r="BE106" s="333">
        <v>5.5</v>
      </c>
      <c r="BF106" s="333">
        <f t="shared" si="19"/>
        <v>46.28</v>
      </c>
      <c r="BG106" s="331"/>
      <c r="BH106" s="331"/>
      <c r="BI106" s="331"/>
      <c r="BJ106" s="331"/>
      <c r="BK106" s="306"/>
    </row>
    <row r="107" ht="15.75" customHeight="1">
      <c r="A107" s="306"/>
      <c r="B107" s="306"/>
      <c r="C107" s="306"/>
      <c r="D107" s="1276" t="s">
        <v>378</v>
      </c>
      <c r="E107" s="1276">
        <v>117.0</v>
      </c>
      <c r="F107" s="1276" t="s">
        <v>221</v>
      </c>
      <c r="G107" s="1276" t="s">
        <v>379</v>
      </c>
      <c r="H107" s="1276" t="s">
        <v>380</v>
      </c>
      <c r="I107" s="1277"/>
      <c r="J107" s="1278" t="s">
        <v>216</v>
      </c>
      <c r="K107" s="1278" t="s">
        <v>216</v>
      </c>
      <c r="L107" s="1279">
        <v>1.95</v>
      </c>
      <c r="M107" s="1280">
        <f t="shared" ref="M107:M109" si="20">L107*E107</f>
        <v>228.15</v>
      </c>
      <c r="N107" s="306"/>
      <c r="O107" s="306"/>
      <c r="P107" s="306"/>
      <c r="Q107" s="306"/>
      <c r="R107" s="306"/>
      <c r="S107" s="306"/>
      <c r="T107" s="306"/>
      <c r="U107" s="306"/>
      <c r="V107" s="306"/>
      <c r="W107" s="306"/>
      <c r="X107" s="1257"/>
      <c r="Y107" s="1264" t="s">
        <v>2061</v>
      </c>
      <c r="Z107" s="1257">
        <v>1.0</v>
      </c>
      <c r="AA107" s="24"/>
      <c r="AB107" s="24"/>
      <c r="AC107" s="24"/>
      <c r="AD107" s="24"/>
      <c r="AE107" s="24"/>
      <c r="AF107" s="24"/>
      <c r="AG107" s="331"/>
      <c r="AH107" s="331"/>
      <c r="AI107" s="331"/>
      <c r="AJ107" s="333"/>
      <c r="AK107" s="333">
        <v>31.0</v>
      </c>
      <c r="AL107" s="333">
        <v>1.0</v>
      </c>
      <c r="AM107" s="333">
        <v>0.93</v>
      </c>
      <c r="AN107" s="333" t="s">
        <v>950</v>
      </c>
      <c r="AO107" s="333"/>
      <c r="AP107" s="333"/>
      <c r="AQ107" s="333"/>
      <c r="AR107" s="333"/>
      <c r="AS107" s="333"/>
      <c r="AT107" s="333"/>
      <c r="AU107" s="333"/>
      <c r="AV107" s="333"/>
      <c r="AW107" s="333"/>
      <c r="AX107" s="333"/>
      <c r="AY107" s="333"/>
      <c r="AZ107" s="333"/>
      <c r="BA107" s="333"/>
      <c r="BB107" s="333"/>
      <c r="BC107" s="333"/>
      <c r="BD107" s="333"/>
      <c r="BE107" s="333">
        <v>5.5</v>
      </c>
      <c r="BF107" s="333">
        <f t="shared" si="19"/>
        <v>6.43</v>
      </c>
      <c r="BG107" s="331"/>
      <c r="BH107" s="331"/>
      <c r="BI107" s="331"/>
      <c r="BJ107" s="331"/>
      <c r="BK107" s="306"/>
    </row>
    <row r="108" ht="15.75" customHeight="1">
      <c r="A108" s="306"/>
      <c r="B108" s="306"/>
      <c r="C108" s="306"/>
      <c r="D108" s="1276" t="s">
        <v>381</v>
      </c>
      <c r="E108" s="1217">
        <v>10.0</v>
      </c>
      <c r="F108" s="1276" t="s">
        <v>221</v>
      </c>
      <c r="G108" s="1276" t="s">
        <v>379</v>
      </c>
      <c r="H108" s="1281" t="s">
        <v>2062</v>
      </c>
      <c r="I108" s="1282"/>
      <c r="J108" s="1278" t="s">
        <v>216</v>
      </c>
      <c r="K108" s="1278" t="s">
        <v>216</v>
      </c>
      <c r="L108" s="1279">
        <v>1.95</v>
      </c>
      <c r="M108" s="1280">
        <f t="shared" si="20"/>
        <v>19.5</v>
      </c>
      <c r="N108" s="306"/>
      <c r="O108" s="306"/>
      <c r="P108" s="306"/>
      <c r="Q108" s="306"/>
      <c r="R108" s="306"/>
      <c r="S108" s="306"/>
      <c r="T108" s="306"/>
      <c r="U108" s="306"/>
      <c r="V108" s="306"/>
      <c r="W108" s="306"/>
      <c r="X108" s="1257"/>
      <c r="Y108" s="1264" t="s">
        <v>2063</v>
      </c>
      <c r="Z108" s="1257">
        <v>1.0</v>
      </c>
      <c r="AA108" s="24"/>
      <c r="AB108" s="24"/>
      <c r="AC108" s="24"/>
      <c r="AD108" s="24"/>
      <c r="AE108" s="24"/>
      <c r="AF108" s="24"/>
      <c r="AG108" s="331"/>
      <c r="AH108" s="331"/>
      <c r="AI108" s="331"/>
      <c r="AJ108" s="331"/>
      <c r="AK108" s="331"/>
      <c r="AL108" s="331"/>
      <c r="AM108" s="331"/>
      <c r="AN108" s="331"/>
      <c r="AO108" s="331"/>
      <c r="AP108" s="331"/>
      <c r="AQ108" s="331"/>
      <c r="AR108" s="331"/>
      <c r="AS108" s="331"/>
      <c r="AT108" s="331"/>
      <c r="AU108" s="331"/>
      <c r="AV108" s="331"/>
      <c r="AW108" s="331"/>
      <c r="AX108" s="331"/>
      <c r="AY108" s="331"/>
      <c r="AZ108" s="331"/>
      <c r="BA108" s="331"/>
      <c r="BB108" s="331"/>
      <c r="BC108" s="331"/>
      <c r="BD108" s="331"/>
      <c r="BE108" s="331"/>
      <c r="BF108" s="331"/>
      <c r="BG108" s="331"/>
      <c r="BH108" s="331"/>
      <c r="BI108" s="331"/>
      <c r="BJ108" s="331"/>
      <c r="BK108" s="306"/>
    </row>
    <row r="109" ht="15.75" customHeight="1">
      <c r="A109" s="306"/>
      <c r="B109" s="306"/>
      <c r="C109" s="306"/>
      <c r="D109" s="1276" t="s">
        <v>381</v>
      </c>
      <c r="E109" s="1276">
        <v>3.0</v>
      </c>
      <c r="F109" s="1276" t="s">
        <v>221</v>
      </c>
      <c r="G109" s="1276" t="s">
        <v>383</v>
      </c>
      <c r="H109" s="1276" t="s">
        <v>2064</v>
      </c>
      <c r="I109" s="1282" t="s">
        <v>386</v>
      </c>
      <c r="J109" s="1278" t="s">
        <v>216</v>
      </c>
      <c r="K109" s="1278" t="s">
        <v>216</v>
      </c>
      <c r="L109" s="1279">
        <v>7.49</v>
      </c>
      <c r="M109" s="1280">
        <f t="shared" si="20"/>
        <v>22.47</v>
      </c>
      <c r="N109" s="306"/>
      <c r="O109" s="306"/>
      <c r="P109" s="306"/>
      <c r="Q109" s="306"/>
      <c r="R109" s="306"/>
      <c r="S109" s="306"/>
      <c r="T109" s="306"/>
      <c r="U109" s="306"/>
      <c r="V109" s="306"/>
      <c r="W109" s="306"/>
      <c r="X109" s="1264"/>
      <c r="Y109" s="1264" t="s">
        <v>2065</v>
      </c>
      <c r="Z109" s="1257">
        <v>1.0</v>
      </c>
      <c r="AA109" s="24"/>
      <c r="AB109" s="24"/>
      <c r="AC109" s="24"/>
      <c r="AD109" s="24"/>
      <c r="AE109" s="24"/>
      <c r="AF109" s="24"/>
      <c r="AG109" s="331"/>
      <c r="AH109" s="331"/>
      <c r="AI109" s="331"/>
      <c r="AJ109" s="331"/>
      <c r="AK109" s="331"/>
      <c r="AL109" s="331"/>
      <c r="AM109" s="331"/>
      <c r="AN109" s="331"/>
      <c r="AO109" s="331"/>
      <c r="AP109" s="331"/>
      <c r="AQ109" s="331"/>
      <c r="AR109" s="331"/>
      <c r="AS109" s="331"/>
      <c r="AT109" s="331"/>
      <c r="AU109" s="331"/>
      <c r="AV109" s="331"/>
      <c r="AW109" s="331"/>
      <c r="AX109" s="331"/>
      <c r="AY109" s="331"/>
      <c r="AZ109" s="331"/>
      <c r="BA109" s="331"/>
      <c r="BB109" s="331"/>
      <c r="BC109" s="331"/>
      <c r="BD109" s="331"/>
      <c r="BE109" s="331"/>
      <c r="BF109" s="331"/>
      <c r="BG109" s="331"/>
      <c r="BH109" s="331"/>
      <c r="BI109" s="331"/>
      <c r="BJ109" s="331"/>
      <c r="BK109" s="306"/>
    </row>
    <row r="110" ht="15.75" customHeight="1">
      <c r="A110" s="306"/>
      <c r="B110" s="306"/>
      <c r="C110" s="306"/>
      <c r="D110" s="1283"/>
      <c r="E110" s="1283"/>
      <c r="F110" s="1283"/>
      <c r="G110" s="1283"/>
      <c r="H110" s="1283"/>
      <c r="I110" s="1282"/>
      <c r="J110" s="1284"/>
      <c r="K110" s="1284"/>
      <c r="L110" s="1285" t="s">
        <v>411</v>
      </c>
      <c r="M110" s="1286">
        <f>SUM(M94:M109)</f>
        <v>30821.96</v>
      </c>
      <c r="N110" s="306"/>
      <c r="O110" s="306"/>
      <c r="P110" s="306"/>
      <c r="Q110" s="306"/>
      <c r="R110" s="306"/>
      <c r="S110" s="306"/>
      <c r="T110" s="306"/>
      <c r="U110" s="306"/>
      <c r="V110" s="306"/>
      <c r="W110" s="306"/>
      <c r="X110" s="1264"/>
      <c r="Y110" s="1264" t="s">
        <v>2066</v>
      </c>
      <c r="Z110" s="1257">
        <v>1.0</v>
      </c>
      <c r="AA110" s="24"/>
      <c r="AB110" s="24"/>
      <c r="AC110" s="24"/>
      <c r="AD110" s="24"/>
      <c r="AE110" s="24"/>
      <c r="AF110" s="24"/>
      <c r="AG110" s="331"/>
      <c r="AH110" s="331"/>
      <c r="AI110" s="331"/>
      <c r="AJ110" s="331"/>
      <c r="AK110" s="331"/>
      <c r="AL110" s="331"/>
      <c r="AM110" s="331"/>
      <c r="AN110" s="331"/>
      <c r="AO110" s="331"/>
      <c r="AP110" s="331"/>
      <c r="AQ110" s="331"/>
      <c r="AR110" s="331"/>
      <c r="AS110" s="331"/>
      <c r="AT110" s="331"/>
      <c r="AU110" s="331"/>
      <c r="AV110" s="331"/>
      <c r="AW110" s="331"/>
      <c r="AX110" s="331"/>
      <c r="AY110" s="331"/>
      <c r="AZ110" s="331"/>
      <c r="BA110" s="331"/>
      <c r="BB110" s="331"/>
      <c r="BC110" s="331"/>
      <c r="BD110" s="331"/>
      <c r="BE110" s="331"/>
      <c r="BF110" s="331"/>
      <c r="BG110" s="331"/>
      <c r="BH110" s="331"/>
      <c r="BI110" s="331"/>
      <c r="BJ110" s="331"/>
      <c r="BK110" s="306"/>
    </row>
    <row r="111" ht="15.75" customHeight="1">
      <c r="A111" s="306"/>
      <c r="B111" s="306"/>
      <c r="C111" s="306"/>
      <c r="N111" s="306"/>
      <c r="O111" s="306"/>
      <c r="P111" s="306"/>
      <c r="Q111" s="306"/>
      <c r="R111" s="306"/>
      <c r="S111" s="306"/>
      <c r="T111" s="306"/>
      <c r="U111" s="306"/>
      <c r="V111" s="306"/>
      <c r="W111" s="306"/>
      <c r="X111" s="1264"/>
      <c r="Y111" s="1264" t="s">
        <v>2067</v>
      </c>
      <c r="Z111" s="1257">
        <v>1.0</v>
      </c>
      <c r="AA111" s="24"/>
      <c r="AB111" s="24"/>
      <c r="AC111" s="24"/>
      <c r="AD111" s="24"/>
      <c r="AE111" s="24"/>
      <c r="AF111" s="24"/>
      <c r="AG111" s="331"/>
      <c r="AH111" s="331"/>
      <c r="AI111" s="331"/>
      <c r="AJ111" s="333"/>
      <c r="AK111" s="1287" t="s">
        <v>563</v>
      </c>
      <c r="AL111" s="1287"/>
      <c r="AM111" s="1287"/>
      <c r="AN111" s="1287" t="s">
        <v>565</v>
      </c>
      <c r="AO111" s="1287"/>
      <c r="AP111" s="333"/>
      <c r="AQ111" s="333" t="s">
        <v>569</v>
      </c>
      <c r="AR111" s="335" t="s">
        <v>2068</v>
      </c>
      <c r="AS111" s="13"/>
      <c r="AT111" s="333" t="s">
        <v>574</v>
      </c>
      <c r="AU111" s="335" t="s">
        <v>576</v>
      </c>
      <c r="AV111" s="12"/>
      <c r="AW111" s="12"/>
      <c r="AX111" s="12"/>
      <c r="AY111" s="12"/>
      <c r="AZ111" s="13"/>
      <c r="BA111" s="335" t="s">
        <v>2025</v>
      </c>
      <c r="BB111" s="12"/>
      <c r="BC111" s="12"/>
      <c r="BD111" s="12"/>
      <c r="BE111" s="12"/>
      <c r="BF111" s="13"/>
      <c r="BG111" s="331"/>
      <c r="BH111" s="331"/>
      <c r="BI111" s="331"/>
      <c r="BJ111" s="331"/>
      <c r="BK111" s="306"/>
    </row>
    <row r="112" ht="15.75" customHeight="1">
      <c r="A112" s="306"/>
      <c r="B112" s="306"/>
      <c r="C112" s="306"/>
      <c r="N112" s="306"/>
      <c r="O112" s="306"/>
      <c r="P112" s="306"/>
      <c r="Q112" s="306"/>
      <c r="R112" s="306"/>
      <c r="S112" s="306"/>
      <c r="T112" s="306"/>
      <c r="U112" s="306"/>
      <c r="V112" s="306"/>
      <c r="W112" s="306"/>
      <c r="X112" s="1264"/>
      <c r="Y112" s="1264" t="s">
        <v>2069</v>
      </c>
      <c r="Z112" s="1257">
        <v>1.0</v>
      </c>
      <c r="AA112" s="24"/>
      <c r="AB112" s="24"/>
      <c r="AC112" s="24"/>
      <c r="AD112" s="24"/>
      <c r="AE112" s="24"/>
      <c r="AF112" s="24"/>
      <c r="AG112" s="331"/>
      <c r="AH112" s="331"/>
      <c r="AI112" s="331"/>
      <c r="AJ112" s="333"/>
      <c r="AK112" s="333"/>
      <c r="AL112" s="333"/>
      <c r="AM112" s="333"/>
      <c r="AN112" s="333"/>
      <c r="AO112" s="333"/>
      <c r="AP112" s="333"/>
      <c r="AQ112" s="333"/>
      <c r="AR112" s="333" t="s">
        <v>582</v>
      </c>
      <c r="AS112" s="333"/>
      <c r="AT112" s="333"/>
      <c r="AU112" s="333" t="s">
        <v>582</v>
      </c>
      <c r="AV112" s="333" t="s">
        <v>2026</v>
      </c>
      <c r="AW112" s="333" t="s">
        <v>583</v>
      </c>
      <c r="AX112" s="333" t="s">
        <v>2027</v>
      </c>
      <c r="AY112" s="333" t="s">
        <v>585</v>
      </c>
      <c r="AZ112" s="333" t="s">
        <v>2028</v>
      </c>
      <c r="BA112" s="333"/>
      <c r="BB112" s="333"/>
      <c r="BC112" s="333"/>
      <c r="BD112" s="333"/>
      <c r="BE112" s="333"/>
      <c r="BF112" s="333"/>
      <c r="BG112" s="331"/>
      <c r="BH112" s="331"/>
      <c r="BI112" s="331"/>
      <c r="BJ112" s="331"/>
      <c r="BK112" s="306"/>
    </row>
    <row r="113" ht="15.75" customHeight="1">
      <c r="A113" s="306"/>
      <c r="B113" s="306"/>
      <c r="C113" s="306"/>
      <c r="N113" s="306"/>
      <c r="O113" s="306"/>
      <c r="P113" s="306"/>
      <c r="Q113" s="306"/>
      <c r="R113" s="306"/>
      <c r="S113" s="306"/>
      <c r="T113" s="306"/>
      <c r="U113" s="306"/>
      <c r="V113" s="306"/>
      <c r="W113" s="306"/>
      <c r="X113" s="1264"/>
      <c r="Y113" s="1264" t="s">
        <v>1988</v>
      </c>
      <c r="Z113" s="1257">
        <v>1.0</v>
      </c>
      <c r="AA113" s="24"/>
      <c r="AB113" s="24"/>
      <c r="AC113" s="24"/>
      <c r="AD113" s="24"/>
      <c r="AE113" s="24"/>
      <c r="AF113" s="24"/>
      <c r="AG113" s="331"/>
      <c r="AH113" s="331"/>
      <c r="AI113" s="331"/>
      <c r="AJ113" s="321" t="s">
        <v>38</v>
      </c>
      <c r="AK113" s="321" t="s">
        <v>379</v>
      </c>
      <c r="AL113" s="321" t="s">
        <v>593</v>
      </c>
      <c r="AM113" s="321" t="s">
        <v>383</v>
      </c>
      <c r="AN113" s="321" t="s">
        <v>559</v>
      </c>
      <c r="AO113" s="322" t="s">
        <v>560</v>
      </c>
      <c r="AP113" s="321" t="s">
        <v>115</v>
      </c>
      <c r="AQ113" s="321" t="s">
        <v>594</v>
      </c>
      <c r="AR113" s="321" t="s">
        <v>595</v>
      </c>
      <c r="AS113" s="321" t="s">
        <v>118</v>
      </c>
      <c r="AT113" s="321" t="s">
        <v>595</v>
      </c>
      <c r="AU113" s="321" t="s">
        <v>2030</v>
      </c>
      <c r="AV113" s="321" t="s">
        <v>2031</v>
      </c>
      <c r="AW113" s="321" t="s">
        <v>2032</v>
      </c>
      <c r="AX113" s="321" t="s">
        <v>2033</v>
      </c>
      <c r="AY113" s="321" t="s">
        <v>601</v>
      </c>
      <c r="AZ113" s="321" t="s">
        <v>2034</v>
      </c>
      <c r="BA113" s="321" t="s">
        <v>2030</v>
      </c>
      <c r="BB113" s="321" t="s">
        <v>2031</v>
      </c>
      <c r="BC113" s="321" t="s">
        <v>2032</v>
      </c>
      <c r="BD113" s="321" t="s">
        <v>2033</v>
      </c>
      <c r="BE113" s="321" t="s">
        <v>601</v>
      </c>
      <c r="BF113" s="321" t="s">
        <v>2034</v>
      </c>
      <c r="BG113" s="331"/>
      <c r="BH113" s="331"/>
      <c r="BI113" s="331"/>
      <c r="BJ113" s="331"/>
      <c r="BK113" s="306"/>
    </row>
    <row r="114" ht="15.75" customHeight="1">
      <c r="A114" s="306"/>
      <c r="B114" s="306"/>
      <c r="C114" s="306"/>
      <c r="D114" s="1288" t="s">
        <v>1150</v>
      </c>
      <c r="E114" s="12"/>
      <c r="F114" s="12"/>
      <c r="G114" s="12"/>
      <c r="H114" s="12"/>
      <c r="I114" s="12"/>
      <c r="J114" s="12"/>
      <c r="K114" s="13"/>
      <c r="L114" s="306"/>
      <c r="M114" s="306"/>
      <c r="N114" s="306"/>
      <c r="O114" s="306"/>
      <c r="P114" s="306"/>
      <c r="Q114" s="306"/>
      <c r="R114" s="306"/>
      <c r="S114" s="306"/>
      <c r="T114" s="306"/>
      <c r="U114" s="306"/>
      <c r="V114" s="306"/>
      <c r="W114" s="306"/>
      <c r="X114" s="1264"/>
      <c r="Y114" s="1264" t="s">
        <v>2070</v>
      </c>
      <c r="Z114" s="1257">
        <v>1.0</v>
      </c>
      <c r="AA114" s="31"/>
      <c r="AB114" s="31"/>
      <c r="AC114" s="31"/>
      <c r="AD114" s="31"/>
      <c r="AE114" s="31"/>
      <c r="AF114" s="31"/>
      <c r="AG114" s="331"/>
      <c r="AH114" s="331"/>
      <c r="AI114" s="331"/>
      <c r="AJ114" s="333" t="s">
        <v>880</v>
      </c>
      <c r="AK114" s="333">
        <v>2.0</v>
      </c>
      <c r="AL114" s="333">
        <v>0.0</v>
      </c>
      <c r="AM114" s="333">
        <v>10.0</v>
      </c>
      <c r="AN114" s="333">
        <v>4.0</v>
      </c>
      <c r="AO114" s="333">
        <v>4.0</v>
      </c>
      <c r="AP114" s="333">
        <v>12.0</v>
      </c>
      <c r="AQ114" s="333">
        <v>6.0</v>
      </c>
      <c r="AR114" s="333">
        <v>1.0</v>
      </c>
      <c r="AS114" s="333">
        <v>2.0</v>
      </c>
      <c r="AT114" s="333">
        <v>1.0</v>
      </c>
      <c r="AU114" s="333">
        <v>6.0</v>
      </c>
      <c r="AV114" s="333">
        <v>0.0</v>
      </c>
      <c r="AW114" s="333">
        <v>0.0</v>
      </c>
      <c r="AX114" s="333">
        <v>0.0</v>
      </c>
      <c r="AY114" s="333">
        <v>0.0</v>
      </c>
      <c r="AZ114" s="333">
        <v>0.0</v>
      </c>
      <c r="BA114" s="333">
        <v>0.0</v>
      </c>
      <c r="BB114" s="333">
        <v>1.0</v>
      </c>
      <c r="BC114" s="333">
        <v>0.0</v>
      </c>
      <c r="BD114" s="333">
        <v>0.0</v>
      </c>
      <c r="BE114" s="333">
        <v>0.0</v>
      </c>
      <c r="BF114" s="333">
        <v>0.0</v>
      </c>
      <c r="BG114" s="331"/>
      <c r="BH114" s="331"/>
      <c r="BI114" s="331"/>
      <c r="BJ114" s="331"/>
      <c r="BK114" s="306"/>
    </row>
    <row r="115" ht="15.75" customHeight="1">
      <c r="A115" s="306"/>
      <c r="B115" s="306"/>
      <c r="C115" s="306"/>
      <c r="D115" s="1289" t="s">
        <v>782</v>
      </c>
      <c r="E115" s="1289" t="s">
        <v>2071</v>
      </c>
      <c r="F115" s="1289" t="s">
        <v>785</v>
      </c>
      <c r="G115" s="1289" t="s">
        <v>786</v>
      </c>
      <c r="H115" s="1289" t="s">
        <v>787</v>
      </c>
      <c r="I115" s="1289" t="s">
        <v>2072</v>
      </c>
      <c r="J115" s="1289" t="s">
        <v>789</v>
      </c>
      <c r="K115" s="1289" t="s">
        <v>2073</v>
      </c>
      <c r="L115" s="306"/>
      <c r="M115" s="306"/>
      <c r="N115" s="306"/>
      <c r="O115" s="306"/>
      <c r="P115" s="306"/>
      <c r="Q115" s="306"/>
      <c r="R115" s="306"/>
      <c r="S115" s="306"/>
      <c r="T115" s="306"/>
      <c r="U115" s="306"/>
      <c r="V115" s="306"/>
      <c r="W115" s="306"/>
      <c r="X115" s="1290" t="s">
        <v>2074</v>
      </c>
      <c r="Y115" s="1290" t="s">
        <v>533</v>
      </c>
      <c r="Z115" s="1290">
        <v>1.0</v>
      </c>
      <c r="AA115" s="1291">
        <v>3.0</v>
      </c>
      <c r="AB115" s="535">
        <v>4.0</v>
      </c>
      <c r="AC115" s="1292">
        <v>2.0</v>
      </c>
      <c r="AD115" s="1292">
        <v>1.0</v>
      </c>
      <c r="AE115" s="362">
        <v>0.0</v>
      </c>
      <c r="AF115" s="1292">
        <v>0.0</v>
      </c>
      <c r="AG115" s="331"/>
      <c r="AH115" s="331"/>
      <c r="AI115" s="331"/>
      <c r="AJ115" s="331"/>
      <c r="AK115" s="331"/>
      <c r="AL115" s="331"/>
      <c r="AM115" s="331"/>
      <c r="AN115" s="331"/>
      <c r="AO115" s="331"/>
      <c r="AP115" s="331"/>
      <c r="AQ115" s="331"/>
      <c r="AR115" s="331"/>
      <c r="AS115" s="331"/>
      <c r="AT115" s="331"/>
      <c r="AU115" s="331"/>
      <c r="AV115" s="331"/>
      <c r="AW115" s="331"/>
      <c r="AX115" s="331"/>
      <c r="AY115" s="331"/>
      <c r="AZ115" s="331"/>
      <c r="BA115" s="331"/>
      <c r="BB115" s="331"/>
      <c r="BC115" s="331"/>
      <c r="BD115" s="331"/>
      <c r="BE115" s="331"/>
      <c r="BF115" s="331"/>
      <c r="BG115" s="331"/>
      <c r="BH115" s="331"/>
      <c r="BI115" s="331"/>
      <c r="BJ115" s="331"/>
      <c r="BK115" s="306"/>
    </row>
    <row r="116" ht="15.75" customHeight="1">
      <c r="A116" s="306"/>
      <c r="B116" s="306"/>
      <c r="C116" s="306"/>
      <c r="D116" s="1293" t="s">
        <v>2075</v>
      </c>
      <c r="E116" s="1294" t="s">
        <v>2076</v>
      </c>
      <c r="F116" s="1294" t="s">
        <v>2077</v>
      </c>
      <c r="G116" s="1294" t="s">
        <v>2078</v>
      </c>
      <c r="H116" s="1294" t="s">
        <v>2079</v>
      </c>
      <c r="I116" s="1294" t="s">
        <v>2080</v>
      </c>
      <c r="J116" s="1293" t="s">
        <v>2081</v>
      </c>
      <c r="K116" s="1293">
        <v>12.5</v>
      </c>
      <c r="L116" s="306"/>
      <c r="M116" s="306"/>
      <c r="N116" s="306"/>
      <c r="O116" s="306"/>
      <c r="P116" s="306"/>
      <c r="Q116" s="306"/>
      <c r="R116" s="306"/>
      <c r="S116" s="306"/>
      <c r="T116" s="306"/>
      <c r="U116" s="306"/>
      <c r="V116" s="306"/>
      <c r="W116" s="306"/>
      <c r="X116" s="1290"/>
      <c r="Y116" s="1290" t="s">
        <v>2082</v>
      </c>
      <c r="Z116" s="1290">
        <v>1.0</v>
      </c>
      <c r="AA116" s="24"/>
      <c r="AB116" s="24"/>
      <c r="AC116" s="24"/>
      <c r="AD116" s="24"/>
      <c r="AE116" s="24"/>
      <c r="AF116" s="24"/>
      <c r="AG116" s="331"/>
      <c r="AH116" s="331"/>
      <c r="AI116" s="331"/>
      <c r="AJ116" s="331"/>
      <c r="AK116" s="331"/>
      <c r="AL116" s="331"/>
      <c r="AM116" s="331"/>
      <c r="AN116" s="331"/>
      <c r="AO116" s="331"/>
      <c r="AP116" s="331"/>
      <c r="AQ116" s="331"/>
      <c r="AR116" s="331"/>
      <c r="AS116" s="331"/>
      <c r="AT116" s="331"/>
      <c r="AU116" s="331"/>
      <c r="AV116" s="331"/>
      <c r="AW116" s="331"/>
      <c r="AX116" s="331"/>
      <c r="AY116" s="331"/>
      <c r="AZ116" s="331"/>
      <c r="BA116" s="331"/>
      <c r="BB116" s="331"/>
      <c r="BC116" s="331"/>
      <c r="BD116" s="331"/>
      <c r="BE116" s="331"/>
      <c r="BF116" s="331"/>
      <c r="BG116" s="331"/>
      <c r="BH116" s="331"/>
      <c r="BI116" s="331"/>
      <c r="BJ116" s="331"/>
      <c r="BK116" s="306"/>
    </row>
    <row r="117" ht="15.75" customHeight="1">
      <c r="A117" s="306"/>
      <c r="B117" s="306"/>
      <c r="C117" s="306"/>
      <c r="D117" s="1293" t="s">
        <v>2083</v>
      </c>
      <c r="E117" s="1294" t="s">
        <v>2084</v>
      </c>
      <c r="F117" s="1294" t="s">
        <v>2085</v>
      </c>
      <c r="G117" s="1294" t="s">
        <v>2086</v>
      </c>
      <c r="H117" s="1294" t="s">
        <v>2087</v>
      </c>
      <c r="I117" s="1294" t="s">
        <v>2088</v>
      </c>
      <c r="J117" s="1293" t="s">
        <v>2089</v>
      </c>
      <c r="K117" s="1293">
        <v>23.5</v>
      </c>
      <c r="L117" s="306"/>
      <c r="M117" s="306"/>
      <c r="N117" s="306"/>
      <c r="O117" s="306"/>
      <c r="P117" s="306"/>
      <c r="Q117" s="306"/>
      <c r="R117" s="306"/>
      <c r="S117" s="306"/>
      <c r="T117" s="306"/>
      <c r="U117" s="306"/>
      <c r="V117" s="306"/>
      <c r="W117" s="306"/>
      <c r="X117" s="1290"/>
      <c r="Y117" s="1290" t="s">
        <v>1990</v>
      </c>
      <c r="Z117" s="1290">
        <v>1.0</v>
      </c>
      <c r="AA117" s="24"/>
      <c r="AB117" s="24"/>
      <c r="AC117" s="24"/>
      <c r="AD117" s="24"/>
      <c r="AE117" s="24"/>
      <c r="AF117" s="24"/>
      <c r="AG117" s="331"/>
      <c r="AH117" s="331"/>
      <c r="AI117" s="331"/>
      <c r="AJ117" s="618"/>
      <c r="AK117" s="618" t="s">
        <v>873</v>
      </c>
      <c r="AL117" s="618" t="s">
        <v>427</v>
      </c>
      <c r="AM117" s="618" t="s">
        <v>2041</v>
      </c>
      <c r="AN117" s="618" t="s">
        <v>2042</v>
      </c>
      <c r="AO117" s="618" t="s">
        <v>2043</v>
      </c>
      <c r="AP117" s="618" t="s">
        <v>2044</v>
      </c>
      <c r="AQ117" s="618" t="s">
        <v>2045</v>
      </c>
      <c r="AR117" s="618" t="s">
        <v>2046</v>
      </c>
      <c r="AS117" s="618" t="s">
        <v>2047</v>
      </c>
      <c r="AT117" s="618" t="s">
        <v>2048</v>
      </c>
      <c r="AU117" s="618" t="s">
        <v>2049</v>
      </c>
      <c r="AV117" s="618" t="s">
        <v>2050</v>
      </c>
      <c r="AW117" s="618" t="s">
        <v>2051</v>
      </c>
      <c r="AX117" s="618" t="s">
        <v>2052</v>
      </c>
      <c r="AY117" s="618" t="s">
        <v>2053</v>
      </c>
      <c r="AZ117" s="618" t="s">
        <v>2054</v>
      </c>
      <c r="BA117" s="618" t="s">
        <v>2055</v>
      </c>
      <c r="BB117" s="618" t="s">
        <v>2056</v>
      </c>
      <c r="BC117" s="618" t="s">
        <v>876</v>
      </c>
      <c r="BD117" s="618" t="s">
        <v>877</v>
      </c>
      <c r="BE117" s="618" t="s">
        <v>2017</v>
      </c>
      <c r="BF117" s="618" t="s">
        <v>878</v>
      </c>
      <c r="BG117" s="331"/>
      <c r="BH117" s="331"/>
      <c r="BI117" s="331"/>
      <c r="BJ117" s="331"/>
      <c r="BK117" s="306"/>
    </row>
    <row r="118" ht="15.75" customHeight="1">
      <c r="A118" s="306"/>
      <c r="B118" s="306"/>
      <c r="C118" s="306"/>
      <c r="D118" s="1293" t="s">
        <v>2090</v>
      </c>
      <c r="E118" s="1294" t="s">
        <v>2091</v>
      </c>
      <c r="F118" s="1294" t="s">
        <v>2092</v>
      </c>
      <c r="G118" s="1294" t="s">
        <v>2093</v>
      </c>
      <c r="H118" s="1294" t="s">
        <v>2094</v>
      </c>
      <c r="I118" s="1294" t="s">
        <v>2095</v>
      </c>
      <c r="J118" s="1293" t="s">
        <v>2096</v>
      </c>
      <c r="K118" s="1293">
        <v>18.1</v>
      </c>
      <c r="L118" s="306"/>
      <c r="M118" s="306"/>
      <c r="N118" s="306"/>
      <c r="O118" s="306"/>
      <c r="P118" s="306"/>
      <c r="Q118" s="306"/>
      <c r="R118" s="306"/>
      <c r="S118" s="306"/>
      <c r="T118" s="306"/>
      <c r="U118" s="306"/>
      <c r="V118" s="306"/>
      <c r="W118" s="306"/>
      <c r="X118" s="1290"/>
      <c r="Y118" s="1290" t="s">
        <v>726</v>
      </c>
      <c r="Z118" s="1290">
        <v>1.0</v>
      </c>
      <c r="AA118" s="31"/>
      <c r="AB118" s="31"/>
      <c r="AC118" s="31"/>
      <c r="AD118" s="31"/>
      <c r="AE118" s="31"/>
      <c r="AF118" s="31"/>
      <c r="AG118" s="331"/>
      <c r="AH118" s="331"/>
      <c r="AI118" s="331"/>
      <c r="AJ118" s="333" t="s">
        <v>880</v>
      </c>
      <c r="AK118" s="333" t="s">
        <v>762</v>
      </c>
      <c r="AL118" s="333">
        <v>12.0</v>
      </c>
      <c r="AM118" s="333"/>
      <c r="AN118" s="333"/>
      <c r="AO118" s="333"/>
      <c r="AP118" s="333"/>
      <c r="AQ118" s="333"/>
      <c r="AR118" s="333"/>
      <c r="AS118" s="333"/>
      <c r="AT118" s="333"/>
      <c r="AU118" s="333"/>
      <c r="AV118" s="333"/>
      <c r="AW118" s="333"/>
      <c r="AX118" s="333"/>
      <c r="AY118" s="333"/>
      <c r="AZ118" s="333"/>
      <c r="BA118" s="333"/>
      <c r="BB118" s="333"/>
      <c r="BC118" s="333"/>
      <c r="BD118" s="333"/>
      <c r="BE118" s="333"/>
      <c r="BF118" s="333"/>
      <c r="BG118" s="331"/>
      <c r="BH118" s="331"/>
      <c r="BI118" s="331"/>
      <c r="BJ118" s="331"/>
      <c r="BK118" s="306"/>
    </row>
    <row r="119" ht="15.75" customHeight="1">
      <c r="A119" s="306"/>
      <c r="B119" s="306"/>
      <c r="C119" s="306"/>
      <c r="D119" s="1293" t="s">
        <v>2097</v>
      </c>
      <c r="E119" s="1294" t="s">
        <v>2098</v>
      </c>
      <c r="F119" s="1294" t="s">
        <v>2099</v>
      </c>
      <c r="G119" s="1294" t="s">
        <v>2100</v>
      </c>
      <c r="H119" s="1294" t="s">
        <v>2101</v>
      </c>
      <c r="I119" s="1294" t="s">
        <v>2102</v>
      </c>
      <c r="J119" s="1293" t="s">
        <v>2103</v>
      </c>
      <c r="K119" s="1293">
        <v>29.1</v>
      </c>
      <c r="L119" s="306"/>
      <c r="M119" s="306"/>
      <c r="N119" s="306"/>
      <c r="O119" s="306"/>
      <c r="P119" s="306"/>
      <c r="Q119" s="306"/>
      <c r="R119" s="306"/>
      <c r="S119" s="306"/>
      <c r="T119" s="306"/>
      <c r="U119" s="306"/>
      <c r="V119" s="306"/>
      <c r="W119" s="306"/>
      <c r="X119" s="1295" t="s">
        <v>1133</v>
      </c>
      <c r="Y119" s="1295" t="s">
        <v>1988</v>
      </c>
      <c r="Z119" s="1295">
        <v>1.0</v>
      </c>
      <c r="AA119" s="1291">
        <v>2.0</v>
      </c>
      <c r="AB119" s="535">
        <v>3.0</v>
      </c>
      <c r="AC119" s="1292">
        <v>3.0</v>
      </c>
      <c r="AD119" s="1292">
        <v>0.0</v>
      </c>
      <c r="AE119" s="362">
        <v>0.0</v>
      </c>
      <c r="AF119" s="1292">
        <v>0.0</v>
      </c>
      <c r="AG119" s="331"/>
      <c r="AH119" s="331"/>
      <c r="AI119" s="331"/>
      <c r="AJ119" s="333"/>
      <c r="AK119" s="333">
        <v>32.0</v>
      </c>
      <c r="AL119" s="333">
        <v>11.0</v>
      </c>
      <c r="AM119" s="333">
        <v>7.2</v>
      </c>
      <c r="AN119" s="333" t="s">
        <v>950</v>
      </c>
      <c r="AO119" s="333">
        <v>6.05</v>
      </c>
      <c r="AP119" s="333" t="s">
        <v>950</v>
      </c>
      <c r="AQ119" s="333">
        <v>9.23</v>
      </c>
      <c r="AR119" s="333" t="s">
        <v>950</v>
      </c>
      <c r="AS119" s="333">
        <v>6.0</v>
      </c>
      <c r="AT119" s="333" t="s">
        <v>950</v>
      </c>
      <c r="AU119" s="333">
        <v>1.15</v>
      </c>
      <c r="AV119" s="333" t="s">
        <v>1330</v>
      </c>
      <c r="AW119" s="333">
        <v>6.05</v>
      </c>
      <c r="AX119" s="333" t="s">
        <v>950</v>
      </c>
      <c r="AY119" s="333">
        <v>7.25</v>
      </c>
      <c r="AZ119" s="333" t="s">
        <v>950</v>
      </c>
      <c r="BA119" s="333">
        <v>6.05</v>
      </c>
      <c r="BB119" s="333" t="s">
        <v>950</v>
      </c>
      <c r="BC119" s="333">
        <v>19.11</v>
      </c>
      <c r="BD119" s="333">
        <v>0.0</v>
      </c>
      <c r="BE119" s="333">
        <v>5.5</v>
      </c>
      <c r="BF119" s="333">
        <f t="shared" ref="BF119:BF120" si="21">SUM(AM119,AO119,AQ119,AS119,AU119,AW119,AY119,BA119,BC119,BE119,BD119)</f>
        <v>73.59</v>
      </c>
      <c r="BG119" s="331"/>
      <c r="BH119" s="331"/>
      <c r="BI119" s="331"/>
      <c r="BJ119" s="331"/>
      <c r="BK119" s="306"/>
    </row>
    <row r="120" ht="15.75" customHeight="1">
      <c r="A120" s="306"/>
      <c r="B120" s="306"/>
      <c r="C120" s="306"/>
      <c r="D120" s="1293" t="s">
        <v>2104</v>
      </c>
      <c r="E120" s="1294" t="s">
        <v>2105</v>
      </c>
      <c r="F120" s="1294" t="s">
        <v>2106</v>
      </c>
      <c r="G120" s="1294" t="s">
        <v>2107</v>
      </c>
      <c r="H120" s="1294" t="s">
        <v>2108</v>
      </c>
      <c r="I120" s="1294" t="s">
        <v>2109</v>
      </c>
      <c r="J120" s="1293" t="s">
        <v>2110</v>
      </c>
      <c r="K120" s="1293">
        <v>31.2</v>
      </c>
      <c r="L120" s="306"/>
      <c r="M120" s="306"/>
      <c r="N120" s="306"/>
      <c r="O120" s="306"/>
      <c r="P120" s="306"/>
      <c r="Q120" s="306"/>
      <c r="R120" s="306"/>
      <c r="S120" s="306"/>
      <c r="T120" s="306"/>
      <c r="U120" s="306"/>
      <c r="V120" s="306"/>
      <c r="W120" s="306"/>
      <c r="X120" s="1295"/>
      <c r="Y120" s="1295" t="s">
        <v>1990</v>
      </c>
      <c r="Z120" s="1295">
        <v>1.0</v>
      </c>
      <c r="AA120" s="24"/>
      <c r="AB120" s="24"/>
      <c r="AC120" s="24"/>
      <c r="AD120" s="24"/>
      <c r="AE120" s="24"/>
      <c r="AF120" s="24"/>
      <c r="AG120" s="331"/>
      <c r="AH120" s="331"/>
      <c r="AI120" s="331"/>
      <c r="AJ120" s="333"/>
      <c r="AK120" s="333">
        <v>33.0</v>
      </c>
      <c r="AL120" s="333">
        <v>1.0</v>
      </c>
      <c r="AM120" s="333">
        <v>0.0</v>
      </c>
      <c r="AN120" s="333">
        <v>0.0</v>
      </c>
      <c r="AO120" s="333">
        <v>0.0</v>
      </c>
      <c r="AP120" s="333">
        <v>0.0</v>
      </c>
      <c r="AQ120" s="333">
        <v>0.0</v>
      </c>
      <c r="AR120" s="333">
        <v>0.0</v>
      </c>
      <c r="AS120" s="333">
        <v>0.0</v>
      </c>
      <c r="AT120" s="333">
        <v>0.0</v>
      </c>
      <c r="AU120" s="333">
        <v>0.0</v>
      </c>
      <c r="AV120" s="333">
        <v>0.0</v>
      </c>
      <c r="AW120" s="333">
        <v>0.0</v>
      </c>
      <c r="AX120" s="333">
        <v>0.0</v>
      </c>
      <c r="AY120" s="333">
        <v>0.0</v>
      </c>
      <c r="AZ120" s="333">
        <v>0.0</v>
      </c>
      <c r="BA120" s="333">
        <v>0.0</v>
      </c>
      <c r="BB120" s="333">
        <v>0.0</v>
      </c>
      <c r="BC120" s="333">
        <v>0.0</v>
      </c>
      <c r="BD120" s="333">
        <v>2.0</v>
      </c>
      <c r="BE120" s="333">
        <v>0.45</v>
      </c>
      <c r="BF120" s="333">
        <f t="shared" si="21"/>
        <v>2.45</v>
      </c>
      <c r="BG120" s="331"/>
      <c r="BH120" s="331"/>
      <c r="BI120" s="331"/>
      <c r="BJ120" s="331"/>
      <c r="BK120" s="306"/>
    </row>
    <row r="121" ht="15.75" customHeight="1">
      <c r="A121" s="306"/>
      <c r="B121" s="306"/>
      <c r="C121" s="306"/>
      <c r="D121" s="1293" t="s">
        <v>2111</v>
      </c>
      <c r="E121" s="1294" t="s">
        <v>2112</v>
      </c>
      <c r="F121" s="1294" t="s">
        <v>2113</v>
      </c>
      <c r="G121" s="1294" t="s">
        <v>2114</v>
      </c>
      <c r="H121" s="1294" t="s">
        <v>2115</v>
      </c>
      <c r="I121" s="1294" t="s">
        <v>2116</v>
      </c>
      <c r="J121" s="1293" t="s">
        <v>2117</v>
      </c>
      <c r="K121" s="1293">
        <v>1.2</v>
      </c>
      <c r="L121" s="306"/>
      <c r="M121" s="306"/>
      <c r="N121" s="306"/>
      <c r="O121" s="306"/>
      <c r="P121" s="306"/>
      <c r="Q121" s="306"/>
      <c r="R121" s="306"/>
      <c r="S121" s="306"/>
      <c r="T121" s="306"/>
      <c r="U121" s="306"/>
      <c r="V121" s="306"/>
      <c r="W121" s="306"/>
      <c r="X121" s="1295"/>
      <c r="Y121" s="1295" t="s">
        <v>726</v>
      </c>
      <c r="Z121" s="1295">
        <v>1.0</v>
      </c>
      <c r="AA121" s="31"/>
      <c r="AB121" s="31"/>
      <c r="AC121" s="31"/>
      <c r="AD121" s="31"/>
      <c r="AE121" s="31"/>
      <c r="AF121" s="31"/>
      <c r="AG121" s="331"/>
      <c r="AH121" s="331"/>
      <c r="AI121" s="331"/>
      <c r="AJ121" s="333"/>
      <c r="AK121" s="333"/>
      <c r="AL121" s="333"/>
      <c r="AM121" s="333"/>
      <c r="AN121" s="333"/>
      <c r="AO121" s="333"/>
      <c r="AP121" s="333"/>
      <c r="AQ121" s="333"/>
      <c r="AR121" s="333"/>
      <c r="AS121" s="333"/>
      <c r="AT121" s="333"/>
      <c r="AU121" s="333"/>
      <c r="AV121" s="333"/>
      <c r="AW121" s="333"/>
      <c r="AX121" s="333"/>
      <c r="AY121" s="333"/>
      <c r="AZ121" s="333"/>
      <c r="BA121" s="333"/>
      <c r="BB121" s="333"/>
      <c r="BC121" s="333"/>
      <c r="BD121" s="333"/>
      <c r="BE121" s="333"/>
      <c r="BF121" s="333"/>
      <c r="BG121" s="331"/>
      <c r="BH121" s="331"/>
      <c r="BI121" s="331"/>
      <c r="BJ121" s="331"/>
      <c r="BK121" s="306"/>
    </row>
    <row r="122" ht="15.75" customHeight="1">
      <c r="A122" s="306"/>
      <c r="B122" s="306"/>
      <c r="C122" s="306"/>
      <c r="D122" s="1293" t="s">
        <v>2118</v>
      </c>
      <c r="E122" s="1294" t="s">
        <v>2119</v>
      </c>
      <c r="F122" s="1294" t="s">
        <v>2120</v>
      </c>
      <c r="G122" s="1294" t="s">
        <v>2121</v>
      </c>
      <c r="H122" s="1294" t="s">
        <v>2122</v>
      </c>
      <c r="I122" s="1294" t="s">
        <v>2123</v>
      </c>
      <c r="J122" s="1293" t="s">
        <v>2124</v>
      </c>
      <c r="K122" s="1293">
        <v>24.4</v>
      </c>
      <c r="L122" s="306"/>
      <c r="M122" s="306"/>
      <c r="N122" s="306"/>
      <c r="O122" s="306"/>
      <c r="P122" s="306"/>
      <c r="Q122" s="306"/>
      <c r="R122" s="306"/>
      <c r="S122" s="306"/>
      <c r="T122" s="306"/>
      <c r="U122" s="306"/>
      <c r="V122" s="306"/>
      <c r="W122" s="306"/>
      <c r="X122" s="1210"/>
      <c r="Y122" s="1210"/>
      <c r="Z122" s="1210"/>
      <c r="AA122" s="1296"/>
      <c r="AB122" s="1297"/>
      <c r="AC122" s="1298"/>
      <c r="AD122" s="1299"/>
      <c r="AE122" s="1300"/>
      <c r="AF122" s="1299"/>
      <c r="AG122" s="331"/>
      <c r="AH122" s="331"/>
      <c r="AI122" s="331"/>
      <c r="AJ122" s="331"/>
      <c r="AK122" s="331"/>
      <c r="AL122" s="331"/>
      <c r="AM122" s="331"/>
      <c r="AN122" s="331"/>
      <c r="AO122" s="331"/>
      <c r="AP122" s="331"/>
      <c r="AQ122" s="331"/>
      <c r="AR122" s="331"/>
      <c r="AS122" s="331"/>
      <c r="AT122" s="331"/>
      <c r="AU122" s="331"/>
      <c r="AV122" s="331"/>
      <c r="AW122" s="331"/>
      <c r="AX122" s="331"/>
      <c r="AY122" s="331"/>
      <c r="AZ122" s="331"/>
      <c r="BA122" s="331"/>
      <c r="BB122" s="331"/>
      <c r="BC122" s="331"/>
      <c r="BD122" s="331"/>
      <c r="BE122" s="331"/>
      <c r="BF122" s="331"/>
      <c r="BG122" s="331"/>
      <c r="BH122" s="331"/>
      <c r="BI122" s="331"/>
      <c r="BJ122" s="331"/>
      <c r="BK122" s="306"/>
    </row>
    <row r="123" ht="15.75" customHeight="1">
      <c r="A123" s="306"/>
      <c r="B123" s="306"/>
      <c r="C123" s="306"/>
      <c r="D123" s="1293" t="s">
        <v>2125</v>
      </c>
      <c r="E123" s="1294" t="s">
        <v>2126</v>
      </c>
      <c r="F123" s="1294" t="s">
        <v>2127</v>
      </c>
      <c r="G123" s="1294" t="s">
        <v>2128</v>
      </c>
      <c r="H123" s="1294" t="s">
        <v>2129</v>
      </c>
      <c r="I123" s="1294" t="s">
        <v>2130</v>
      </c>
      <c r="J123" s="1293" t="s">
        <v>2131</v>
      </c>
      <c r="K123" s="1293">
        <v>19.5</v>
      </c>
      <c r="L123" s="306"/>
      <c r="M123" s="306"/>
      <c r="N123" s="306"/>
      <c r="O123" s="306"/>
      <c r="P123" s="306"/>
      <c r="Q123" s="306"/>
      <c r="R123" s="306"/>
      <c r="S123" s="306"/>
      <c r="T123" s="306"/>
      <c r="U123" s="306"/>
      <c r="V123" s="306"/>
      <c r="W123" s="306"/>
      <c r="X123" s="1210"/>
      <c r="Y123" s="1295" t="s">
        <v>93</v>
      </c>
      <c r="Z123" s="1210">
        <f t="shared" ref="Z123:AA123" si="22">SUM(Z5:Z121)</f>
        <v>117</v>
      </c>
      <c r="AA123" s="1296">
        <f t="shared" si="22"/>
        <v>86</v>
      </c>
      <c r="AB123" s="1297">
        <f>SUM(AB5:AB122)</f>
        <v>117</v>
      </c>
      <c r="AC123" s="1298">
        <f t="shared" ref="AC123:AF123" si="23">SUM(AC4:AC122)</f>
        <v>64</v>
      </c>
      <c r="AD123" s="1298">
        <f t="shared" si="23"/>
        <v>23</v>
      </c>
      <c r="AE123" s="1298">
        <f t="shared" si="23"/>
        <v>1</v>
      </c>
      <c r="AF123" s="1298">
        <f t="shared" si="23"/>
        <v>1</v>
      </c>
      <c r="AG123" s="331"/>
      <c r="AH123" s="331"/>
      <c r="AI123" s="331"/>
      <c r="AJ123" s="331"/>
      <c r="AK123" s="331"/>
      <c r="AL123" s="331"/>
      <c r="AM123" s="331"/>
      <c r="AN123" s="331"/>
      <c r="AO123" s="331"/>
      <c r="AP123" s="331"/>
      <c r="AQ123" s="331"/>
      <c r="AR123" s="331"/>
      <c r="AS123" s="331"/>
      <c r="AT123" s="331"/>
      <c r="AU123" s="331"/>
      <c r="AV123" s="331"/>
      <c r="AW123" s="331"/>
      <c r="AX123" s="331"/>
      <c r="AY123" s="331"/>
      <c r="AZ123" s="331"/>
      <c r="BA123" s="331"/>
      <c r="BB123" s="331"/>
      <c r="BC123" s="331"/>
      <c r="BD123" s="331"/>
      <c r="BE123" s="331"/>
      <c r="BF123" s="331"/>
      <c r="BG123" s="331"/>
      <c r="BH123" s="331"/>
      <c r="BI123" s="331"/>
      <c r="BJ123" s="331"/>
      <c r="BK123" s="306"/>
    </row>
    <row r="124" ht="15.75" customHeight="1">
      <c r="A124" s="306"/>
      <c r="B124" s="306"/>
      <c r="C124" s="306"/>
      <c r="D124" s="1293" t="s">
        <v>2132</v>
      </c>
      <c r="E124" s="1294" t="s">
        <v>2133</v>
      </c>
      <c r="F124" s="1294" t="s">
        <v>2134</v>
      </c>
      <c r="G124" s="1294" t="s">
        <v>2135</v>
      </c>
      <c r="H124" s="1294" t="s">
        <v>2136</v>
      </c>
      <c r="I124" s="1294" t="s">
        <v>2137</v>
      </c>
      <c r="J124" s="1293" t="s">
        <v>2138</v>
      </c>
      <c r="K124" s="1293">
        <v>24.0</v>
      </c>
      <c r="L124" s="306"/>
      <c r="M124" s="306"/>
      <c r="N124" s="306"/>
      <c r="O124" s="306"/>
      <c r="P124" s="306"/>
      <c r="Q124" s="306"/>
      <c r="R124" s="306"/>
      <c r="S124" s="306"/>
      <c r="T124" s="306"/>
      <c r="U124" s="306"/>
      <c r="V124" s="306"/>
      <c r="W124" s="306"/>
      <c r="X124" s="331"/>
      <c r="Y124" s="331"/>
      <c r="Z124" s="331"/>
      <c r="AA124" s="331"/>
      <c r="AB124" s="331"/>
      <c r="AC124" s="331"/>
      <c r="AD124" s="331"/>
      <c r="AE124" s="331"/>
      <c r="AF124" s="331"/>
      <c r="AG124" s="331"/>
      <c r="AH124" s="331"/>
      <c r="AI124" s="331"/>
      <c r="AJ124" s="1301"/>
      <c r="AK124" s="1301" t="s">
        <v>873</v>
      </c>
      <c r="AL124" s="1301" t="s">
        <v>427</v>
      </c>
      <c r="AM124" s="1301" t="s">
        <v>2139</v>
      </c>
      <c r="AN124" s="1301" t="s">
        <v>2042</v>
      </c>
      <c r="AO124" s="1301" t="s">
        <v>2043</v>
      </c>
      <c r="AP124" s="1301" t="s">
        <v>2044</v>
      </c>
      <c r="AQ124" s="1301" t="s">
        <v>876</v>
      </c>
      <c r="AR124" s="1301" t="s">
        <v>2140</v>
      </c>
      <c r="AS124" s="1301" t="s">
        <v>878</v>
      </c>
      <c r="AT124" s="331"/>
      <c r="AU124" s="331"/>
      <c r="AV124" s="331"/>
      <c r="AW124" s="331"/>
      <c r="AX124" s="331"/>
      <c r="AY124" s="331"/>
      <c r="AZ124" s="331"/>
      <c r="BA124" s="331"/>
      <c r="BB124" s="331"/>
      <c r="BC124" s="331"/>
      <c r="BD124" s="331"/>
      <c r="BE124" s="331"/>
      <c r="BF124" s="331"/>
      <c r="BG124" s="331"/>
      <c r="BH124" s="331"/>
      <c r="BI124" s="331"/>
      <c r="BJ124" s="331"/>
      <c r="BK124" s="306"/>
    </row>
    <row r="125" ht="15.75" customHeight="1">
      <c r="A125" s="306"/>
      <c r="B125" s="306"/>
      <c r="C125" s="306"/>
      <c r="D125" s="1293" t="s">
        <v>2141</v>
      </c>
      <c r="E125" s="1294" t="s">
        <v>2142</v>
      </c>
      <c r="F125" s="1294" t="s">
        <v>2143</v>
      </c>
      <c r="G125" s="1294" t="s">
        <v>2144</v>
      </c>
      <c r="H125" s="1294" t="s">
        <v>2145</v>
      </c>
      <c r="I125" s="1294" t="s">
        <v>2146</v>
      </c>
      <c r="J125" s="1293" t="s">
        <v>2147</v>
      </c>
      <c r="K125" s="1293">
        <v>19.3</v>
      </c>
      <c r="L125" s="306"/>
      <c r="M125" s="306"/>
      <c r="N125" s="306"/>
      <c r="O125" s="306"/>
      <c r="P125" s="306"/>
      <c r="Q125" s="306"/>
      <c r="R125" s="306"/>
      <c r="S125" s="306"/>
      <c r="T125" s="306"/>
      <c r="U125" s="306"/>
      <c r="V125" s="306"/>
      <c r="W125" s="306"/>
      <c r="X125" s="331"/>
      <c r="Y125" s="331"/>
      <c r="Z125" s="331"/>
      <c r="AA125" s="331"/>
      <c r="AB125" s="331"/>
      <c r="AC125" s="331"/>
      <c r="AD125" s="331"/>
      <c r="AE125" s="331"/>
      <c r="AF125" s="331"/>
      <c r="AG125" s="331"/>
      <c r="AH125" s="331"/>
      <c r="AI125" s="331"/>
      <c r="AJ125" s="396" t="s">
        <v>2148</v>
      </c>
      <c r="AK125" s="333" t="s">
        <v>762</v>
      </c>
      <c r="AL125" s="333">
        <v>1.0</v>
      </c>
      <c r="AM125" s="331"/>
      <c r="AN125" s="333"/>
      <c r="AO125" s="333"/>
      <c r="AP125" s="333"/>
      <c r="AQ125" s="333"/>
      <c r="AR125" s="333"/>
      <c r="AS125" s="333"/>
      <c r="AT125" s="331"/>
      <c r="AU125" s="331"/>
      <c r="AV125" s="331"/>
      <c r="AW125" s="331"/>
      <c r="AX125" s="331"/>
      <c r="AY125" s="331"/>
      <c r="AZ125" s="331"/>
      <c r="BA125" s="331"/>
      <c r="BB125" s="331"/>
      <c r="BC125" s="331"/>
      <c r="BD125" s="331"/>
      <c r="BE125" s="331"/>
      <c r="BF125" s="331"/>
      <c r="BG125" s="331"/>
      <c r="BH125" s="331"/>
      <c r="BI125" s="331"/>
      <c r="BJ125" s="331"/>
      <c r="BK125" s="306"/>
    </row>
    <row r="126" ht="15.75" customHeight="1">
      <c r="A126" s="306"/>
      <c r="B126" s="306"/>
      <c r="C126" s="306"/>
      <c r="D126" s="1293" t="s">
        <v>2149</v>
      </c>
      <c r="E126" s="1293" t="s">
        <v>2150</v>
      </c>
      <c r="F126" s="1293" t="s">
        <v>2151</v>
      </c>
      <c r="G126" s="1293" t="s">
        <v>1781</v>
      </c>
      <c r="H126" s="1293" t="s">
        <v>1781</v>
      </c>
      <c r="I126" s="1293" t="s">
        <v>2152</v>
      </c>
      <c r="J126" s="1302" t="s">
        <v>2153</v>
      </c>
      <c r="K126" s="1302">
        <f>SUM(K116:K125)</f>
        <v>202.8</v>
      </c>
      <c r="L126" s="306"/>
      <c r="M126" s="306"/>
      <c r="N126" s="306"/>
      <c r="O126" s="306"/>
      <c r="P126" s="306"/>
      <c r="Q126" s="306"/>
      <c r="R126" s="306"/>
      <c r="S126" s="306"/>
      <c r="T126" s="306"/>
      <c r="U126" s="306"/>
      <c r="V126" s="306"/>
      <c r="W126" s="306"/>
      <c r="X126" s="1303"/>
      <c r="Y126" s="1303"/>
      <c r="Z126" s="1303"/>
      <c r="AA126" s="331"/>
      <c r="AB126" s="331"/>
      <c r="AC126" s="331"/>
      <c r="AD126" s="331"/>
      <c r="AE126" s="331"/>
      <c r="AF126" s="331"/>
      <c r="AG126" s="331"/>
      <c r="AH126" s="331"/>
      <c r="AI126" s="331"/>
      <c r="AJ126" s="31"/>
      <c r="AK126" s="333"/>
      <c r="AL126" s="333">
        <v>1.0</v>
      </c>
      <c r="AM126" s="333">
        <v>5.5</v>
      </c>
      <c r="AN126" s="333" t="s">
        <v>2154</v>
      </c>
      <c r="AO126" s="333">
        <v>6.96</v>
      </c>
      <c r="AP126" s="333" t="s">
        <v>950</v>
      </c>
      <c r="AQ126" s="333">
        <v>12.65</v>
      </c>
      <c r="AR126" s="333">
        <v>5.94</v>
      </c>
      <c r="AS126" s="333">
        <f>SUM(AM126,AO126,AQ126,AR126)</f>
        <v>31.05</v>
      </c>
      <c r="AT126" s="331"/>
      <c r="AU126" s="331"/>
      <c r="AV126" s="331"/>
      <c r="AW126" s="331"/>
      <c r="AX126" s="331"/>
      <c r="AY126" s="331"/>
      <c r="AZ126" s="331"/>
      <c r="BA126" s="331"/>
      <c r="BB126" s="331"/>
      <c r="BC126" s="331"/>
      <c r="BD126" s="331"/>
      <c r="BE126" s="331"/>
      <c r="BF126" s="331"/>
      <c r="BG126" s="331"/>
      <c r="BH126" s="331"/>
      <c r="BI126" s="331"/>
      <c r="BJ126" s="331"/>
      <c r="BK126" s="306"/>
    </row>
    <row r="127" ht="15.75" customHeight="1">
      <c r="A127" s="306"/>
      <c r="B127" s="306"/>
      <c r="C127" s="306"/>
      <c r="L127" s="306"/>
      <c r="M127" s="306"/>
      <c r="N127" s="306"/>
      <c r="O127" s="306"/>
      <c r="P127" s="306"/>
      <c r="Q127" s="306"/>
      <c r="R127" s="306"/>
      <c r="S127" s="306"/>
      <c r="T127" s="306"/>
      <c r="U127" s="306"/>
      <c r="V127" s="306"/>
      <c r="W127" s="306"/>
      <c r="X127" s="331"/>
      <c r="Y127" s="331"/>
      <c r="Z127" s="331"/>
      <c r="AA127" s="331"/>
      <c r="AB127" s="331"/>
      <c r="AC127" s="331"/>
      <c r="AD127" s="331"/>
      <c r="AE127" s="331"/>
      <c r="AF127" s="331"/>
      <c r="AG127" s="331"/>
      <c r="AH127" s="331"/>
      <c r="AI127" s="331"/>
      <c r="AJ127" s="331"/>
      <c r="AK127" s="331"/>
      <c r="AL127" s="331"/>
      <c r="AM127" s="331"/>
      <c r="AN127" s="331"/>
      <c r="AO127" s="331"/>
      <c r="AP127" s="331"/>
      <c r="AQ127" s="331"/>
      <c r="AR127" s="331"/>
      <c r="AS127" s="331"/>
      <c r="AT127" s="331"/>
      <c r="AU127" s="331"/>
      <c r="AV127" s="331"/>
      <c r="AW127" s="331"/>
      <c r="AX127" s="331"/>
      <c r="AY127" s="331"/>
      <c r="AZ127" s="331"/>
      <c r="BA127" s="331"/>
      <c r="BB127" s="331"/>
      <c r="BC127" s="331"/>
      <c r="BD127" s="331"/>
      <c r="BE127" s="331"/>
      <c r="BF127" s="331"/>
      <c r="BG127" s="331"/>
      <c r="BH127" s="331"/>
      <c r="BI127" s="331"/>
      <c r="BJ127" s="331"/>
      <c r="BK127" s="306"/>
    </row>
    <row r="128" ht="15.75" customHeight="1">
      <c r="A128" s="306"/>
      <c r="B128" s="306"/>
      <c r="C128" s="306"/>
      <c r="D128" s="1304"/>
      <c r="E128" s="1220"/>
      <c r="F128" s="1220"/>
      <c r="G128" s="1220"/>
      <c r="H128" s="1220"/>
      <c r="I128" s="1220"/>
      <c r="J128" s="1220"/>
      <c r="L128" s="306"/>
      <c r="M128" s="306"/>
      <c r="N128" s="306"/>
      <c r="O128" s="306"/>
      <c r="P128" s="306"/>
      <c r="Q128" s="306"/>
      <c r="R128" s="306"/>
      <c r="S128" s="306"/>
      <c r="T128" s="306"/>
      <c r="U128" s="306"/>
      <c r="V128" s="306"/>
      <c r="W128" s="306"/>
      <c r="X128" s="331"/>
      <c r="Y128" s="331"/>
      <c r="Z128" s="331"/>
      <c r="AA128" s="331"/>
      <c r="AB128" s="331"/>
      <c r="AC128" s="331"/>
      <c r="AD128" s="331"/>
      <c r="AE128" s="331"/>
      <c r="AF128" s="331"/>
      <c r="AG128" s="331"/>
      <c r="AH128" s="331"/>
      <c r="AI128" s="331"/>
      <c r="AJ128" s="331"/>
      <c r="AK128" s="331"/>
      <c r="AL128" s="331"/>
      <c r="AM128" s="331"/>
      <c r="AN128" s="331"/>
      <c r="AO128" s="331"/>
      <c r="AP128" s="331"/>
      <c r="AQ128" s="331"/>
      <c r="AR128" s="331"/>
      <c r="AS128" s="331"/>
      <c r="AT128" s="331"/>
      <c r="AU128" s="331"/>
      <c r="AV128" s="331"/>
      <c r="AW128" s="331"/>
      <c r="AX128" s="331"/>
      <c r="AY128" s="331"/>
      <c r="AZ128" s="331"/>
      <c r="BA128" s="331"/>
      <c r="BB128" s="331"/>
      <c r="BC128" s="331"/>
      <c r="BD128" s="331"/>
      <c r="BE128" s="331"/>
      <c r="BF128" s="331"/>
      <c r="BG128" s="331"/>
      <c r="BH128" s="331"/>
      <c r="BI128" s="331"/>
      <c r="BJ128" s="331"/>
      <c r="BK128" s="306"/>
    </row>
    <row r="129" ht="15.75" customHeight="1">
      <c r="A129" s="306"/>
      <c r="B129" s="306"/>
      <c r="C129" s="306"/>
      <c r="D129" s="1220"/>
      <c r="E129" s="1220"/>
      <c r="F129" s="1220"/>
      <c r="G129" s="1220"/>
      <c r="H129" s="1220"/>
      <c r="I129" s="1220"/>
      <c r="J129" s="1220"/>
      <c r="L129" s="306"/>
      <c r="M129" s="306"/>
      <c r="N129" s="306"/>
      <c r="O129" s="306"/>
      <c r="P129" s="306"/>
      <c r="Q129" s="306"/>
      <c r="R129" s="306"/>
      <c r="S129" s="306"/>
      <c r="T129" s="306"/>
      <c r="U129" s="306"/>
      <c r="V129" s="306"/>
      <c r="W129" s="306"/>
      <c r="X129" s="331"/>
      <c r="Y129" s="331"/>
      <c r="Z129" s="331"/>
      <c r="AA129" s="331"/>
      <c r="AB129" s="331"/>
      <c r="AC129" s="331"/>
      <c r="AD129" s="331"/>
      <c r="AE129" s="331"/>
      <c r="AF129" s="331"/>
      <c r="AG129" s="331"/>
      <c r="AH129" s="331"/>
      <c r="AI129" s="331"/>
      <c r="AJ129" s="1245" t="s">
        <v>2155</v>
      </c>
      <c r="AK129" s="1246"/>
      <c r="AL129" s="1246"/>
      <c r="AM129" s="1246"/>
      <c r="AN129" s="1246"/>
      <c r="AO129" s="1246"/>
      <c r="AP129" s="1246"/>
      <c r="AQ129" s="1246"/>
      <c r="AR129" s="1246"/>
      <c r="AS129" s="1246"/>
      <c r="AT129" s="1246"/>
      <c r="AU129" s="1246"/>
      <c r="AV129" s="1246"/>
      <c r="AW129" s="1246"/>
      <c r="AX129" s="1246"/>
      <c r="AY129" s="1246"/>
      <c r="AZ129" s="1246"/>
      <c r="BA129" s="1246"/>
      <c r="BB129" s="1246"/>
      <c r="BC129" s="1247"/>
      <c r="BD129" s="331"/>
      <c r="BE129" s="331"/>
      <c r="BF129" s="331"/>
      <c r="BG129" s="331"/>
      <c r="BH129" s="331"/>
      <c r="BI129" s="331"/>
      <c r="BJ129" s="331"/>
      <c r="BK129" s="306"/>
    </row>
    <row r="130" ht="15.75" customHeight="1">
      <c r="A130" s="306"/>
      <c r="B130" s="306"/>
      <c r="C130" s="306"/>
      <c r="D130" s="1304"/>
      <c r="E130" s="1220"/>
      <c r="F130" s="1220"/>
      <c r="G130" s="1220"/>
      <c r="H130" s="1220"/>
      <c r="I130" s="1220"/>
      <c r="J130" s="1220"/>
      <c r="L130" s="306"/>
      <c r="M130" s="306"/>
      <c r="N130" s="306"/>
      <c r="O130" s="306"/>
      <c r="P130" s="306"/>
      <c r="Q130" s="306"/>
      <c r="R130" s="306"/>
      <c r="S130" s="306"/>
      <c r="T130" s="306"/>
      <c r="U130" s="306"/>
      <c r="V130" s="306"/>
      <c r="W130" s="306"/>
      <c r="X130" s="331"/>
      <c r="Y130" s="331"/>
      <c r="Z130" s="331"/>
      <c r="AA130" s="331"/>
      <c r="AB130" s="331"/>
      <c r="AC130" s="331"/>
      <c r="AD130" s="331"/>
      <c r="AE130" s="331"/>
      <c r="AF130" s="331"/>
      <c r="AG130" s="331"/>
      <c r="AH130" s="331"/>
      <c r="AI130" s="331"/>
      <c r="AJ130" s="331"/>
      <c r="AK130" s="331"/>
      <c r="AL130" s="331"/>
      <c r="AM130" s="331"/>
      <c r="AN130" s="331"/>
      <c r="AO130" s="331"/>
      <c r="AP130" s="331"/>
      <c r="AQ130" s="331"/>
      <c r="AR130" s="331"/>
      <c r="AS130" s="331"/>
      <c r="AT130" s="331"/>
      <c r="AU130" s="331"/>
      <c r="AV130" s="331"/>
      <c r="AW130" s="331"/>
      <c r="AX130" s="331"/>
      <c r="AY130" s="331"/>
      <c r="AZ130" s="331"/>
      <c r="BA130" s="331"/>
      <c r="BB130" s="331"/>
      <c r="BC130" s="331"/>
      <c r="BD130" s="331"/>
      <c r="BE130" s="331"/>
      <c r="BF130" s="331"/>
      <c r="BG130" s="331"/>
      <c r="BH130" s="331"/>
      <c r="BI130" s="331"/>
      <c r="BJ130" s="331"/>
      <c r="BK130" s="306"/>
    </row>
    <row r="131" ht="15.75" customHeight="1">
      <c r="A131" s="306"/>
      <c r="B131" s="306"/>
      <c r="C131" s="306"/>
      <c r="D131" s="1305" t="s">
        <v>2156</v>
      </c>
      <c r="E131" s="1305" t="s">
        <v>2157</v>
      </c>
      <c r="F131" s="1305" t="s">
        <v>2158</v>
      </c>
      <c r="G131" s="1305" t="s">
        <v>2159</v>
      </c>
      <c r="H131" s="1220"/>
      <c r="I131" s="1220"/>
      <c r="J131" s="1220"/>
      <c r="L131" s="306"/>
      <c r="M131" s="306"/>
      <c r="N131" s="306"/>
      <c r="O131" s="306"/>
      <c r="P131" s="306"/>
      <c r="Q131" s="306"/>
      <c r="R131" s="306"/>
      <c r="S131" s="306"/>
      <c r="T131" s="306"/>
      <c r="U131" s="306"/>
      <c r="V131" s="306"/>
      <c r="W131" s="306"/>
      <c r="X131" s="331"/>
      <c r="Y131" s="331"/>
      <c r="Z131" s="331"/>
      <c r="AA131" s="331"/>
      <c r="AB131" s="331"/>
      <c r="AC131" s="331"/>
      <c r="AD131" s="331"/>
      <c r="AE131" s="331"/>
      <c r="AF131" s="331"/>
      <c r="AG131" s="331"/>
      <c r="AH131" s="331"/>
      <c r="AI131" s="331"/>
      <c r="AJ131" s="333"/>
      <c r="AK131" s="1287" t="s">
        <v>563</v>
      </c>
      <c r="AL131" s="1287" t="s">
        <v>565</v>
      </c>
      <c r="AM131" s="333"/>
      <c r="AN131" s="333" t="s">
        <v>569</v>
      </c>
      <c r="AO131" s="335" t="s">
        <v>2068</v>
      </c>
      <c r="AP131" s="13"/>
      <c r="AQ131" s="333" t="s">
        <v>576</v>
      </c>
      <c r="AR131" s="331"/>
      <c r="AS131" s="1303"/>
      <c r="AT131" s="1303"/>
      <c r="AU131" s="333"/>
      <c r="AV131" s="1287" t="s">
        <v>563</v>
      </c>
      <c r="AW131" s="333"/>
      <c r="AX131" s="1287" t="s">
        <v>565</v>
      </c>
      <c r="AY131" s="333"/>
      <c r="AZ131" s="333"/>
      <c r="BA131" s="333" t="s">
        <v>569</v>
      </c>
      <c r="BB131" s="1287" t="s">
        <v>2068</v>
      </c>
      <c r="BC131" s="1287"/>
      <c r="BD131" s="333" t="s">
        <v>576</v>
      </c>
      <c r="BE131" s="335" t="s">
        <v>2025</v>
      </c>
      <c r="BF131" s="13"/>
      <c r="BG131" s="331"/>
      <c r="BH131" s="331"/>
      <c r="BI131" s="331"/>
      <c r="BJ131" s="331"/>
      <c r="BK131" s="306"/>
    </row>
    <row r="132" ht="15.75" customHeight="1">
      <c r="A132" s="306"/>
      <c r="B132" s="306"/>
      <c r="C132" s="306"/>
      <c r="D132" s="1293" t="s">
        <v>2160</v>
      </c>
      <c r="E132" s="1294" t="s">
        <v>2161</v>
      </c>
      <c r="F132" s="1293" t="s">
        <v>2162</v>
      </c>
      <c r="G132" s="86" t="s">
        <v>2163</v>
      </c>
      <c r="H132" s="1220"/>
      <c r="I132" s="1220"/>
      <c r="J132" s="1220"/>
      <c r="L132" s="306"/>
      <c r="M132" s="306"/>
      <c r="N132" s="306"/>
      <c r="O132" s="306"/>
      <c r="P132" s="306"/>
      <c r="Q132" s="306"/>
      <c r="R132" s="306"/>
      <c r="S132" s="306"/>
      <c r="T132" s="306"/>
      <c r="U132" s="306"/>
      <c r="V132" s="306"/>
      <c r="W132" s="306"/>
      <c r="X132" s="331"/>
      <c r="Y132" s="331"/>
      <c r="Z132" s="331"/>
      <c r="AA132" s="331"/>
      <c r="AB132" s="331"/>
      <c r="AC132" s="331"/>
      <c r="AD132" s="331"/>
      <c r="AE132" s="331"/>
      <c r="AF132" s="331"/>
      <c r="AG132" s="331"/>
      <c r="AH132" s="331"/>
      <c r="AI132" s="331"/>
      <c r="AJ132" s="333"/>
      <c r="AK132" s="333"/>
      <c r="AL132" s="333"/>
      <c r="AM132" s="333"/>
      <c r="AN132" s="333"/>
      <c r="AO132" s="333" t="s">
        <v>582</v>
      </c>
      <c r="AP132" s="333"/>
      <c r="AQ132" s="333" t="s">
        <v>582</v>
      </c>
      <c r="AR132" s="331"/>
      <c r="AS132" s="1303"/>
      <c r="AT132" s="1303"/>
      <c r="AU132" s="333"/>
      <c r="AV132" s="333"/>
      <c r="AW132" s="333"/>
      <c r="AX132" s="333"/>
      <c r="AY132" s="333"/>
      <c r="AZ132" s="333"/>
      <c r="BA132" s="333"/>
      <c r="BB132" s="333" t="s">
        <v>582</v>
      </c>
      <c r="BC132" s="333"/>
      <c r="BD132" s="333" t="s">
        <v>582</v>
      </c>
      <c r="BE132" s="333"/>
      <c r="BF132" s="333" t="s">
        <v>2026</v>
      </c>
      <c r="BG132" s="1211"/>
      <c r="BH132" s="1211"/>
      <c r="BI132" s="331"/>
      <c r="BJ132" s="331"/>
      <c r="BK132" s="306"/>
    </row>
    <row r="133" ht="15.75" customHeight="1">
      <c r="A133" s="306"/>
      <c r="B133" s="306"/>
      <c r="C133" s="306"/>
      <c r="D133" s="1293" t="s">
        <v>2164</v>
      </c>
      <c r="E133" s="1294" t="s">
        <v>2165</v>
      </c>
      <c r="F133" s="1293" t="s">
        <v>2166</v>
      </c>
      <c r="G133" s="86" t="s">
        <v>2167</v>
      </c>
      <c r="H133" s="1220"/>
      <c r="I133" s="1220"/>
      <c r="J133" s="1220"/>
      <c r="L133" s="306"/>
      <c r="M133" s="306"/>
      <c r="N133" s="306"/>
      <c r="O133" s="306"/>
      <c r="P133" s="306"/>
      <c r="Q133" s="306"/>
      <c r="R133" s="306"/>
      <c r="S133" s="306"/>
      <c r="T133" s="306"/>
      <c r="U133" s="306"/>
      <c r="V133" s="306"/>
      <c r="W133" s="306"/>
      <c r="X133" s="331"/>
      <c r="Y133" s="331"/>
      <c r="Z133" s="331"/>
      <c r="AA133" s="331"/>
      <c r="AB133" s="331"/>
      <c r="AC133" s="331"/>
      <c r="AD133" s="331"/>
      <c r="AE133" s="331"/>
      <c r="AF133" s="331"/>
      <c r="AG133" s="331"/>
      <c r="AH133" s="331"/>
      <c r="AI133" s="331"/>
      <c r="AJ133" s="321" t="s">
        <v>38</v>
      </c>
      <c r="AK133" s="321" t="s">
        <v>379</v>
      </c>
      <c r="AL133" s="321" t="s">
        <v>559</v>
      </c>
      <c r="AM133" s="321" t="s">
        <v>115</v>
      </c>
      <c r="AN133" s="321" t="s">
        <v>594</v>
      </c>
      <c r="AO133" s="321" t="s">
        <v>595</v>
      </c>
      <c r="AP133" s="321" t="s">
        <v>118</v>
      </c>
      <c r="AQ133" s="321" t="s">
        <v>2030</v>
      </c>
      <c r="AR133" s="1306"/>
      <c r="AS133" s="1213"/>
      <c r="AT133" s="1303"/>
      <c r="AU133" s="321" t="s">
        <v>38</v>
      </c>
      <c r="AV133" s="321" t="s">
        <v>379</v>
      </c>
      <c r="AW133" s="321" t="s">
        <v>593</v>
      </c>
      <c r="AX133" s="321" t="s">
        <v>559</v>
      </c>
      <c r="AY133" s="321" t="s">
        <v>2168</v>
      </c>
      <c r="AZ133" s="321" t="s">
        <v>115</v>
      </c>
      <c r="BA133" s="321" t="s">
        <v>594</v>
      </c>
      <c r="BB133" s="321" t="s">
        <v>595</v>
      </c>
      <c r="BC133" s="321" t="s">
        <v>118</v>
      </c>
      <c r="BD133" s="321" t="s">
        <v>2030</v>
      </c>
      <c r="BE133" s="321" t="s">
        <v>2030</v>
      </c>
      <c r="BF133" s="321" t="s">
        <v>2031</v>
      </c>
      <c r="BG133" s="1213"/>
      <c r="BH133" s="1213"/>
      <c r="BI133" s="331"/>
      <c r="BJ133" s="331"/>
      <c r="BK133" s="306"/>
    </row>
    <row r="134" ht="15.75" customHeight="1">
      <c r="A134" s="306"/>
      <c r="B134" s="306"/>
      <c r="C134" s="306"/>
      <c r="D134" s="1293" t="s">
        <v>2169</v>
      </c>
      <c r="E134" s="1294" t="s">
        <v>2170</v>
      </c>
      <c r="F134" s="1293" t="s">
        <v>1854</v>
      </c>
      <c r="G134" s="86" t="s">
        <v>2171</v>
      </c>
      <c r="H134" s="1220"/>
      <c r="I134" s="1220"/>
      <c r="J134" s="1220"/>
      <c r="L134" s="306"/>
      <c r="M134" s="306"/>
      <c r="N134" s="306"/>
      <c r="O134" s="306"/>
      <c r="P134" s="306"/>
      <c r="Q134" s="306"/>
      <c r="R134" s="306"/>
      <c r="S134" s="306"/>
      <c r="T134" s="306"/>
      <c r="U134" s="306"/>
      <c r="V134" s="306"/>
      <c r="W134" s="306"/>
      <c r="X134" s="331"/>
      <c r="Y134" s="331"/>
      <c r="Z134" s="331"/>
      <c r="AA134" s="331"/>
      <c r="AB134" s="331"/>
      <c r="AC134" s="331"/>
      <c r="AD134" s="331"/>
      <c r="AE134" s="331"/>
      <c r="AF134" s="331"/>
      <c r="AG134" s="331"/>
      <c r="AH134" s="331"/>
      <c r="AI134" s="331"/>
      <c r="AJ134" s="333" t="s">
        <v>983</v>
      </c>
      <c r="AK134" s="333">
        <v>2.0</v>
      </c>
      <c r="AL134" s="333">
        <v>2.0</v>
      </c>
      <c r="AM134" s="333">
        <v>2.0</v>
      </c>
      <c r="AN134" s="333">
        <v>2.0</v>
      </c>
      <c r="AO134" s="333">
        <v>3.0</v>
      </c>
      <c r="AP134" s="333">
        <v>6.0</v>
      </c>
      <c r="AQ134" s="333">
        <v>1.0</v>
      </c>
      <c r="AR134" s="1213"/>
      <c r="AS134" s="1307"/>
      <c r="AT134" s="1303"/>
      <c r="AU134" s="333" t="s">
        <v>994</v>
      </c>
      <c r="AV134" s="333">
        <v>2.0</v>
      </c>
      <c r="AW134" s="333">
        <v>2.0</v>
      </c>
      <c r="AX134" s="333">
        <v>2.0</v>
      </c>
      <c r="AY134" s="333">
        <v>1.0</v>
      </c>
      <c r="AZ134" s="333">
        <v>4.0</v>
      </c>
      <c r="BA134" s="333">
        <v>2.0</v>
      </c>
      <c r="BB134" s="333">
        <v>4.0</v>
      </c>
      <c r="BC134" s="333">
        <v>6.9</v>
      </c>
      <c r="BD134" s="333">
        <v>0.0</v>
      </c>
      <c r="BE134" s="333">
        <v>0.0</v>
      </c>
      <c r="BF134" s="333">
        <v>1.0</v>
      </c>
      <c r="BG134" s="1213"/>
      <c r="BH134" s="1213"/>
      <c r="BI134" s="331"/>
      <c r="BJ134" s="331"/>
      <c r="BK134" s="306"/>
    </row>
    <row r="135" ht="15.75" customHeight="1">
      <c r="A135" s="306"/>
      <c r="B135" s="306"/>
      <c r="C135" s="306"/>
      <c r="D135" s="1293" t="s">
        <v>2172</v>
      </c>
      <c r="E135" s="1294" t="s">
        <v>2173</v>
      </c>
      <c r="F135" s="1293" t="s">
        <v>1854</v>
      </c>
      <c r="G135" s="86" t="s">
        <v>2174</v>
      </c>
      <c r="H135" s="1220"/>
      <c r="I135" s="1220"/>
      <c r="J135" s="1220"/>
      <c r="L135" s="306"/>
      <c r="M135" s="306"/>
      <c r="N135" s="306"/>
      <c r="O135" s="306"/>
      <c r="P135" s="306"/>
      <c r="Q135" s="306"/>
      <c r="R135" s="306"/>
      <c r="S135" s="306"/>
      <c r="T135" s="306"/>
      <c r="U135" s="306"/>
      <c r="V135" s="306"/>
      <c r="W135" s="306"/>
      <c r="X135" s="331"/>
      <c r="Y135" s="331"/>
      <c r="Z135" s="331"/>
      <c r="AA135" s="331"/>
      <c r="AB135" s="331"/>
      <c r="AC135" s="331"/>
      <c r="AD135" s="331"/>
      <c r="AE135" s="331"/>
      <c r="AF135" s="331"/>
      <c r="AG135" s="331"/>
      <c r="AH135" s="331"/>
      <c r="AI135" s="331"/>
      <c r="AJ135" s="331"/>
      <c r="AK135" s="331"/>
      <c r="AL135" s="331"/>
      <c r="AM135" s="331"/>
      <c r="AN135" s="331"/>
      <c r="AO135" s="331"/>
      <c r="AP135" s="331"/>
      <c r="AQ135" s="331"/>
      <c r="AR135" s="331"/>
      <c r="AS135" s="331"/>
      <c r="AT135" s="331"/>
      <c r="AU135" s="331"/>
      <c r="AV135" s="331"/>
      <c r="AW135" s="331"/>
      <c r="AX135" s="331"/>
      <c r="AY135" s="331"/>
      <c r="AZ135" s="331"/>
      <c r="BA135" s="331"/>
      <c r="BB135" s="331"/>
      <c r="BC135" s="331"/>
      <c r="BD135" s="331"/>
      <c r="BE135" s="331"/>
      <c r="BF135" s="331"/>
      <c r="BG135" s="1211"/>
      <c r="BH135" s="1211"/>
      <c r="BI135" s="331"/>
      <c r="BJ135" s="331"/>
      <c r="BK135" s="306"/>
    </row>
    <row r="136" ht="15.75" customHeight="1">
      <c r="A136" s="306"/>
      <c r="B136" s="306"/>
      <c r="C136" s="306"/>
      <c r="D136" s="1293" t="s">
        <v>2175</v>
      </c>
      <c r="E136" s="1294" t="s">
        <v>2176</v>
      </c>
      <c r="F136" s="1293" t="s">
        <v>2177</v>
      </c>
      <c r="G136" s="86" t="s">
        <v>2178</v>
      </c>
      <c r="H136" s="1220"/>
      <c r="I136" s="1220"/>
      <c r="J136" s="1220"/>
      <c r="L136" s="306"/>
      <c r="M136" s="306"/>
      <c r="N136" s="306"/>
      <c r="O136" s="306"/>
      <c r="P136" s="306"/>
      <c r="Q136" s="306"/>
      <c r="R136" s="306"/>
      <c r="S136" s="306"/>
      <c r="T136" s="306"/>
      <c r="U136" s="306"/>
      <c r="V136" s="306"/>
      <c r="W136" s="306"/>
      <c r="X136" s="331"/>
      <c r="Y136" s="331"/>
      <c r="Z136" s="331"/>
      <c r="AA136" s="331"/>
      <c r="AB136" s="331"/>
      <c r="AC136" s="331"/>
      <c r="AD136" s="331"/>
      <c r="AE136" s="331"/>
      <c r="AF136" s="331"/>
      <c r="AG136" s="331"/>
      <c r="AH136" s="331"/>
      <c r="AI136" s="331"/>
      <c r="AJ136" s="331"/>
      <c r="AK136" s="331"/>
      <c r="AL136" s="331"/>
      <c r="AM136" s="331"/>
      <c r="AN136" s="331"/>
      <c r="AO136" s="331"/>
      <c r="AP136" s="331"/>
      <c r="AQ136" s="331"/>
      <c r="AR136" s="331"/>
      <c r="AS136" s="331"/>
      <c r="AT136" s="331"/>
      <c r="AU136" s="331"/>
      <c r="AV136" s="331"/>
      <c r="AW136" s="331"/>
      <c r="AX136" s="331"/>
      <c r="AY136" s="331"/>
      <c r="AZ136" s="331"/>
      <c r="BA136" s="331"/>
      <c r="BB136" s="331"/>
      <c r="BC136" s="331"/>
      <c r="BD136" s="331"/>
      <c r="BE136" s="331"/>
      <c r="BF136" s="331"/>
      <c r="BG136" s="331"/>
      <c r="BH136" s="331"/>
      <c r="BI136" s="331"/>
      <c r="BJ136" s="331"/>
      <c r="BK136" s="306"/>
    </row>
    <row r="137" ht="15.75" customHeight="1">
      <c r="A137" s="306"/>
      <c r="B137" s="306"/>
      <c r="C137" s="306"/>
      <c r="D137" s="1293" t="s">
        <v>2179</v>
      </c>
      <c r="E137" s="1294" t="s">
        <v>2180</v>
      </c>
      <c r="F137" s="1293" t="s">
        <v>2181</v>
      </c>
      <c r="G137" s="86" t="s">
        <v>2182</v>
      </c>
      <c r="H137" s="1220"/>
      <c r="I137" s="1220"/>
      <c r="J137" s="1220"/>
      <c r="L137" s="306"/>
      <c r="M137" s="306"/>
      <c r="N137" s="306"/>
      <c r="O137" s="306"/>
      <c r="P137" s="306"/>
      <c r="Q137" s="306"/>
      <c r="R137" s="306"/>
      <c r="S137" s="306"/>
      <c r="T137" s="306"/>
      <c r="U137" s="306"/>
      <c r="V137" s="306"/>
      <c r="W137" s="306"/>
      <c r="X137" s="331"/>
      <c r="Y137" s="331"/>
      <c r="Z137" s="331"/>
      <c r="AA137" s="331"/>
      <c r="AB137" s="331"/>
      <c r="AC137" s="331"/>
      <c r="AD137" s="331"/>
      <c r="AE137" s="331"/>
      <c r="AF137" s="331"/>
      <c r="AG137" s="331"/>
      <c r="AH137" s="331"/>
      <c r="AI137" s="331"/>
      <c r="AJ137" s="333"/>
      <c r="AK137" s="1287" t="s">
        <v>563</v>
      </c>
      <c r="AL137" s="1287" t="s">
        <v>565</v>
      </c>
      <c r="AM137" s="333"/>
      <c r="AN137" s="335" t="s">
        <v>569</v>
      </c>
      <c r="AO137" s="1308"/>
      <c r="AP137" s="335" t="s">
        <v>576</v>
      </c>
      <c r="AQ137" s="1308"/>
      <c r="AR137" s="331"/>
      <c r="AS137" s="331"/>
      <c r="AT137" s="331"/>
      <c r="AU137" s="331"/>
      <c r="AV137" s="331"/>
      <c r="AW137" s="331"/>
      <c r="AX137" s="331"/>
      <c r="AY137" s="331"/>
      <c r="AZ137" s="331"/>
      <c r="BA137" s="331"/>
      <c r="BB137" s="331"/>
      <c r="BC137" s="331"/>
      <c r="BD137" s="331"/>
      <c r="BE137" s="331"/>
      <c r="BF137" s="331"/>
      <c r="BG137" s="331"/>
      <c r="BH137" s="331"/>
      <c r="BI137" s="331"/>
      <c r="BJ137" s="331"/>
      <c r="BK137" s="306"/>
    </row>
    <row r="138" ht="15.75" customHeight="1">
      <c r="A138" s="306"/>
      <c r="B138" s="306"/>
      <c r="C138" s="306"/>
      <c r="D138" s="1293" t="s">
        <v>2183</v>
      </c>
      <c r="E138" s="1294" t="s">
        <v>2184</v>
      </c>
      <c r="F138" s="1293" t="s">
        <v>2185</v>
      </c>
      <c r="G138" s="86" t="s">
        <v>2186</v>
      </c>
      <c r="H138" s="1220"/>
      <c r="I138" s="1220"/>
      <c r="J138" s="1220"/>
      <c r="L138" s="306"/>
      <c r="M138" s="306"/>
      <c r="N138" s="306"/>
      <c r="O138" s="306"/>
      <c r="P138" s="306"/>
      <c r="Q138" s="306"/>
      <c r="R138" s="306"/>
      <c r="S138" s="306"/>
      <c r="T138" s="306"/>
      <c r="U138" s="306"/>
      <c r="V138" s="306"/>
      <c r="W138" s="306"/>
      <c r="X138" s="331"/>
      <c r="Y138" s="331"/>
      <c r="Z138" s="331"/>
      <c r="AA138" s="331"/>
      <c r="AB138" s="331"/>
      <c r="AC138" s="331"/>
      <c r="AD138" s="331"/>
      <c r="AE138" s="331"/>
      <c r="AF138" s="331"/>
      <c r="AG138" s="331"/>
      <c r="AH138" s="331"/>
      <c r="AI138" s="331"/>
      <c r="AJ138" s="333"/>
      <c r="AK138" s="333"/>
      <c r="AL138" s="333"/>
      <c r="AM138" s="333"/>
      <c r="AN138" s="333"/>
      <c r="AO138" s="333"/>
      <c r="AP138" s="333" t="s">
        <v>582</v>
      </c>
      <c r="AQ138" s="333" t="s">
        <v>2026</v>
      </c>
      <c r="AR138" s="331"/>
      <c r="AS138" s="331"/>
      <c r="AT138" s="331"/>
      <c r="AU138" s="331"/>
      <c r="AV138" s="331"/>
      <c r="AW138" s="331"/>
      <c r="AX138" s="331"/>
      <c r="AY138" s="331"/>
      <c r="AZ138" s="331"/>
      <c r="BA138" s="331"/>
      <c r="BB138" s="331"/>
      <c r="BC138" s="331"/>
      <c r="BD138" s="331"/>
      <c r="BE138" s="331"/>
      <c r="BF138" s="331"/>
      <c r="BG138" s="331"/>
      <c r="BH138" s="331"/>
      <c r="BI138" s="331"/>
      <c r="BJ138" s="331"/>
      <c r="BK138" s="306"/>
    </row>
    <row r="139" ht="15.75" customHeight="1">
      <c r="A139" s="306"/>
      <c r="B139" s="306"/>
      <c r="C139" s="306"/>
      <c r="D139" s="1293" t="s">
        <v>2187</v>
      </c>
      <c r="E139" s="1294" t="s">
        <v>2188</v>
      </c>
      <c r="F139" s="1293" t="s">
        <v>2189</v>
      </c>
      <c r="G139" s="86" t="s">
        <v>2190</v>
      </c>
      <c r="H139" s="1220"/>
      <c r="I139" s="1220"/>
      <c r="J139" s="1220"/>
      <c r="L139" s="306"/>
      <c r="M139" s="306"/>
      <c r="N139" s="306"/>
      <c r="O139" s="306"/>
      <c r="P139" s="306"/>
      <c r="Q139" s="306"/>
      <c r="R139" s="306"/>
      <c r="S139" s="306"/>
      <c r="T139" s="306"/>
      <c r="U139" s="306"/>
      <c r="V139" s="306"/>
      <c r="W139" s="306"/>
      <c r="X139" s="331"/>
      <c r="Y139" s="331"/>
      <c r="Z139" s="331"/>
      <c r="AA139" s="331"/>
      <c r="AB139" s="331"/>
      <c r="AC139" s="331"/>
      <c r="AD139" s="331"/>
      <c r="AE139" s="331"/>
      <c r="AF139" s="331"/>
      <c r="AG139" s="331"/>
      <c r="AH139" s="331"/>
      <c r="AI139" s="331"/>
      <c r="AJ139" s="321" t="s">
        <v>38</v>
      </c>
      <c r="AK139" s="321" t="s">
        <v>379</v>
      </c>
      <c r="AL139" s="321" t="s">
        <v>559</v>
      </c>
      <c r="AM139" s="321" t="s">
        <v>115</v>
      </c>
      <c r="AN139" s="321" t="s">
        <v>594</v>
      </c>
      <c r="AO139" s="321" t="s">
        <v>2191</v>
      </c>
      <c r="AP139" s="321" t="s">
        <v>2030</v>
      </c>
      <c r="AQ139" s="321" t="s">
        <v>2031</v>
      </c>
      <c r="AR139" s="1213"/>
      <c r="AS139" s="1213"/>
      <c r="AT139" s="331"/>
      <c r="AU139" s="331"/>
      <c r="AV139" s="331"/>
      <c r="AW139" s="331"/>
      <c r="AX139" s="331"/>
      <c r="AY139" s="331"/>
      <c r="AZ139" s="331"/>
      <c r="BA139" s="331"/>
      <c r="BB139" s="331"/>
      <c r="BC139" s="331"/>
      <c r="BD139" s="331"/>
      <c r="BE139" s="331"/>
      <c r="BF139" s="331"/>
      <c r="BG139" s="331"/>
      <c r="BH139" s="331"/>
      <c r="BI139" s="331"/>
      <c r="BJ139" s="331"/>
      <c r="BK139" s="306"/>
    </row>
    <row r="140" ht="15.75" customHeight="1">
      <c r="A140" s="306"/>
      <c r="B140" s="306"/>
      <c r="C140" s="306"/>
      <c r="N140" s="306"/>
      <c r="O140" s="306"/>
      <c r="P140" s="306"/>
      <c r="Q140" s="306"/>
      <c r="R140" s="306"/>
      <c r="S140" s="306"/>
      <c r="T140" s="306"/>
      <c r="U140" s="306"/>
      <c r="V140" s="306"/>
      <c r="W140" s="306"/>
      <c r="X140" s="331"/>
      <c r="Y140" s="331"/>
      <c r="Z140" s="331"/>
      <c r="AA140" s="331"/>
      <c r="AB140" s="331"/>
      <c r="AC140" s="331"/>
      <c r="AD140" s="331"/>
      <c r="AE140" s="331"/>
      <c r="AF140" s="331"/>
      <c r="AG140" s="331"/>
      <c r="AH140" s="331"/>
      <c r="AI140" s="331"/>
      <c r="AJ140" s="333" t="s">
        <v>2192</v>
      </c>
      <c r="AK140" s="333">
        <v>4.0</v>
      </c>
      <c r="AL140" s="333">
        <v>4.0</v>
      </c>
      <c r="AM140" s="333">
        <v>4.0</v>
      </c>
      <c r="AN140" s="333">
        <v>5.0</v>
      </c>
      <c r="AO140" s="333">
        <v>1.0</v>
      </c>
      <c r="AP140" s="333">
        <v>2.0</v>
      </c>
      <c r="AQ140" s="333">
        <v>1.0</v>
      </c>
      <c r="AR140" s="1211"/>
      <c r="AS140" s="1211"/>
      <c r="AT140" s="331"/>
      <c r="AU140" s="331"/>
      <c r="AV140" s="331"/>
      <c r="AW140" s="331"/>
      <c r="AX140" s="331"/>
      <c r="AY140" s="331"/>
      <c r="AZ140" s="331"/>
      <c r="BA140" s="331"/>
      <c r="BB140" s="331"/>
      <c r="BC140" s="331"/>
      <c r="BD140" s="331"/>
      <c r="BE140" s="331"/>
      <c r="BF140" s="331"/>
      <c r="BG140" s="331"/>
      <c r="BH140" s="331"/>
      <c r="BI140" s="331"/>
      <c r="BJ140" s="331"/>
      <c r="BK140" s="306"/>
    </row>
    <row r="141" ht="15.75" customHeight="1">
      <c r="A141" s="306"/>
      <c r="B141" s="306"/>
      <c r="C141" s="306"/>
      <c r="D141" s="1309"/>
      <c r="E141" s="1309"/>
      <c r="F141" s="1220"/>
      <c r="G141" s="1220"/>
      <c r="H141" s="1220"/>
      <c r="I141" s="1220"/>
      <c r="J141" s="1220"/>
      <c r="L141" s="306"/>
      <c r="M141" s="306"/>
      <c r="N141" s="306"/>
      <c r="O141" s="306"/>
      <c r="P141" s="306"/>
      <c r="Q141" s="306"/>
      <c r="R141" s="306"/>
      <c r="S141" s="306"/>
      <c r="T141" s="306"/>
      <c r="U141" s="306"/>
      <c r="V141" s="306"/>
      <c r="W141" s="306"/>
      <c r="X141" s="331"/>
      <c r="Y141" s="331"/>
      <c r="Z141" s="331"/>
      <c r="AA141" s="331"/>
      <c r="AB141" s="331"/>
      <c r="AC141" s="331"/>
      <c r="AD141" s="331"/>
      <c r="AE141" s="331"/>
      <c r="AF141" s="331"/>
      <c r="AG141" s="331"/>
      <c r="AH141" s="331"/>
      <c r="AI141" s="331"/>
      <c r="AJ141" s="331"/>
      <c r="AK141" s="331"/>
      <c r="AL141" s="331"/>
      <c r="AM141" s="331"/>
      <c r="AN141" s="331"/>
      <c r="AO141" s="331"/>
      <c r="AP141" s="331"/>
      <c r="AQ141" s="331"/>
      <c r="AR141" s="331"/>
      <c r="AS141" s="331"/>
      <c r="AT141" s="331"/>
      <c r="AU141" s="331"/>
      <c r="AV141" s="331"/>
      <c r="AW141" s="331"/>
      <c r="AX141" s="331"/>
      <c r="AY141" s="331"/>
      <c r="AZ141" s="331"/>
      <c r="BA141" s="331"/>
      <c r="BB141" s="331"/>
      <c r="BC141" s="331"/>
      <c r="BD141" s="331"/>
      <c r="BE141" s="331"/>
      <c r="BF141" s="331"/>
      <c r="BG141" s="331"/>
      <c r="BH141" s="331"/>
      <c r="BI141" s="331"/>
      <c r="BJ141" s="331"/>
      <c r="BK141" s="306"/>
    </row>
    <row r="142" ht="15.75" customHeight="1">
      <c r="A142" s="306"/>
      <c r="B142" s="306"/>
      <c r="C142" s="306"/>
      <c r="D142" s="1309"/>
      <c r="E142" s="1309"/>
      <c r="F142" s="1220"/>
      <c r="G142" s="1220"/>
      <c r="H142" s="1220"/>
      <c r="I142" s="1220"/>
      <c r="J142" s="1220"/>
      <c r="L142" s="306"/>
      <c r="M142" s="306"/>
      <c r="N142" s="306"/>
      <c r="O142" s="306"/>
      <c r="P142" s="306"/>
      <c r="Q142" s="306"/>
      <c r="R142" s="306"/>
      <c r="S142" s="306"/>
      <c r="T142" s="306"/>
      <c r="U142" s="306"/>
      <c r="V142" s="306"/>
      <c r="W142" s="306"/>
      <c r="X142" s="331"/>
      <c r="Y142" s="331"/>
      <c r="Z142" s="331"/>
      <c r="AA142" s="331"/>
      <c r="AB142" s="331"/>
      <c r="AC142" s="331"/>
      <c r="AD142" s="331"/>
      <c r="AE142" s="331"/>
      <c r="AF142" s="331"/>
      <c r="AG142" s="331"/>
      <c r="AH142" s="331"/>
      <c r="AI142" s="331"/>
      <c r="AJ142" s="618"/>
      <c r="AK142" s="618" t="s">
        <v>873</v>
      </c>
      <c r="AL142" s="618" t="s">
        <v>427</v>
      </c>
      <c r="AM142" s="618" t="s">
        <v>2041</v>
      </c>
      <c r="AN142" s="618" t="s">
        <v>2042</v>
      </c>
      <c r="AO142" s="618" t="s">
        <v>2043</v>
      </c>
      <c r="AP142" s="618" t="s">
        <v>2044</v>
      </c>
      <c r="AQ142" s="618" t="s">
        <v>2045</v>
      </c>
      <c r="AR142" s="618" t="s">
        <v>2046</v>
      </c>
      <c r="AS142" s="618" t="s">
        <v>2047</v>
      </c>
      <c r="AT142" s="618" t="s">
        <v>2048</v>
      </c>
      <c r="AU142" s="618" t="s">
        <v>2049</v>
      </c>
      <c r="AV142" s="618" t="s">
        <v>2050</v>
      </c>
      <c r="AW142" s="618" t="s">
        <v>2051</v>
      </c>
      <c r="AX142" s="618" t="s">
        <v>2052</v>
      </c>
      <c r="AY142" s="618" t="s">
        <v>2053</v>
      </c>
      <c r="AZ142" s="618" t="s">
        <v>2054</v>
      </c>
      <c r="BA142" s="618" t="s">
        <v>2055</v>
      </c>
      <c r="BB142" s="618" t="s">
        <v>2056</v>
      </c>
      <c r="BC142" s="618" t="s">
        <v>876</v>
      </c>
      <c r="BD142" s="618" t="s">
        <v>877</v>
      </c>
      <c r="BE142" s="618" t="s">
        <v>2017</v>
      </c>
      <c r="BF142" s="618" t="s">
        <v>878</v>
      </c>
      <c r="BG142" s="331"/>
      <c r="BH142" s="331"/>
      <c r="BI142" s="331"/>
      <c r="BJ142" s="331"/>
      <c r="BK142" s="306"/>
    </row>
    <row r="143" ht="15.75" customHeight="1">
      <c r="A143" s="306"/>
      <c r="B143" s="306"/>
      <c r="C143" s="306"/>
      <c r="D143" s="1304"/>
      <c r="E143" s="1309"/>
      <c r="F143" s="1220"/>
      <c r="G143" s="1220"/>
      <c r="H143" s="1220"/>
      <c r="I143" s="1220"/>
      <c r="J143" s="1220"/>
      <c r="L143" s="306"/>
      <c r="M143" s="306"/>
      <c r="N143" s="306"/>
      <c r="O143" s="306"/>
      <c r="P143" s="306"/>
      <c r="Q143" s="306"/>
      <c r="R143" s="306"/>
      <c r="S143" s="306"/>
      <c r="T143" s="306"/>
      <c r="U143" s="306"/>
      <c r="V143" s="306"/>
      <c r="W143" s="306"/>
      <c r="X143" s="331"/>
      <c r="Y143" s="331"/>
      <c r="Z143" s="331"/>
      <c r="AA143" s="331"/>
      <c r="AB143" s="331"/>
      <c r="AC143" s="331"/>
      <c r="AD143" s="331"/>
      <c r="AE143" s="331"/>
      <c r="AF143" s="331"/>
      <c r="AG143" s="331"/>
      <c r="AH143" s="331"/>
      <c r="AI143" s="331"/>
      <c r="AJ143" s="333" t="s">
        <v>2193</v>
      </c>
      <c r="AK143" s="333" t="s">
        <v>762</v>
      </c>
      <c r="AL143" s="333">
        <v>10.0</v>
      </c>
      <c r="AM143" s="333"/>
      <c r="AN143" s="333"/>
      <c r="AO143" s="333"/>
      <c r="AP143" s="333"/>
      <c r="AQ143" s="333"/>
      <c r="AR143" s="333"/>
      <c r="AS143" s="333"/>
      <c r="AT143" s="333"/>
      <c r="AU143" s="333"/>
      <c r="AV143" s="333"/>
      <c r="AW143" s="333"/>
      <c r="AX143" s="333"/>
      <c r="AY143" s="333"/>
      <c r="AZ143" s="333"/>
      <c r="BA143" s="333"/>
      <c r="BB143" s="333"/>
      <c r="BC143" s="333"/>
      <c r="BD143" s="333"/>
      <c r="BE143" s="333"/>
      <c r="BF143" s="333"/>
      <c r="BG143" s="331"/>
      <c r="BH143" s="331"/>
      <c r="BI143" s="331"/>
      <c r="BJ143" s="331"/>
      <c r="BK143" s="306"/>
    </row>
    <row r="144" ht="15.75" customHeight="1">
      <c r="A144" s="306"/>
      <c r="B144" s="306"/>
      <c r="C144" s="306"/>
      <c r="D144" s="1220"/>
      <c r="E144" s="1309"/>
      <c r="F144" s="1220"/>
      <c r="G144" s="1220"/>
      <c r="H144" s="1220"/>
      <c r="I144" s="1220"/>
      <c r="J144" s="1220"/>
      <c r="L144" s="306"/>
      <c r="M144" s="306"/>
      <c r="N144" s="306"/>
      <c r="O144" s="306"/>
      <c r="P144" s="306"/>
      <c r="Q144" s="306"/>
      <c r="R144" s="306"/>
      <c r="S144" s="306"/>
      <c r="T144" s="306"/>
      <c r="U144" s="306"/>
      <c r="V144" s="306"/>
      <c r="W144" s="306"/>
      <c r="X144" s="331"/>
      <c r="Y144" s="331"/>
      <c r="Z144" s="331"/>
      <c r="AA144" s="331"/>
      <c r="AB144" s="331"/>
      <c r="AC144" s="331"/>
      <c r="AD144" s="331"/>
      <c r="AE144" s="331"/>
      <c r="AF144" s="331"/>
      <c r="AG144" s="331"/>
      <c r="AH144" s="331"/>
      <c r="AI144" s="331"/>
      <c r="AJ144" s="333"/>
      <c r="AK144" s="333">
        <v>34.0</v>
      </c>
      <c r="AL144" s="333">
        <v>6.0</v>
      </c>
      <c r="AM144" s="333">
        <v>1.0</v>
      </c>
      <c r="AN144" s="333" t="s">
        <v>950</v>
      </c>
      <c r="AO144" s="333">
        <v>7.77</v>
      </c>
      <c r="AP144" s="333" t="s">
        <v>950</v>
      </c>
      <c r="AQ144" s="333">
        <v>2.18</v>
      </c>
      <c r="AR144" s="333" t="s">
        <v>950</v>
      </c>
      <c r="AS144" s="333">
        <v>2.7</v>
      </c>
      <c r="AT144" s="333" t="s">
        <v>1330</v>
      </c>
      <c r="AU144" s="333">
        <v>0.15</v>
      </c>
      <c r="AV144" s="333" t="s">
        <v>2019</v>
      </c>
      <c r="AW144" s="333">
        <v>3.97</v>
      </c>
      <c r="AX144" s="333" t="s">
        <v>2019</v>
      </c>
      <c r="AY144" s="333">
        <v>0.0</v>
      </c>
      <c r="AZ144" s="333">
        <v>0.0</v>
      </c>
      <c r="BA144" s="333">
        <v>0.0</v>
      </c>
      <c r="BB144" s="333">
        <v>0.0</v>
      </c>
      <c r="BC144" s="333">
        <v>0.0</v>
      </c>
      <c r="BD144" s="333">
        <v>12.9</v>
      </c>
      <c r="BE144" s="333">
        <v>5.5</v>
      </c>
      <c r="BF144" s="333">
        <f t="shared" ref="BF144:BF146" si="24">SUM(AM144,AO144,AQ144,AS144,AU144,AW144,AY144,BA144,BC144,BE144,BD144)</f>
        <v>36.17</v>
      </c>
      <c r="BG144" s="331"/>
      <c r="BH144" s="331"/>
      <c r="BI144" s="331"/>
      <c r="BJ144" s="331"/>
      <c r="BK144" s="306"/>
    </row>
    <row r="145" ht="15.75" customHeight="1">
      <c r="A145" s="306"/>
      <c r="B145" s="306"/>
      <c r="C145" s="306"/>
      <c r="D145" s="1304"/>
      <c r="E145" s="1309"/>
      <c r="F145" s="1220"/>
      <c r="G145" s="1220"/>
      <c r="H145" s="1220"/>
      <c r="I145" s="1220"/>
      <c r="J145" s="1220"/>
      <c r="L145" s="306"/>
      <c r="M145" s="306"/>
      <c r="N145" s="306"/>
      <c r="O145" s="306"/>
      <c r="P145" s="306"/>
      <c r="Q145" s="306"/>
      <c r="R145" s="306"/>
      <c r="S145" s="306"/>
      <c r="T145" s="306"/>
      <c r="U145" s="306"/>
      <c r="V145" s="306"/>
      <c r="W145" s="306"/>
      <c r="X145" s="331"/>
      <c r="Y145" s="331"/>
      <c r="Z145" s="331"/>
      <c r="AA145" s="331"/>
      <c r="AB145" s="331"/>
      <c r="AC145" s="331"/>
      <c r="AD145" s="331"/>
      <c r="AE145" s="331"/>
      <c r="AF145" s="331"/>
      <c r="AG145" s="331"/>
      <c r="AH145" s="331"/>
      <c r="AI145" s="331"/>
      <c r="AJ145" s="333"/>
      <c r="AK145" s="333">
        <v>35.0</v>
      </c>
      <c r="AL145" s="333">
        <v>2.0</v>
      </c>
      <c r="AM145" s="333">
        <v>2.6</v>
      </c>
      <c r="AN145" s="333" t="s">
        <v>950</v>
      </c>
      <c r="AO145" s="333">
        <v>11.42</v>
      </c>
      <c r="AP145" s="333" t="s">
        <v>950</v>
      </c>
      <c r="AQ145" s="333">
        <v>3.02</v>
      </c>
      <c r="AR145" s="333" t="s">
        <v>950</v>
      </c>
      <c r="AS145" s="333">
        <v>0.0</v>
      </c>
      <c r="AT145" s="333">
        <v>0.0</v>
      </c>
      <c r="AU145" s="333">
        <v>0.0</v>
      </c>
      <c r="AV145" s="333">
        <v>0.0</v>
      </c>
      <c r="AW145" s="333">
        <v>0.0</v>
      </c>
      <c r="AX145" s="333">
        <v>0.0</v>
      </c>
      <c r="AY145" s="333">
        <v>0.0</v>
      </c>
      <c r="AZ145" s="333">
        <v>0.0</v>
      </c>
      <c r="BA145" s="333">
        <v>0.0</v>
      </c>
      <c r="BB145" s="333">
        <v>0.0</v>
      </c>
      <c r="BC145" s="333">
        <v>0.0</v>
      </c>
      <c r="BD145" s="333">
        <v>0.0</v>
      </c>
      <c r="BE145" s="333">
        <v>5.5</v>
      </c>
      <c r="BF145" s="333">
        <f t="shared" si="24"/>
        <v>22.54</v>
      </c>
      <c r="BG145" s="331"/>
      <c r="BH145" s="331"/>
      <c r="BI145" s="331"/>
      <c r="BJ145" s="331"/>
      <c r="BK145" s="306"/>
    </row>
    <row r="146" ht="15.75" customHeight="1">
      <c r="A146" s="306"/>
      <c r="B146" s="306"/>
      <c r="C146" s="306"/>
      <c r="D146" s="1304"/>
      <c r="E146" s="1309"/>
      <c r="F146" s="1220"/>
      <c r="G146" s="1220"/>
      <c r="H146" s="1220"/>
      <c r="I146" s="1220"/>
      <c r="J146" s="1220"/>
      <c r="L146" s="306"/>
      <c r="M146" s="306"/>
      <c r="N146" s="306"/>
      <c r="O146" s="306"/>
      <c r="P146" s="306"/>
      <c r="Q146" s="306"/>
      <c r="R146" s="306"/>
      <c r="S146" s="306"/>
      <c r="T146" s="306"/>
      <c r="U146" s="306"/>
      <c r="V146" s="306"/>
      <c r="W146" s="306"/>
      <c r="X146" s="331"/>
      <c r="Y146" s="331"/>
      <c r="Z146" s="331"/>
      <c r="AA146" s="331"/>
      <c r="AB146" s="331"/>
      <c r="AC146" s="331"/>
      <c r="AD146" s="331"/>
      <c r="AE146" s="331"/>
      <c r="AF146" s="331"/>
      <c r="AG146" s="331"/>
      <c r="AH146" s="331"/>
      <c r="AI146" s="331"/>
      <c r="AJ146" s="333"/>
      <c r="AK146" s="333">
        <v>36.0</v>
      </c>
      <c r="AL146" s="333">
        <v>2.0</v>
      </c>
      <c r="AM146" s="333">
        <v>1.55</v>
      </c>
      <c r="AN146" s="333" t="s">
        <v>950</v>
      </c>
      <c r="AO146" s="333">
        <v>5.91</v>
      </c>
      <c r="AP146" s="333" t="s">
        <v>950</v>
      </c>
      <c r="AQ146" s="333">
        <v>2.1</v>
      </c>
      <c r="AR146" s="333" t="s">
        <v>1330</v>
      </c>
      <c r="AS146" s="333">
        <v>4.46</v>
      </c>
      <c r="AT146" s="333" t="s">
        <v>2060</v>
      </c>
      <c r="AU146" s="333">
        <v>3.97</v>
      </c>
      <c r="AV146" s="333" t="s">
        <v>2019</v>
      </c>
      <c r="AW146" s="333">
        <v>0.0</v>
      </c>
      <c r="AX146" s="333">
        <v>0.0</v>
      </c>
      <c r="AY146" s="333">
        <v>0.0</v>
      </c>
      <c r="AZ146" s="333">
        <v>0.0</v>
      </c>
      <c r="BA146" s="333">
        <v>0.0</v>
      </c>
      <c r="BB146" s="333">
        <v>0.0</v>
      </c>
      <c r="BC146" s="333">
        <v>0.0</v>
      </c>
      <c r="BD146" s="333">
        <v>0.0</v>
      </c>
      <c r="BE146" s="333">
        <v>5.5</v>
      </c>
      <c r="BF146" s="333">
        <f t="shared" si="24"/>
        <v>23.49</v>
      </c>
      <c r="BG146" s="331"/>
      <c r="BH146" s="331"/>
      <c r="BI146" s="331"/>
      <c r="BJ146" s="331"/>
      <c r="BK146" s="306"/>
    </row>
    <row r="147" ht="15.75" customHeight="1">
      <c r="A147" s="306"/>
      <c r="B147" s="306"/>
      <c r="C147" s="306"/>
      <c r="D147" s="1304"/>
      <c r="E147" s="1309"/>
      <c r="F147" s="1220"/>
      <c r="G147" s="1220"/>
      <c r="H147" s="1220"/>
      <c r="I147" s="1220"/>
      <c r="J147" s="1220"/>
      <c r="L147" s="306"/>
      <c r="M147" s="306"/>
      <c r="N147" s="306"/>
      <c r="O147" s="306"/>
      <c r="P147" s="306"/>
      <c r="Q147" s="306"/>
      <c r="R147" s="306"/>
      <c r="S147" s="306"/>
      <c r="T147" s="306"/>
      <c r="U147" s="306"/>
      <c r="V147" s="306"/>
      <c r="W147" s="306"/>
      <c r="X147" s="331"/>
      <c r="Y147" s="331"/>
      <c r="Z147" s="331"/>
      <c r="AA147" s="331"/>
      <c r="AB147" s="331"/>
      <c r="AC147" s="331"/>
      <c r="AD147" s="331"/>
      <c r="AE147" s="331"/>
      <c r="AF147" s="331"/>
      <c r="AG147" s="331"/>
      <c r="AH147" s="331"/>
      <c r="AI147" s="331"/>
      <c r="AJ147" s="331"/>
      <c r="AK147" s="331"/>
      <c r="AL147" s="331"/>
      <c r="AM147" s="331"/>
      <c r="AN147" s="331"/>
      <c r="AO147" s="331"/>
      <c r="AP147" s="331"/>
      <c r="AQ147" s="331"/>
      <c r="AR147" s="331"/>
      <c r="AS147" s="331"/>
      <c r="AT147" s="331"/>
      <c r="AU147" s="331"/>
      <c r="AV147" s="331"/>
      <c r="AW147" s="331"/>
      <c r="AX147" s="331"/>
      <c r="AY147" s="331"/>
      <c r="AZ147" s="331"/>
      <c r="BA147" s="331"/>
      <c r="BB147" s="331"/>
      <c r="BC147" s="331"/>
      <c r="BD147" s="331"/>
      <c r="BE147" s="331"/>
      <c r="BF147" s="331"/>
      <c r="BG147" s="331"/>
      <c r="BH147" s="331"/>
      <c r="BI147" s="331"/>
      <c r="BJ147" s="331"/>
      <c r="BK147" s="306"/>
    </row>
    <row r="148" ht="15.75" customHeight="1">
      <c r="A148" s="306"/>
      <c r="B148" s="306"/>
      <c r="C148" s="306"/>
      <c r="D148" s="1304"/>
      <c r="E148" s="1309"/>
      <c r="F148" s="1220"/>
      <c r="G148" s="1220"/>
      <c r="H148" s="1220"/>
      <c r="I148" s="1220"/>
      <c r="J148" s="1220"/>
      <c r="L148" s="306"/>
      <c r="M148" s="306"/>
      <c r="N148" s="306"/>
      <c r="O148" s="306"/>
      <c r="P148" s="306"/>
      <c r="Q148" s="306"/>
      <c r="R148" s="306"/>
      <c r="S148" s="306"/>
      <c r="T148" s="306"/>
      <c r="U148" s="306"/>
      <c r="V148" s="306"/>
      <c r="W148" s="306"/>
      <c r="X148" s="331"/>
      <c r="Y148" s="331"/>
      <c r="Z148" s="331"/>
      <c r="AA148" s="331"/>
      <c r="AB148" s="331"/>
      <c r="AC148" s="331"/>
      <c r="AD148" s="331"/>
      <c r="AE148" s="331"/>
      <c r="AF148" s="331"/>
      <c r="AG148" s="331"/>
      <c r="AH148" s="331"/>
      <c r="AI148" s="331"/>
      <c r="AJ148" s="331"/>
      <c r="AK148" s="331"/>
      <c r="AL148" s="331"/>
      <c r="AM148" s="331"/>
      <c r="AN148" s="331"/>
      <c r="AO148" s="331"/>
      <c r="AP148" s="331"/>
      <c r="AQ148" s="331"/>
      <c r="AR148" s="331"/>
      <c r="AS148" s="331"/>
      <c r="AT148" s="331"/>
      <c r="AU148" s="331"/>
      <c r="AV148" s="331"/>
      <c r="AW148" s="331"/>
      <c r="AX148" s="331"/>
      <c r="AY148" s="331"/>
      <c r="AZ148" s="331"/>
      <c r="BA148" s="331"/>
      <c r="BB148" s="331"/>
      <c r="BC148" s="331"/>
      <c r="BD148" s="331"/>
      <c r="BE148" s="331"/>
      <c r="BF148" s="331"/>
      <c r="BG148" s="331"/>
      <c r="BH148" s="331"/>
      <c r="BI148" s="331"/>
      <c r="BJ148" s="331"/>
      <c r="BK148" s="306"/>
    </row>
    <row r="149" ht="15.75" customHeight="1">
      <c r="A149" s="306"/>
      <c r="B149" s="306"/>
      <c r="C149" s="306"/>
      <c r="D149" s="1304"/>
      <c r="E149" s="1309"/>
      <c r="F149" s="1220"/>
      <c r="G149" s="1220"/>
      <c r="H149" s="1220"/>
      <c r="I149" s="1220"/>
      <c r="J149" s="1220"/>
      <c r="L149" s="306"/>
      <c r="M149" s="306"/>
      <c r="N149" s="306"/>
      <c r="O149" s="306"/>
      <c r="P149" s="306"/>
      <c r="Q149" s="306"/>
      <c r="R149" s="306"/>
      <c r="S149" s="306"/>
      <c r="T149" s="306"/>
      <c r="U149" s="306"/>
      <c r="V149" s="306"/>
      <c r="W149" s="306"/>
      <c r="X149" s="331"/>
      <c r="Y149" s="331"/>
      <c r="Z149" s="331"/>
      <c r="AA149" s="331"/>
      <c r="AB149" s="331"/>
      <c r="AC149" s="331"/>
      <c r="AD149" s="331"/>
      <c r="AE149" s="331"/>
      <c r="AF149" s="331"/>
      <c r="AG149" s="331"/>
      <c r="AH149" s="331"/>
      <c r="AI149" s="331"/>
      <c r="AJ149" s="1301"/>
      <c r="AK149" s="1301" t="s">
        <v>873</v>
      </c>
      <c r="AL149" s="1301" t="s">
        <v>427</v>
      </c>
      <c r="AM149" s="1301" t="s">
        <v>2139</v>
      </c>
      <c r="AN149" s="1301" t="s">
        <v>2042</v>
      </c>
      <c r="AO149" s="1301" t="s">
        <v>2043</v>
      </c>
      <c r="AP149" s="1301" t="s">
        <v>2044</v>
      </c>
      <c r="AQ149" s="1301" t="s">
        <v>2045</v>
      </c>
      <c r="AR149" s="1301" t="s">
        <v>2046</v>
      </c>
      <c r="AS149" s="1301" t="s">
        <v>2047</v>
      </c>
      <c r="AT149" s="1301" t="s">
        <v>2048</v>
      </c>
      <c r="AU149" s="1301" t="s">
        <v>876</v>
      </c>
      <c r="AV149" s="1301" t="s">
        <v>2140</v>
      </c>
      <c r="AW149" s="1301" t="s">
        <v>878</v>
      </c>
      <c r="AX149" s="331"/>
      <c r="AY149" s="331"/>
      <c r="AZ149" s="331"/>
      <c r="BA149" s="331"/>
      <c r="BB149" s="331"/>
      <c r="BC149" s="331"/>
      <c r="BD149" s="331"/>
      <c r="BE149" s="331"/>
      <c r="BF149" s="331"/>
      <c r="BG149" s="331"/>
      <c r="BH149" s="331"/>
      <c r="BI149" s="331"/>
      <c r="BJ149" s="331"/>
      <c r="BK149" s="306"/>
    </row>
    <row r="150" ht="15.75" customHeight="1">
      <c r="A150" s="306"/>
      <c r="B150" s="306"/>
      <c r="C150" s="306"/>
      <c r="D150" s="1304"/>
      <c r="E150" s="1309"/>
      <c r="F150" s="1220"/>
      <c r="G150" s="1220"/>
      <c r="H150" s="1220"/>
      <c r="I150" s="1220"/>
      <c r="J150" s="1220"/>
      <c r="L150" s="306"/>
      <c r="M150" s="306"/>
      <c r="N150" s="306"/>
      <c r="O150" s="306"/>
      <c r="P150" s="306"/>
      <c r="Q150" s="306"/>
      <c r="R150" s="306"/>
      <c r="S150" s="306"/>
      <c r="T150" s="306"/>
      <c r="U150" s="306"/>
      <c r="V150" s="306"/>
      <c r="W150" s="306"/>
      <c r="X150" s="331"/>
      <c r="Y150" s="331"/>
      <c r="Z150" s="331"/>
      <c r="AA150" s="331"/>
      <c r="AB150" s="331"/>
      <c r="AC150" s="331"/>
      <c r="AD150" s="331"/>
      <c r="AE150" s="331"/>
      <c r="AF150" s="331"/>
      <c r="AG150" s="331"/>
      <c r="AH150" s="331"/>
      <c r="AI150" s="331"/>
      <c r="AJ150" s="396" t="s">
        <v>2194</v>
      </c>
      <c r="AK150" s="333" t="s">
        <v>762</v>
      </c>
      <c r="AL150" s="333">
        <v>1.0</v>
      </c>
      <c r="AM150" s="331"/>
      <c r="AN150" s="333"/>
      <c r="AO150" s="333"/>
      <c r="AP150" s="333"/>
      <c r="AQ150" s="333"/>
      <c r="AR150" s="333"/>
      <c r="AS150" s="333"/>
      <c r="AT150" s="333"/>
      <c r="AU150" s="333"/>
      <c r="AV150" s="333"/>
      <c r="AW150" s="333"/>
      <c r="AX150" s="331"/>
      <c r="AY150" s="331"/>
      <c r="AZ150" s="331"/>
      <c r="BA150" s="331"/>
      <c r="BB150" s="331"/>
      <c r="BC150" s="331"/>
      <c r="BD150" s="331"/>
      <c r="BE150" s="331"/>
      <c r="BF150" s="331"/>
      <c r="BG150" s="331"/>
      <c r="BH150" s="331"/>
      <c r="BI150" s="331"/>
      <c r="BJ150" s="331"/>
      <c r="BK150" s="306"/>
    </row>
    <row r="151" ht="15.75" customHeight="1">
      <c r="A151" s="306"/>
      <c r="B151" s="306"/>
      <c r="C151" s="306"/>
      <c r="D151" s="1304"/>
      <c r="E151" s="1309"/>
      <c r="F151" s="1220"/>
      <c r="G151" s="1220"/>
      <c r="H151" s="1220"/>
      <c r="I151" s="1220"/>
      <c r="J151" s="1220"/>
      <c r="L151" s="306"/>
      <c r="M151" s="306"/>
      <c r="N151" s="306"/>
      <c r="O151" s="306"/>
      <c r="P151" s="306"/>
      <c r="Q151" s="306"/>
      <c r="R151" s="306"/>
      <c r="S151" s="306"/>
      <c r="T151" s="306"/>
      <c r="U151" s="306"/>
      <c r="V151" s="306"/>
      <c r="W151" s="306"/>
      <c r="X151" s="331"/>
      <c r="Y151" s="331"/>
      <c r="Z151" s="331"/>
      <c r="AA151" s="331"/>
      <c r="AB151" s="331"/>
      <c r="AC151" s="331"/>
      <c r="AD151" s="331"/>
      <c r="AE151" s="331"/>
      <c r="AF151" s="331"/>
      <c r="AG151" s="331"/>
      <c r="AH151" s="331"/>
      <c r="AI151" s="331"/>
      <c r="AJ151" s="31"/>
      <c r="AK151" s="333"/>
      <c r="AL151" s="333">
        <v>1.0</v>
      </c>
      <c r="AM151" s="333">
        <v>5.5</v>
      </c>
      <c r="AN151" s="333" t="s">
        <v>1065</v>
      </c>
      <c r="AO151" s="333">
        <v>3.97</v>
      </c>
      <c r="AP151" s="333" t="s">
        <v>2019</v>
      </c>
      <c r="AQ151" s="333">
        <v>6.56</v>
      </c>
      <c r="AR151" s="333" t="s">
        <v>1330</v>
      </c>
      <c r="AS151" s="333">
        <v>12.75</v>
      </c>
      <c r="AT151" s="333" t="s">
        <v>950</v>
      </c>
      <c r="AU151" s="333">
        <v>12.65</v>
      </c>
      <c r="AV151" s="333">
        <v>5.94</v>
      </c>
      <c r="AW151" s="333">
        <f>SUM(AM151,AO151,AQ151,AS151,AU151,AV151)</f>
        <v>47.37</v>
      </c>
      <c r="AX151" s="331"/>
      <c r="AY151" s="331"/>
      <c r="AZ151" s="331"/>
      <c r="BA151" s="331"/>
      <c r="BB151" s="331"/>
      <c r="BC151" s="331"/>
      <c r="BD151" s="331"/>
      <c r="BE151" s="331"/>
      <c r="BF151" s="331"/>
      <c r="BG151" s="331"/>
      <c r="BH151" s="331"/>
      <c r="BI151" s="331"/>
      <c r="BJ151" s="331"/>
      <c r="BK151" s="306"/>
    </row>
    <row r="152" ht="15.75" customHeight="1">
      <c r="A152" s="306"/>
      <c r="B152" s="306"/>
      <c r="C152" s="306"/>
      <c r="D152" s="1304"/>
      <c r="E152" s="1309"/>
      <c r="F152" s="1220"/>
      <c r="G152" s="1220"/>
      <c r="H152" s="1220"/>
      <c r="I152" s="1220"/>
      <c r="J152" s="1220"/>
      <c r="L152" s="306"/>
      <c r="M152" s="306"/>
      <c r="N152" s="306"/>
      <c r="O152" s="306"/>
      <c r="P152" s="306"/>
      <c r="Q152" s="306"/>
      <c r="R152" s="306"/>
      <c r="S152" s="306"/>
      <c r="T152" s="306"/>
      <c r="U152" s="306"/>
      <c r="V152" s="306"/>
      <c r="W152" s="306"/>
      <c r="X152" s="331"/>
      <c r="Y152" s="331"/>
      <c r="Z152" s="331"/>
      <c r="AA152" s="331"/>
      <c r="AB152" s="331"/>
      <c r="AC152" s="331"/>
      <c r="AD152" s="331"/>
      <c r="AE152" s="331"/>
      <c r="AF152" s="331"/>
      <c r="AG152" s="331"/>
      <c r="AH152" s="331"/>
      <c r="AI152" s="331"/>
      <c r="AJ152" s="331"/>
      <c r="AK152" s="331"/>
      <c r="AL152" s="331"/>
      <c r="AM152" s="331"/>
      <c r="AN152" s="331"/>
      <c r="AO152" s="331"/>
      <c r="AP152" s="331"/>
      <c r="AQ152" s="331"/>
      <c r="AR152" s="331"/>
      <c r="AS152" s="331"/>
      <c r="AT152" s="331"/>
      <c r="AU152" s="331"/>
      <c r="AV152" s="331"/>
      <c r="AW152" s="331"/>
      <c r="AX152" s="331"/>
      <c r="AY152" s="331"/>
      <c r="AZ152" s="331"/>
      <c r="BA152" s="331"/>
      <c r="BB152" s="331"/>
      <c r="BC152" s="331"/>
      <c r="BD152" s="331"/>
      <c r="BE152" s="331"/>
      <c r="BF152" s="331"/>
      <c r="BG152" s="331"/>
      <c r="BH152" s="331"/>
      <c r="BI152" s="331"/>
      <c r="BJ152" s="331"/>
      <c r="BK152" s="306"/>
    </row>
    <row r="153" ht="15.75" customHeight="1">
      <c r="A153" s="306"/>
      <c r="B153" s="306"/>
      <c r="C153" s="306"/>
      <c r="D153" s="1304"/>
      <c r="E153" s="1309"/>
      <c r="F153" s="1220"/>
      <c r="G153" s="1220"/>
      <c r="H153" s="1220"/>
      <c r="I153" s="1220"/>
      <c r="J153" s="1220"/>
      <c r="L153" s="306"/>
      <c r="M153" s="306"/>
      <c r="N153" s="306"/>
      <c r="O153" s="306"/>
      <c r="P153" s="306"/>
      <c r="Q153" s="306"/>
      <c r="R153" s="306"/>
      <c r="S153" s="306"/>
      <c r="T153" s="306"/>
      <c r="U153" s="306"/>
      <c r="V153" s="306"/>
      <c r="W153" s="306"/>
      <c r="X153" s="331"/>
      <c r="Y153" s="331"/>
      <c r="Z153" s="331"/>
      <c r="AA153" s="331"/>
      <c r="AB153" s="331"/>
      <c r="AC153" s="331"/>
      <c r="AD153" s="331"/>
      <c r="AE153" s="331"/>
      <c r="AF153" s="331"/>
      <c r="AG153" s="331"/>
      <c r="AH153" s="331"/>
      <c r="AI153" s="331"/>
      <c r="AJ153" s="331"/>
      <c r="AK153" s="331"/>
      <c r="AL153" s="331"/>
      <c r="AM153" s="331"/>
      <c r="AN153" s="331"/>
      <c r="AO153" s="331"/>
      <c r="AP153" s="331"/>
      <c r="AQ153" s="331"/>
      <c r="AR153" s="331"/>
      <c r="AS153" s="331"/>
      <c r="AT153" s="331"/>
      <c r="AU153" s="331"/>
      <c r="AV153" s="331"/>
      <c r="AW153" s="331"/>
      <c r="AX153" s="331"/>
      <c r="AY153" s="331"/>
      <c r="AZ153" s="331"/>
      <c r="BA153" s="331"/>
      <c r="BB153" s="331"/>
      <c r="BC153" s="331"/>
      <c r="BD153" s="331"/>
      <c r="BE153" s="331"/>
      <c r="BF153" s="331"/>
      <c r="BG153" s="331"/>
      <c r="BH153" s="331"/>
      <c r="BI153" s="331"/>
      <c r="BJ153" s="331"/>
      <c r="BK153" s="306"/>
    </row>
    <row r="154" ht="15.75" customHeight="1">
      <c r="A154" s="306"/>
      <c r="B154" s="306"/>
      <c r="C154" s="306"/>
      <c r="D154" s="1304"/>
      <c r="E154" s="1309"/>
      <c r="F154" s="1220"/>
      <c r="G154" s="1220"/>
      <c r="H154" s="1220"/>
      <c r="I154" s="1220"/>
      <c r="J154" s="1220"/>
      <c r="L154" s="306"/>
      <c r="M154" s="306"/>
      <c r="N154" s="306"/>
      <c r="O154" s="306"/>
      <c r="P154" s="306"/>
      <c r="Q154" s="306"/>
      <c r="R154" s="306"/>
      <c r="S154" s="306"/>
      <c r="T154" s="306"/>
      <c r="U154" s="306"/>
      <c r="V154" s="306"/>
      <c r="W154" s="306"/>
      <c r="X154" s="331"/>
      <c r="Y154" s="331"/>
      <c r="Z154" s="331"/>
      <c r="AA154" s="331"/>
      <c r="AB154" s="331"/>
      <c r="AC154" s="331"/>
      <c r="AD154" s="331"/>
      <c r="AE154" s="331"/>
      <c r="AF154" s="331"/>
      <c r="AG154" s="331"/>
      <c r="AH154" s="331"/>
      <c r="AI154" s="331"/>
      <c r="AJ154" s="1245" t="s">
        <v>2195</v>
      </c>
      <c r="AK154" s="1246"/>
      <c r="AL154" s="1246"/>
      <c r="AM154" s="1246"/>
      <c r="AN154" s="1246"/>
      <c r="AO154" s="1246"/>
      <c r="AP154" s="1246"/>
      <c r="AQ154" s="1246"/>
      <c r="AR154" s="1246"/>
      <c r="AS154" s="1246"/>
      <c r="AT154" s="1246"/>
      <c r="AU154" s="1246"/>
      <c r="AV154" s="1246"/>
      <c r="AW154" s="1246"/>
      <c r="AX154" s="1246"/>
      <c r="AY154" s="1246"/>
      <c r="AZ154" s="1246"/>
      <c r="BA154" s="1246"/>
      <c r="BB154" s="1246"/>
      <c r="BC154" s="1247"/>
      <c r="BD154" s="331"/>
      <c r="BE154" s="331"/>
      <c r="BF154" s="331"/>
      <c r="BG154" s="331"/>
      <c r="BH154" s="331"/>
      <c r="BI154" s="331"/>
      <c r="BJ154" s="331"/>
      <c r="BK154" s="306"/>
    </row>
    <row r="155" ht="15.75" customHeight="1">
      <c r="A155" s="306"/>
      <c r="B155" s="306"/>
      <c r="C155" s="306"/>
      <c r="D155" s="1304"/>
      <c r="E155" s="1309"/>
      <c r="F155" s="1220"/>
      <c r="G155" s="1220"/>
      <c r="H155" s="1220"/>
      <c r="I155" s="1220"/>
      <c r="J155" s="1220"/>
      <c r="L155" s="306"/>
      <c r="M155" s="306"/>
      <c r="N155" s="306"/>
      <c r="O155" s="306"/>
      <c r="P155" s="306"/>
      <c r="Q155" s="306"/>
      <c r="R155" s="306"/>
      <c r="S155" s="306"/>
      <c r="T155" s="306"/>
      <c r="U155" s="306"/>
      <c r="V155" s="306"/>
      <c r="W155" s="306"/>
      <c r="X155" s="331"/>
      <c r="Y155" s="331"/>
      <c r="Z155" s="331"/>
      <c r="AA155" s="331"/>
      <c r="AB155" s="331"/>
      <c r="AC155" s="331"/>
      <c r="AD155" s="331"/>
      <c r="AE155" s="331"/>
      <c r="AF155" s="331"/>
      <c r="AG155" s="331"/>
      <c r="AH155" s="331"/>
      <c r="AI155" s="331"/>
      <c r="AJ155" s="331"/>
      <c r="AK155" s="331"/>
      <c r="AL155" s="331"/>
      <c r="AM155" s="331"/>
      <c r="AN155" s="331"/>
      <c r="AO155" s="331"/>
      <c r="AP155" s="331"/>
      <c r="AQ155" s="331"/>
      <c r="AR155" s="331"/>
      <c r="AS155" s="331"/>
      <c r="AT155" s="331"/>
      <c r="AU155" s="331"/>
      <c r="AV155" s="331"/>
      <c r="AW155" s="331"/>
      <c r="AX155" s="331"/>
      <c r="AY155" s="331"/>
      <c r="AZ155" s="331"/>
      <c r="BA155" s="331"/>
      <c r="BB155" s="331"/>
      <c r="BC155" s="331"/>
      <c r="BD155" s="331"/>
      <c r="BE155" s="331"/>
      <c r="BF155" s="331"/>
      <c r="BG155" s="331"/>
      <c r="BH155" s="331"/>
      <c r="BI155" s="331"/>
      <c r="BJ155" s="331"/>
      <c r="BK155" s="306"/>
    </row>
    <row r="156" ht="15.75" customHeight="1">
      <c r="A156" s="306"/>
      <c r="B156" s="306"/>
      <c r="C156" s="306"/>
      <c r="D156" s="1304"/>
      <c r="E156" s="1309"/>
      <c r="F156" s="1220"/>
      <c r="G156" s="1220"/>
      <c r="H156" s="1220"/>
      <c r="I156" s="1220"/>
      <c r="J156" s="1220"/>
      <c r="L156" s="306"/>
      <c r="M156" s="306"/>
      <c r="N156" s="306"/>
      <c r="O156" s="306"/>
      <c r="P156" s="306"/>
      <c r="Q156" s="306"/>
      <c r="R156" s="306"/>
      <c r="S156" s="306"/>
      <c r="T156" s="306"/>
      <c r="U156" s="306"/>
      <c r="V156" s="306"/>
      <c r="W156" s="306"/>
      <c r="X156" s="331"/>
      <c r="Y156" s="331"/>
      <c r="Z156" s="331"/>
      <c r="AA156" s="331"/>
      <c r="AB156" s="331"/>
      <c r="AC156" s="331"/>
      <c r="AD156" s="331"/>
      <c r="AE156" s="331"/>
      <c r="AF156" s="331"/>
      <c r="AG156" s="331"/>
      <c r="AH156" s="331"/>
      <c r="AI156" s="331"/>
      <c r="AJ156" s="333"/>
      <c r="AK156" s="335" t="s">
        <v>563</v>
      </c>
      <c r="AL156" s="12"/>
      <c r="AM156" s="13"/>
      <c r="AN156" s="335" t="s">
        <v>565</v>
      </c>
      <c r="AO156" s="13"/>
      <c r="AP156" s="333"/>
      <c r="AQ156" s="333" t="s">
        <v>569</v>
      </c>
      <c r="AR156" s="335" t="s">
        <v>2068</v>
      </c>
      <c r="AS156" s="13"/>
      <c r="AT156" s="1287" t="s">
        <v>576</v>
      </c>
      <c r="AU156" s="1287"/>
      <c r="AV156" s="1287"/>
      <c r="AW156" s="1287"/>
      <c r="AX156" s="1287"/>
      <c r="AY156" s="1287"/>
      <c r="AZ156" s="335" t="s">
        <v>2025</v>
      </c>
      <c r="BA156" s="12"/>
      <c r="BB156" s="12"/>
      <c r="BC156" s="12"/>
      <c r="BD156" s="12"/>
      <c r="BE156" s="13"/>
      <c r="BF156" s="331"/>
      <c r="BG156" s="331"/>
      <c r="BH156" s="331"/>
      <c r="BI156" s="331"/>
      <c r="BJ156" s="331"/>
      <c r="BK156" s="306"/>
    </row>
    <row r="157" ht="15.75" customHeight="1">
      <c r="A157" s="306"/>
      <c r="B157" s="306"/>
      <c r="C157" s="306"/>
      <c r="D157" s="1220"/>
      <c r="E157" s="1309"/>
      <c r="F157" s="1220"/>
      <c r="G157" s="1220"/>
      <c r="H157" s="1220"/>
      <c r="I157" s="1220"/>
      <c r="J157" s="1220"/>
      <c r="L157" s="306"/>
      <c r="M157" s="306"/>
      <c r="N157" s="306"/>
      <c r="O157" s="306"/>
      <c r="P157" s="306"/>
      <c r="Q157" s="306"/>
      <c r="R157" s="306"/>
      <c r="S157" s="306"/>
      <c r="T157" s="306"/>
      <c r="U157" s="306"/>
      <c r="V157" s="306"/>
      <c r="W157" s="306"/>
      <c r="X157" s="331"/>
      <c r="Y157" s="331"/>
      <c r="Z157" s="331"/>
      <c r="AA157" s="331"/>
      <c r="AB157" s="331"/>
      <c r="AC157" s="331"/>
      <c r="AD157" s="331"/>
      <c r="AE157" s="331"/>
      <c r="AF157" s="331"/>
      <c r="AG157" s="331"/>
      <c r="AH157" s="331"/>
      <c r="AI157" s="331"/>
      <c r="AJ157" s="333"/>
      <c r="AK157" s="333"/>
      <c r="AL157" s="333"/>
      <c r="AM157" s="333"/>
      <c r="AN157" s="333"/>
      <c r="AO157" s="333"/>
      <c r="AP157" s="333"/>
      <c r="AQ157" s="333"/>
      <c r="AR157" s="333" t="s">
        <v>582</v>
      </c>
      <c r="AS157" s="333"/>
      <c r="AT157" s="333" t="s">
        <v>582</v>
      </c>
      <c r="AU157" s="333" t="s">
        <v>2026</v>
      </c>
      <c r="AV157" s="333" t="s">
        <v>583</v>
      </c>
      <c r="AW157" s="333" t="s">
        <v>2027</v>
      </c>
      <c r="AX157" s="333" t="s">
        <v>585</v>
      </c>
      <c r="AY157" s="333" t="s">
        <v>2028</v>
      </c>
      <c r="AZ157" s="333"/>
      <c r="BA157" s="333"/>
      <c r="BB157" s="333"/>
      <c r="BC157" s="333"/>
      <c r="BD157" s="333"/>
      <c r="BE157" s="333"/>
      <c r="BF157" s="331"/>
      <c r="BG157" s="331"/>
      <c r="BH157" s="331"/>
      <c r="BI157" s="331"/>
      <c r="BJ157" s="331"/>
      <c r="BK157" s="306"/>
    </row>
    <row r="158" ht="15.75" customHeight="1">
      <c r="A158" s="306"/>
      <c r="B158" s="306"/>
      <c r="C158" s="306"/>
      <c r="D158" s="1220"/>
      <c r="E158" s="1309"/>
      <c r="F158" s="1220"/>
      <c r="G158" s="1220"/>
      <c r="H158" s="1220"/>
      <c r="I158" s="1220"/>
      <c r="J158" s="1220"/>
      <c r="L158" s="306"/>
      <c r="M158" s="306"/>
      <c r="N158" s="306"/>
      <c r="O158" s="306"/>
      <c r="P158" s="306"/>
      <c r="Q158" s="306"/>
      <c r="R158" s="306"/>
      <c r="S158" s="306"/>
      <c r="T158" s="306"/>
      <c r="U158" s="306"/>
      <c r="V158" s="306"/>
      <c r="W158" s="306"/>
      <c r="X158" s="331"/>
      <c r="Y158" s="331"/>
      <c r="Z158" s="331"/>
      <c r="AA158" s="331"/>
      <c r="AB158" s="331"/>
      <c r="AC158" s="331"/>
      <c r="AD158" s="331"/>
      <c r="AE158" s="331"/>
      <c r="AF158" s="331"/>
      <c r="AG158" s="331"/>
      <c r="AH158" s="331"/>
      <c r="AI158" s="331"/>
      <c r="AJ158" s="321" t="s">
        <v>38</v>
      </c>
      <c r="AK158" s="321" t="s">
        <v>379</v>
      </c>
      <c r="AL158" s="321" t="s">
        <v>593</v>
      </c>
      <c r="AM158" s="321" t="s">
        <v>383</v>
      </c>
      <c r="AN158" s="321" t="s">
        <v>559</v>
      </c>
      <c r="AO158" s="321" t="s">
        <v>2168</v>
      </c>
      <c r="AP158" s="321" t="s">
        <v>115</v>
      </c>
      <c r="AQ158" s="321" t="s">
        <v>594</v>
      </c>
      <c r="AR158" s="321" t="s">
        <v>595</v>
      </c>
      <c r="AS158" s="321" t="s">
        <v>118</v>
      </c>
      <c r="AT158" s="321" t="s">
        <v>2030</v>
      </c>
      <c r="AU158" s="321" t="s">
        <v>2031</v>
      </c>
      <c r="AV158" s="321" t="s">
        <v>2032</v>
      </c>
      <c r="AW158" s="321" t="s">
        <v>2033</v>
      </c>
      <c r="AX158" s="321" t="s">
        <v>601</v>
      </c>
      <c r="AY158" s="321" t="s">
        <v>2034</v>
      </c>
      <c r="AZ158" s="321" t="s">
        <v>2030</v>
      </c>
      <c r="BA158" s="321" t="s">
        <v>2031</v>
      </c>
      <c r="BB158" s="321" t="s">
        <v>2032</v>
      </c>
      <c r="BC158" s="321" t="s">
        <v>2033</v>
      </c>
      <c r="BD158" s="321" t="s">
        <v>601</v>
      </c>
      <c r="BE158" s="322" t="s">
        <v>2034</v>
      </c>
      <c r="BF158" s="331"/>
      <c r="BG158" s="331"/>
      <c r="BH158" s="331"/>
      <c r="BI158" s="331"/>
      <c r="BJ158" s="331"/>
      <c r="BK158" s="306"/>
    </row>
    <row r="159" ht="15.75" customHeight="1">
      <c r="A159" s="306"/>
      <c r="B159" s="306"/>
      <c r="C159" s="306"/>
      <c r="D159" s="1220"/>
      <c r="E159" s="1309"/>
      <c r="F159" s="1220"/>
      <c r="G159" s="1220"/>
      <c r="H159" s="1220"/>
      <c r="I159" s="1220"/>
      <c r="J159" s="1220"/>
      <c r="L159" s="306"/>
      <c r="M159" s="306"/>
      <c r="N159" s="306"/>
      <c r="O159" s="306"/>
      <c r="P159" s="306"/>
      <c r="Q159" s="306"/>
      <c r="R159" s="306"/>
      <c r="S159" s="306"/>
      <c r="T159" s="306"/>
      <c r="U159" s="306"/>
      <c r="V159" s="306"/>
      <c r="W159" s="306"/>
      <c r="X159" s="331"/>
      <c r="Y159" s="331"/>
      <c r="Z159" s="331"/>
      <c r="AA159" s="331"/>
      <c r="AB159" s="331"/>
      <c r="AC159" s="331"/>
      <c r="AD159" s="331"/>
      <c r="AE159" s="331"/>
      <c r="AF159" s="331"/>
      <c r="AG159" s="331"/>
      <c r="AH159" s="331"/>
      <c r="AI159" s="331"/>
      <c r="AJ159" s="333" t="s">
        <v>977</v>
      </c>
      <c r="AK159" s="333">
        <v>15.0</v>
      </c>
      <c r="AL159" s="333">
        <v>2.0</v>
      </c>
      <c r="AM159" s="333">
        <v>7.0</v>
      </c>
      <c r="AN159" s="333">
        <v>12.0</v>
      </c>
      <c r="AO159" s="333">
        <v>6.0</v>
      </c>
      <c r="AP159" s="333">
        <v>24.0</v>
      </c>
      <c r="AQ159" s="333">
        <v>14.0</v>
      </c>
      <c r="AR159" s="333">
        <v>9.0</v>
      </c>
      <c r="AS159" s="333">
        <v>16.44</v>
      </c>
      <c r="AT159" s="333">
        <v>5.0</v>
      </c>
      <c r="AU159" s="333">
        <v>0.0</v>
      </c>
      <c r="AV159" s="333">
        <v>0.0</v>
      </c>
      <c r="AW159" s="333">
        <v>2.0</v>
      </c>
      <c r="AX159" s="333">
        <v>0.0</v>
      </c>
      <c r="AY159" s="333">
        <v>1.0</v>
      </c>
      <c r="AZ159" s="333">
        <v>0.0</v>
      </c>
      <c r="BA159" s="333">
        <v>1.0</v>
      </c>
      <c r="BB159" s="333">
        <v>1.0</v>
      </c>
      <c r="BC159" s="333">
        <v>0.0</v>
      </c>
      <c r="BD159" s="333">
        <v>1.0</v>
      </c>
      <c r="BE159" s="333">
        <v>1.0</v>
      </c>
      <c r="BF159" s="331"/>
      <c r="BG159" s="331"/>
      <c r="BH159" s="331"/>
      <c r="BI159" s="331"/>
      <c r="BJ159" s="331"/>
      <c r="BK159" s="306"/>
    </row>
    <row r="160" ht="15.75" customHeight="1">
      <c r="A160" s="306"/>
      <c r="B160" s="306"/>
      <c r="C160" s="306"/>
      <c r="D160" s="1220"/>
      <c r="E160" s="1220"/>
      <c r="F160" s="1220"/>
      <c r="G160" s="1220"/>
      <c r="H160" s="1220"/>
      <c r="I160" s="1220"/>
      <c r="J160" s="1220"/>
      <c r="L160" s="306"/>
      <c r="M160" s="306"/>
      <c r="N160" s="306"/>
      <c r="O160" s="306"/>
      <c r="P160" s="306"/>
      <c r="Q160" s="306"/>
      <c r="R160" s="306"/>
      <c r="S160" s="306"/>
      <c r="T160" s="306"/>
      <c r="U160" s="306"/>
      <c r="V160" s="306"/>
      <c r="W160" s="306"/>
      <c r="X160" s="331"/>
      <c r="Y160" s="331"/>
      <c r="Z160" s="331"/>
      <c r="AA160" s="331"/>
      <c r="AB160" s="331"/>
      <c r="AC160" s="331"/>
      <c r="AD160" s="331"/>
      <c r="AE160" s="331"/>
      <c r="AF160" s="331"/>
      <c r="AG160" s="331"/>
      <c r="AH160" s="331"/>
      <c r="AI160" s="331"/>
      <c r="AJ160" s="331"/>
      <c r="AK160" s="331"/>
      <c r="AL160" s="331"/>
      <c r="AM160" s="331"/>
      <c r="AN160" s="331"/>
      <c r="AO160" s="331"/>
      <c r="AP160" s="331"/>
      <c r="AQ160" s="331"/>
      <c r="AR160" s="331"/>
      <c r="AS160" s="331"/>
      <c r="AT160" s="331"/>
      <c r="AU160" s="331"/>
      <c r="AV160" s="331"/>
      <c r="AW160" s="331"/>
      <c r="AX160" s="331"/>
      <c r="AY160" s="331"/>
      <c r="AZ160" s="331"/>
      <c r="BA160" s="331"/>
      <c r="BB160" s="331"/>
      <c r="BC160" s="331"/>
      <c r="BD160" s="331"/>
      <c r="BE160" s="331"/>
      <c r="BF160" s="331"/>
      <c r="BG160" s="331"/>
      <c r="BH160" s="331"/>
      <c r="BI160" s="331"/>
      <c r="BJ160" s="331"/>
      <c r="BK160" s="306"/>
    </row>
    <row r="161" ht="15.75" customHeight="1">
      <c r="A161" s="306"/>
      <c r="B161" s="306"/>
      <c r="C161" s="306"/>
      <c r="D161" s="1220"/>
      <c r="E161" s="1220"/>
      <c r="F161" s="1220"/>
      <c r="G161" s="1220"/>
      <c r="H161" s="1220"/>
      <c r="I161" s="1220"/>
      <c r="J161" s="1220"/>
      <c r="L161" s="306"/>
      <c r="M161" s="306"/>
      <c r="N161" s="306"/>
      <c r="O161" s="306"/>
      <c r="P161" s="306"/>
      <c r="Q161" s="306"/>
      <c r="R161" s="306"/>
      <c r="S161" s="306"/>
      <c r="T161" s="306"/>
      <c r="U161" s="306"/>
      <c r="V161" s="306"/>
      <c r="W161" s="306"/>
      <c r="X161" s="331"/>
      <c r="Y161" s="331"/>
      <c r="Z161" s="331"/>
      <c r="AA161" s="331"/>
      <c r="AB161" s="331"/>
      <c r="AC161" s="331"/>
      <c r="AD161" s="331"/>
      <c r="AE161" s="331"/>
      <c r="AF161" s="331"/>
      <c r="AG161" s="331"/>
      <c r="AH161" s="331"/>
      <c r="AI161" s="331"/>
      <c r="AJ161" s="331"/>
      <c r="AK161" s="331"/>
      <c r="AL161" s="331"/>
      <c r="AM161" s="331"/>
      <c r="AN161" s="331"/>
      <c r="AO161" s="331"/>
      <c r="AP161" s="331"/>
      <c r="AQ161" s="331"/>
      <c r="AR161" s="331"/>
      <c r="AS161" s="331"/>
      <c r="AT161" s="331"/>
      <c r="AU161" s="331"/>
      <c r="AV161" s="331"/>
      <c r="AW161" s="331"/>
      <c r="AX161" s="331"/>
      <c r="AY161" s="331"/>
      <c r="AZ161" s="331"/>
      <c r="BA161" s="331"/>
      <c r="BB161" s="331"/>
      <c r="BC161" s="331"/>
      <c r="BD161" s="331"/>
      <c r="BE161" s="331"/>
      <c r="BF161" s="331"/>
      <c r="BG161" s="331"/>
      <c r="BH161" s="331"/>
      <c r="BI161" s="331"/>
      <c r="BJ161" s="331"/>
      <c r="BK161" s="306"/>
    </row>
    <row r="162" ht="15.75" customHeight="1">
      <c r="A162" s="306"/>
      <c r="B162" s="306"/>
      <c r="C162" s="306"/>
      <c r="D162" s="1220"/>
      <c r="E162" s="1220"/>
      <c r="F162" s="1220"/>
      <c r="G162" s="1220"/>
      <c r="H162" s="1220"/>
      <c r="I162" s="1220"/>
      <c r="J162" s="1220"/>
      <c r="L162" s="306"/>
      <c r="M162" s="306"/>
      <c r="N162" s="306"/>
      <c r="O162" s="306"/>
      <c r="P162" s="306"/>
      <c r="Q162" s="306"/>
      <c r="R162" s="306"/>
      <c r="S162" s="306"/>
      <c r="T162" s="306"/>
      <c r="U162" s="306"/>
      <c r="V162" s="306"/>
      <c r="W162" s="306"/>
      <c r="X162" s="331"/>
      <c r="Y162" s="331"/>
      <c r="Z162" s="331"/>
      <c r="AA162" s="331"/>
      <c r="AB162" s="331"/>
      <c r="AC162" s="331"/>
      <c r="AD162" s="331"/>
      <c r="AE162" s="331"/>
      <c r="AF162" s="331"/>
      <c r="AG162" s="331"/>
      <c r="AH162" s="331"/>
      <c r="AI162" s="331"/>
      <c r="AJ162" s="618"/>
      <c r="AK162" s="618" t="s">
        <v>873</v>
      </c>
      <c r="AL162" s="618" t="s">
        <v>427</v>
      </c>
      <c r="AM162" s="618" t="s">
        <v>2041</v>
      </c>
      <c r="AN162" s="618" t="s">
        <v>2042</v>
      </c>
      <c r="AO162" s="618" t="s">
        <v>2043</v>
      </c>
      <c r="AP162" s="618" t="s">
        <v>2044</v>
      </c>
      <c r="AQ162" s="618" t="s">
        <v>2045</v>
      </c>
      <c r="AR162" s="618" t="s">
        <v>2046</v>
      </c>
      <c r="AS162" s="618" t="s">
        <v>2047</v>
      </c>
      <c r="AT162" s="618" t="s">
        <v>2048</v>
      </c>
      <c r="AU162" s="618" t="s">
        <v>2049</v>
      </c>
      <c r="AV162" s="618" t="s">
        <v>2050</v>
      </c>
      <c r="AW162" s="618" t="s">
        <v>2051</v>
      </c>
      <c r="AX162" s="618" t="s">
        <v>2052</v>
      </c>
      <c r="AY162" s="618" t="s">
        <v>2053</v>
      </c>
      <c r="AZ162" s="618" t="s">
        <v>2054</v>
      </c>
      <c r="BA162" s="618" t="s">
        <v>2055</v>
      </c>
      <c r="BB162" s="618" t="s">
        <v>2056</v>
      </c>
      <c r="BC162" s="618" t="s">
        <v>2055</v>
      </c>
      <c r="BD162" s="618" t="s">
        <v>2056</v>
      </c>
      <c r="BE162" s="618" t="s">
        <v>2196</v>
      </c>
      <c r="BF162" s="618" t="s">
        <v>2197</v>
      </c>
      <c r="BG162" s="618" t="s">
        <v>876</v>
      </c>
      <c r="BH162" s="618" t="s">
        <v>877</v>
      </c>
      <c r="BI162" s="618" t="s">
        <v>2017</v>
      </c>
      <c r="BJ162" s="618" t="s">
        <v>878</v>
      </c>
      <c r="BK162" s="306"/>
    </row>
    <row r="163" ht="15.75" customHeight="1">
      <c r="A163" s="306"/>
      <c r="B163" s="306"/>
      <c r="C163" s="306"/>
      <c r="D163" s="1220"/>
      <c r="E163" s="1220"/>
      <c r="F163" s="1220"/>
      <c r="G163" s="1220"/>
      <c r="H163" s="1220"/>
      <c r="I163" s="1220"/>
      <c r="J163" s="1220"/>
      <c r="L163" s="306"/>
      <c r="M163" s="306"/>
      <c r="N163" s="306"/>
      <c r="O163" s="306"/>
      <c r="P163" s="306"/>
      <c r="Q163" s="306"/>
      <c r="R163" s="306"/>
      <c r="S163" s="306"/>
      <c r="T163" s="306"/>
      <c r="U163" s="306"/>
      <c r="V163" s="306"/>
      <c r="W163" s="306"/>
      <c r="X163" s="331"/>
      <c r="Y163" s="331"/>
      <c r="Z163" s="331"/>
      <c r="AA163" s="331"/>
      <c r="AB163" s="331"/>
      <c r="AC163" s="331"/>
      <c r="AD163" s="331"/>
      <c r="AE163" s="331"/>
      <c r="AF163" s="331"/>
      <c r="AG163" s="331"/>
      <c r="AH163" s="331"/>
      <c r="AI163" s="331"/>
      <c r="AJ163" s="333" t="s">
        <v>977</v>
      </c>
      <c r="AK163" s="333" t="s">
        <v>762</v>
      </c>
      <c r="AL163" s="333">
        <v>24.0</v>
      </c>
      <c r="AM163" s="333"/>
      <c r="AN163" s="333"/>
      <c r="AO163" s="333"/>
      <c r="AP163" s="333"/>
      <c r="AQ163" s="333"/>
      <c r="AR163" s="333"/>
      <c r="AS163" s="333"/>
      <c r="AT163" s="333"/>
      <c r="AU163" s="333"/>
      <c r="AV163" s="333"/>
      <c r="AW163" s="333"/>
      <c r="AX163" s="333"/>
      <c r="AY163" s="333"/>
      <c r="AZ163" s="333"/>
      <c r="BA163" s="333"/>
      <c r="BB163" s="333"/>
      <c r="BC163" s="333"/>
      <c r="BD163" s="333"/>
      <c r="BE163" s="333"/>
      <c r="BF163" s="333"/>
      <c r="BG163" s="333"/>
      <c r="BH163" s="333"/>
      <c r="BI163" s="333"/>
      <c r="BJ163" s="333"/>
      <c r="BK163" s="306"/>
    </row>
    <row r="164" ht="15.75" customHeight="1">
      <c r="A164" s="306"/>
      <c r="B164" s="306"/>
      <c r="C164" s="306"/>
      <c r="D164" s="1220"/>
      <c r="E164" s="1220"/>
      <c r="F164" s="1220"/>
      <c r="G164" s="1220"/>
      <c r="H164" s="1220"/>
      <c r="I164" s="1220"/>
      <c r="J164" s="1220"/>
      <c r="L164" s="306"/>
      <c r="M164" s="306"/>
      <c r="N164" s="306"/>
      <c r="O164" s="306"/>
      <c r="P164" s="306"/>
      <c r="Q164" s="306"/>
      <c r="R164" s="306"/>
      <c r="S164" s="306"/>
      <c r="T164" s="306"/>
      <c r="U164" s="306"/>
      <c r="V164" s="306"/>
      <c r="W164" s="306"/>
      <c r="X164" s="331"/>
      <c r="Y164" s="331"/>
      <c r="Z164" s="331"/>
      <c r="AA164" s="331"/>
      <c r="AB164" s="331"/>
      <c r="AC164" s="331"/>
      <c r="AD164" s="331"/>
      <c r="AE164" s="331"/>
      <c r="AF164" s="331"/>
      <c r="AG164" s="331"/>
      <c r="AH164" s="331"/>
      <c r="AI164" s="331"/>
      <c r="AJ164" s="333"/>
      <c r="AK164" s="333">
        <v>37.0</v>
      </c>
      <c r="AL164" s="333">
        <v>4.0</v>
      </c>
      <c r="AM164" s="333">
        <v>5.2</v>
      </c>
      <c r="AN164" s="333" t="s">
        <v>950</v>
      </c>
      <c r="AO164" s="333">
        <v>1.75</v>
      </c>
      <c r="AP164" s="333" t="s">
        <v>950</v>
      </c>
      <c r="AQ164" s="333">
        <v>1.41</v>
      </c>
      <c r="AR164" s="333" t="s">
        <v>1330</v>
      </c>
      <c r="AS164" s="333">
        <v>4.05</v>
      </c>
      <c r="AT164" s="333" t="s">
        <v>950</v>
      </c>
      <c r="AU164" s="333">
        <v>4.6</v>
      </c>
      <c r="AV164" s="333" t="s">
        <v>1330</v>
      </c>
      <c r="AW164" s="333">
        <v>4.88</v>
      </c>
      <c r="AX164" s="333" t="s">
        <v>2198</v>
      </c>
      <c r="AY164" s="333"/>
      <c r="AZ164" s="333"/>
      <c r="BA164" s="333">
        <v>0.0</v>
      </c>
      <c r="BB164" s="333">
        <v>0.0</v>
      </c>
      <c r="BC164" s="333">
        <v>0.0</v>
      </c>
      <c r="BD164" s="333">
        <v>0.0</v>
      </c>
      <c r="BE164" s="333">
        <v>0.4</v>
      </c>
      <c r="BF164" s="333" t="s">
        <v>2154</v>
      </c>
      <c r="BG164" s="333">
        <v>0.0</v>
      </c>
      <c r="BH164" s="333">
        <v>0.0</v>
      </c>
      <c r="BI164" s="333">
        <v>1.45</v>
      </c>
      <c r="BJ164" s="333">
        <f t="shared" ref="BJ164:BJ166" si="25">SUM(AM164,AO164,AQ164,AS164,AU164,AW164,BE164,BA164,BG164,BI164,BH164)</f>
        <v>23.74</v>
      </c>
      <c r="BK164" s="306"/>
    </row>
    <row r="165" ht="15.75" customHeight="1">
      <c r="A165" s="306"/>
      <c r="B165" s="306"/>
      <c r="C165" s="306"/>
      <c r="D165" s="1220"/>
      <c r="E165" s="1220"/>
      <c r="F165" s="1220"/>
      <c r="G165" s="1220"/>
      <c r="H165" s="1220"/>
      <c r="I165" s="1220"/>
      <c r="J165" s="1220"/>
      <c r="L165" s="306"/>
      <c r="M165" s="306"/>
      <c r="N165" s="306"/>
      <c r="O165" s="306"/>
      <c r="P165" s="306"/>
      <c r="Q165" s="306"/>
      <c r="R165" s="306"/>
      <c r="S165" s="306"/>
      <c r="T165" s="306"/>
      <c r="U165" s="306"/>
      <c r="V165" s="306"/>
      <c r="W165" s="306"/>
      <c r="X165" s="331"/>
      <c r="Y165" s="331"/>
      <c r="Z165" s="331"/>
      <c r="AA165" s="331"/>
      <c r="AB165" s="331"/>
      <c r="AC165" s="331"/>
      <c r="AD165" s="331"/>
      <c r="AE165" s="331"/>
      <c r="AF165" s="331"/>
      <c r="AG165" s="331"/>
      <c r="AH165" s="331"/>
      <c r="AI165" s="331"/>
      <c r="AJ165" s="333"/>
      <c r="AK165" s="333">
        <v>38.0</v>
      </c>
      <c r="AL165" s="333">
        <v>2.0</v>
      </c>
      <c r="AM165" s="333">
        <v>4.1</v>
      </c>
      <c r="AN165" s="333" t="s">
        <v>950</v>
      </c>
      <c r="AO165" s="333">
        <v>0.0</v>
      </c>
      <c r="AP165" s="333">
        <v>0.0</v>
      </c>
      <c r="AQ165" s="333">
        <v>0.0</v>
      </c>
      <c r="AR165" s="333">
        <v>0.0</v>
      </c>
      <c r="AS165" s="333">
        <v>0.0</v>
      </c>
      <c r="AT165" s="333">
        <v>0.0</v>
      </c>
      <c r="AU165" s="333">
        <v>0.0</v>
      </c>
      <c r="AV165" s="333">
        <v>0.0</v>
      </c>
      <c r="AW165" s="333">
        <v>4.88</v>
      </c>
      <c r="AX165" s="333" t="s">
        <v>2198</v>
      </c>
      <c r="AY165" s="333"/>
      <c r="AZ165" s="333"/>
      <c r="BA165" s="333">
        <v>0.0</v>
      </c>
      <c r="BB165" s="333">
        <v>0.0</v>
      </c>
      <c r="BC165" s="333">
        <v>0.0</v>
      </c>
      <c r="BD165" s="333">
        <v>0.0</v>
      </c>
      <c r="BE165" s="333">
        <v>0.4</v>
      </c>
      <c r="BF165" s="333" t="s">
        <v>2154</v>
      </c>
      <c r="BG165" s="333">
        <v>0.0</v>
      </c>
      <c r="BH165" s="333">
        <v>3.6</v>
      </c>
      <c r="BI165" s="333">
        <v>1.45</v>
      </c>
      <c r="BJ165" s="333">
        <f t="shared" si="25"/>
        <v>14.43</v>
      </c>
      <c r="BK165" s="306"/>
    </row>
    <row r="166" ht="15.75" customHeight="1">
      <c r="A166" s="306"/>
      <c r="B166" s="306"/>
      <c r="C166" s="306"/>
      <c r="D166" s="1220"/>
      <c r="E166" s="1220"/>
      <c r="F166" s="1220"/>
      <c r="G166" s="1220"/>
      <c r="H166" s="1220"/>
      <c r="I166" s="1220"/>
      <c r="J166" s="1220"/>
      <c r="L166" s="306"/>
      <c r="M166" s="306"/>
      <c r="N166" s="306"/>
      <c r="O166" s="306"/>
      <c r="P166" s="306"/>
      <c r="Q166" s="306"/>
      <c r="R166" s="306"/>
      <c r="S166" s="306"/>
      <c r="T166" s="306"/>
      <c r="U166" s="306"/>
      <c r="V166" s="306"/>
      <c r="W166" s="306"/>
      <c r="X166" s="331"/>
      <c r="Y166" s="331"/>
      <c r="Z166" s="331"/>
      <c r="AA166" s="331"/>
      <c r="AB166" s="331"/>
      <c r="AC166" s="331"/>
      <c r="AD166" s="331"/>
      <c r="AE166" s="331"/>
      <c r="AF166" s="331"/>
      <c r="AG166" s="331"/>
      <c r="AH166" s="331"/>
      <c r="AI166" s="331"/>
      <c r="AJ166" s="333"/>
      <c r="AK166" s="333">
        <v>39.0</v>
      </c>
      <c r="AL166" s="333">
        <v>2.0</v>
      </c>
      <c r="AM166" s="333">
        <v>2.93</v>
      </c>
      <c r="AN166" s="333" t="s">
        <v>950</v>
      </c>
      <c r="AO166" s="333">
        <v>0.0</v>
      </c>
      <c r="AP166" s="333">
        <v>0.0</v>
      </c>
      <c r="AQ166" s="333">
        <v>0.0</v>
      </c>
      <c r="AR166" s="333">
        <v>0.0</v>
      </c>
      <c r="AS166" s="333">
        <v>0.0</v>
      </c>
      <c r="AT166" s="333">
        <v>0.0</v>
      </c>
      <c r="AU166" s="333">
        <v>0.0</v>
      </c>
      <c r="AV166" s="333">
        <v>0.0</v>
      </c>
      <c r="AW166" s="333">
        <v>4.88</v>
      </c>
      <c r="AX166" s="333" t="s">
        <v>2198</v>
      </c>
      <c r="AY166" s="333"/>
      <c r="AZ166" s="333"/>
      <c r="BA166" s="333">
        <v>0.0</v>
      </c>
      <c r="BB166" s="333">
        <v>0.0</v>
      </c>
      <c r="BC166" s="333">
        <v>0.0</v>
      </c>
      <c r="BD166" s="333">
        <v>0.0</v>
      </c>
      <c r="BE166" s="333">
        <v>0.4</v>
      </c>
      <c r="BF166" s="333" t="s">
        <v>2154</v>
      </c>
      <c r="BG166" s="333">
        <v>0.0</v>
      </c>
      <c r="BH166" s="333">
        <v>0.0</v>
      </c>
      <c r="BI166" s="333">
        <v>1.45</v>
      </c>
      <c r="BJ166" s="333">
        <f t="shared" si="25"/>
        <v>9.66</v>
      </c>
      <c r="BK166" s="306"/>
    </row>
    <row r="167" ht="15.75" customHeight="1">
      <c r="A167" s="306"/>
      <c r="B167" s="306"/>
      <c r="C167" s="306"/>
      <c r="D167" s="1220"/>
      <c r="E167" s="1220"/>
      <c r="F167" s="1220"/>
      <c r="G167" s="1220"/>
      <c r="H167" s="1220"/>
      <c r="I167" s="1220"/>
      <c r="J167" s="1220"/>
      <c r="L167" s="306"/>
      <c r="M167" s="306"/>
      <c r="N167" s="306"/>
      <c r="O167" s="306"/>
      <c r="P167" s="306"/>
      <c r="Q167" s="306"/>
      <c r="R167" s="306"/>
      <c r="S167" s="306"/>
      <c r="T167" s="306"/>
      <c r="U167" s="306"/>
      <c r="V167" s="306"/>
      <c r="W167" s="306"/>
      <c r="X167" s="331"/>
      <c r="Y167" s="331"/>
      <c r="Z167" s="331"/>
      <c r="AA167" s="331"/>
      <c r="AB167" s="331"/>
      <c r="AC167" s="331"/>
      <c r="AD167" s="331"/>
      <c r="AE167" s="331"/>
      <c r="AF167" s="331"/>
      <c r="AG167" s="331"/>
      <c r="AH167" s="331"/>
      <c r="AI167" s="331"/>
      <c r="AJ167" s="333"/>
      <c r="AK167" s="333">
        <v>40.0</v>
      </c>
      <c r="AL167" s="333">
        <v>16.0</v>
      </c>
      <c r="AM167" s="333">
        <v>1.56</v>
      </c>
      <c r="AN167" s="333" t="s">
        <v>950</v>
      </c>
      <c r="AO167" s="333">
        <v>0.74</v>
      </c>
      <c r="AP167" s="333" t="s">
        <v>1330</v>
      </c>
      <c r="AQ167" s="333">
        <v>1.71</v>
      </c>
      <c r="AR167" s="333" t="s">
        <v>950</v>
      </c>
      <c r="AS167" s="333">
        <v>3.13</v>
      </c>
      <c r="AT167" s="333" t="s">
        <v>2019</v>
      </c>
      <c r="AU167" s="333">
        <v>0.15</v>
      </c>
      <c r="AV167" s="333" t="s">
        <v>950</v>
      </c>
      <c r="AW167" s="333">
        <v>0.16</v>
      </c>
      <c r="AX167" s="333" t="s">
        <v>2019</v>
      </c>
      <c r="AY167" s="333">
        <v>3.51</v>
      </c>
      <c r="AZ167" s="333" t="s">
        <v>950</v>
      </c>
      <c r="BA167" s="333">
        <v>3.74</v>
      </c>
      <c r="BB167" s="333" t="s">
        <v>2199</v>
      </c>
      <c r="BC167" s="333">
        <v>4.0</v>
      </c>
      <c r="BD167" s="333" t="s">
        <v>1065</v>
      </c>
      <c r="BE167" s="333">
        <v>0.4</v>
      </c>
      <c r="BF167" s="333" t="s">
        <v>2154</v>
      </c>
      <c r="BG167" s="333">
        <v>0.0</v>
      </c>
      <c r="BH167" s="333">
        <v>12.84</v>
      </c>
      <c r="BI167" s="333">
        <v>1.45</v>
      </c>
      <c r="BJ167" s="333">
        <f>SUM(AM167,AO167,AQ167,AS167,AU167,AW167,AY167,BA167,BG167,BI167,BH167)</f>
        <v>28.99</v>
      </c>
      <c r="BK167" s="306"/>
    </row>
    <row r="168" ht="15.75" customHeight="1">
      <c r="A168" s="306"/>
      <c r="B168" s="306"/>
      <c r="C168" s="306"/>
      <c r="L168" s="306"/>
      <c r="M168" s="306"/>
      <c r="N168" s="306"/>
      <c r="O168" s="306"/>
      <c r="P168" s="306"/>
      <c r="Q168" s="306"/>
      <c r="R168" s="306"/>
      <c r="S168" s="306"/>
      <c r="T168" s="306"/>
      <c r="U168" s="306"/>
      <c r="V168" s="306"/>
      <c r="W168" s="306"/>
      <c r="X168" s="331"/>
      <c r="Y168" s="331"/>
      <c r="Z168" s="331"/>
      <c r="AA168" s="331"/>
      <c r="AB168" s="331"/>
      <c r="AC168" s="331"/>
      <c r="AD168" s="331"/>
      <c r="AE168" s="331"/>
      <c r="AF168" s="331"/>
      <c r="AG168" s="331"/>
      <c r="AH168" s="331"/>
      <c r="AI168" s="331"/>
      <c r="AJ168" s="331"/>
      <c r="AK168" s="331"/>
      <c r="AL168" s="331"/>
      <c r="AM168" s="331"/>
      <c r="AN168" s="331"/>
      <c r="AO168" s="331"/>
      <c r="AP168" s="331"/>
      <c r="AQ168" s="331"/>
      <c r="AR168" s="331"/>
      <c r="AS168" s="331"/>
      <c r="AT168" s="331"/>
      <c r="AU168" s="331"/>
      <c r="AV168" s="331"/>
      <c r="AW168" s="331"/>
      <c r="AX168" s="331"/>
      <c r="AY168" s="331"/>
      <c r="AZ168" s="331"/>
      <c r="BA168" s="331"/>
      <c r="BB168" s="331"/>
      <c r="BC168" s="331"/>
      <c r="BD168" s="331"/>
      <c r="BE168" s="331"/>
      <c r="BF168" s="331"/>
      <c r="BG168" s="331"/>
      <c r="BH168" s="331"/>
      <c r="BI168" s="331"/>
      <c r="BJ168" s="331"/>
      <c r="BK168" s="306"/>
    </row>
    <row r="169" ht="15.75" customHeight="1">
      <c r="A169" s="306"/>
      <c r="B169" s="306"/>
      <c r="C169" s="306"/>
      <c r="D169" s="306"/>
      <c r="E169" s="306"/>
      <c r="F169" s="306"/>
      <c r="G169" s="306"/>
      <c r="H169" s="306"/>
      <c r="I169" s="306"/>
      <c r="J169" s="306"/>
      <c r="K169" s="306"/>
      <c r="L169" s="306"/>
      <c r="M169" s="306"/>
      <c r="N169" s="306"/>
      <c r="O169" s="306"/>
      <c r="P169" s="306"/>
      <c r="Q169" s="306"/>
      <c r="R169" s="306"/>
      <c r="S169" s="306"/>
      <c r="T169" s="306"/>
      <c r="U169" s="306"/>
      <c r="V169" s="306"/>
      <c r="W169" s="306"/>
      <c r="X169" s="331"/>
      <c r="Y169" s="331"/>
      <c r="Z169" s="331"/>
      <c r="AA169" s="331"/>
      <c r="AB169" s="331"/>
      <c r="AC169" s="331"/>
      <c r="AD169" s="331"/>
      <c r="AE169" s="331"/>
      <c r="AF169" s="331"/>
      <c r="AG169" s="331"/>
      <c r="AH169" s="331"/>
      <c r="AI169" s="331"/>
      <c r="AJ169" s="331"/>
      <c r="AK169" s="331"/>
      <c r="AL169" s="331"/>
      <c r="AM169" s="331"/>
      <c r="AN169" s="331"/>
      <c r="AO169" s="331"/>
      <c r="AP169" s="331"/>
      <c r="AQ169" s="331"/>
      <c r="AR169" s="331"/>
      <c r="AS169" s="331"/>
      <c r="AT169" s="331"/>
      <c r="AU169" s="331"/>
      <c r="AV169" s="331"/>
      <c r="AW169" s="331"/>
      <c r="AX169" s="331"/>
      <c r="AY169" s="331"/>
      <c r="AZ169" s="331"/>
      <c r="BA169" s="331"/>
      <c r="BB169" s="331"/>
      <c r="BC169" s="331"/>
      <c r="BD169" s="331"/>
      <c r="BE169" s="331"/>
      <c r="BF169" s="331"/>
      <c r="BG169" s="331"/>
      <c r="BH169" s="331"/>
      <c r="BI169" s="331"/>
      <c r="BJ169" s="331"/>
      <c r="BK169" s="306"/>
    </row>
    <row r="170" ht="15.75" customHeight="1">
      <c r="A170" s="306"/>
      <c r="B170" s="306"/>
      <c r="C170" s="306"/>
      <c r="D170" s="306"/>
      <c r="E170" s="306"/>
      <c r="F170" s="306"/>
      <c r="G170" s="306"/>
      <c r="H170" s="306"/>
      <c r="I170" s="306"/>
      <c r="J170" s="306"/>
      <c r="K170" s="306"/>
      <c r="L170" s="306"/>
      <c r="M170" s="306"/>
      <c r="N170" s="306"/>
      <c r="O170" s="306"/>
      <c r="P170" s="306"/>
      <c r="Q170" s="306"/>
      <c r="R170" s="306"/>
      <c r="S170" s="306"/>
      <c r="T170" s="306"/>
      <c r="U170" s="306"/>
      <c r="V170" s="306"/>
      <c r="W170" s="306"/>
      <c r="X170" s="331"/>
      <c r="Y170" s="331"/>
      <c r="Z170" s="331"/>
      <c r="AA170" s="331"/>
      <c r="AB170" s="331"/>
      <c r="AC170" s="331"/>
      <c r="AD170" s="331"/>
      <c r="AE170" s="331"/>
      <c r="AF170" s="331"/>
      <c r="AG170" s="331"/>
      <c r="AH170" s="331"/>
      <c r="AI170" s="331"/>
      <c r="AJ170" s="1301"/>
      <c r="AK170" s="1301" t="s">
        <v>873</v>
      </c>
      <c r="AL170" s="1301" t="s">
        <v>427</v>
      </c>
      <c r="AM170" s="1301" t="s">
        <v>2139</v>
      </c>
      <c r="AN170" s="1301" t="s">
        <v>2042</v>
      </c>
      <c r="AO170" s="1301" t="s">
        <v>2043</v>
      </c>
      <c r="AP170" s="1301" t="s">
        <v>2044</v>
      </c>
      <c r="AQ170" s="1301" t="s">
        <v>2045</v>
      </c>
      <c r="AR170" s="1301" t="s">
        <v>2046</v>
      </c>
      <c r="AS170" s="1301" t="s">
        <v>2047</v>
      </c>
      <c r="AT170" s="1301" t="s">
        <v>2048</v>
      </c>
      <c r="AU170" s="1301" t="s">
        <v>2049</v>
      </c>
      <c r="AV170" s="1301" t="s">
        <v>2050</v>
      </c>
      <c r="AW170" s="1301" t="s">
        <v>2051</v>
      </c>
      <c r="AX170" s="1301" t="s">
        <v>2052</v>
      </c>
      <c r="AY170" s="1301" t="s">
        <v>876</v>
      </c>
      <c r="AZ170" s="1301" t="s">
        <v>2140</v>
      </c>
      <c r="BA170" s="1301" t="s">
        <v>878</v>
      </c>
      <c r="BB170" s="331"/>
      <c r="BC170" s="331"/>
      <c r="BD170" s="331"/>
      <c r="BE170" s="331"/>
      <c r="BF170" s="331"/>
      <c r="BG170" s="331"/>
      <c r="BH170" s="331"/>
      <c r="BI170" s="331"/>
      <c r="BJ170" s="331"/>
      <c r="BK170" s="306"/>
    </row>
    <row r="171" ht="15.75" customHeight="1">
      <c r="A171" s="306"/>
      <c r="B171" s="306"/>
      <c r="C171" s="306"/>
      <c r="D171" s="306"/>
      <c r="E171" s="306"/>
      <c r="F171" s="306"/>
      <c r="G171" s="306"/>
      <c r="H171" s="306"/>
      <c r="I171" s="306"/>
      <c r="J171" s="306"/>
      <c r="K171" s="306"/>
      <c r="L171" s="306"/>
      <c r="M171" s="306"/>
      <c r="N171" s="306"/>
      <c r="O171" s="306"/>
      <c r="P171" s="306"/>
      <c r="Q171" s="306"/>
      <c r="R171" s="306"/>
      <c r="S171" s="306"/>
      <c r="T171" s="306"/>
      <c r="U171" s="306"/>
      <c r="V171" s="306"/>
      <c r="W171" s="306"/>
      <c r="X171" s="331"/>
      <c r="Y171" s="331"/>
      <c r="Z171" s="331"/>
      <c r="AA171" s="331"/>
      <c r="AB171" s="331"/>
      <c r="AC171" s="331"/>
      <c r="AD171" s="331"/>
      <c r="AE171" s="331"/>
      <c r="AF171" s="331"/>
      <c r="AG171" s="331"/>
      <c r="AH171" s="331"/>
      <c r="AI171" s="331"/>
      <c r="AJ171" s="396" t="s">
        <v>2194</v>
      </c>
      <c r="AK171" s="333" t="s">
        <v>762</v>
      </c>
      <c r="AL171" s="333">
        <v>1.0</v>
      </c>
      <c r="AM171" s="331"/>
      <c r="AN171" s="333"/>
      <c r="AO171" s="333"/>
      <c r="AP171" s="333"/>
      <c r="AQ171" s="333"/>
      <c r="AR171" s="333"/>
      <c r="AS171" s="333"/>
      <c r="AT171" s="333"/>
      <c r="AU171" s="333"/>
      <c r="AV171" s="333"/>
      <c r="AW171" s="333"/>
      <c r="AX171" s="333"/>
      <c r="AY171" s="333"/>
      <c r="AZ171" s="333"/>
      <c r="BA171" s="333"/>
      <c r="BB171" s="331"/>
      <c r="BC171" s="331"/>
      <c r="BD171" s="331"/>
      <c r="BE171" s="331"/>
      <c r="BF171" s="331"/>
      <c r="BG171" s="331"/>
      <c r="BH171" s="331"/>
      <c r="BI171" s="331"/>
      <c r="BJ171" s="331"/>
      <c r="BK171" s="306"/>
    </row>
    <row r="172" ht="15.75" customHeight="1">
      <c r="A172" s="306"/>
      <c r="B172" s="306"/>
      <c r="C172" s="306"/>
      <c r="D172" s="306"/>
      <c r="E172" s="306"/>
      <c r="F172" s="306"/>
      <c r="G172" s="306"/>
      <c r="H172" s="306"/>
      <c r="I172" s="306"/>
      <c r="J172" s="306"/>
      <c r="K172" s="306"/>
      <c r="L172" s="306"/>
      <c r="M172" s="306"/>
      <c r="N172" s="306"/>
      <c r="O172" s="306"/>
      <c r="P172" s="306"/>
      <c r="Q172" s="306"/>
      <c r="R172" s="306"/>
      <c r="S172" s="306"/>
      <c r="T172" s="306"/>
      <c r="U172" s="306"/>
      <c r="V172" s="306"/>
      <c r="W172" s="306"/>
      <c r="X172" s="331"/>
      <c r="Y172" s="331"/>
      <c r="Z172" s="331"/>
      <c r="AA172" s="331"/>
      <c r="AB172" s="331"/>
      <c r="AC172" s="331"/>
      <c r="AD172" s="331"/>
      <c r="AE172" s="331"/>
      <c r="AF172" s="331"/>
      <c r="AG172" s="331"/>
      <c r="AH172" s="331"/>
      <c r="AI172" s="331"/>
      <c r="AJ172" s="31"/>
      <c r="AK172" s="333"/>
      <c r="AL172" s="333">
        <v>1.0</v>
      </c>
      <c r="AM172" s="333">
        <v>1.45</v>
      </c>
      <c r="AN172" s="333" t="s">
        <v>2154</v>
      </c>
      <c r="AO172" s="333">
        <v>0.4</v>
      </c>
      <c r="AP172" s="333" t="s">
        <v>2154</v>
      </c>
      <c r="AQ172" s="333">
        <v>4.0</v>
      </c>
      <c r="AR172" s="333" t="s">
        <v>1065</v>
      </c>
      <c r="AS172" s="333">
        <v>3.74</v>
      </c>
      <c r="AT172" s="333" t="s">
        <v>2199</v>
      </c>
      <c r="AU172" s="333">
        <v>3.51</v>
      </c>
      <c r="AV172" s="333" t="s">
        <v>950</v>
      </c>
      <c r="AW172" s="333">
        <v>10.17</v>
      </c>
      <c r="AX172" s="333" t="s">
        <v>950</v>
      </c>
      <c r="AY172" s="333">
        <v>11.68</v>
      </c>
      <c r="AZ172" s="333">
        <v>5.94</v>
      </c>
      <c r="BA172" s="333">
        <f>SUM(AM172,AO172,AQ172,AS172,AY172,AZ172)</f>
        <v>27.21</v>
      </c>
      <c r="BB172" s="331"/>
      <c r="BC172" s="331"/>
      <c r="BD172" s="331"/>
      <c r="BE172" s="331"/>
      <c r="BF172" s="331"/>
      <c r="BG172" s="331"/>
      <c r="BH172" s="331"/>
      <c r="BI172" s="331"/>
      <c r="BJ172" s="331"/>
      <c r="BK172" s="306"/>
    </row>
    <row r="173" ht="15.75" customHeight="1">
      <c r="A173" s="306"/>
      <c r="B173" s="306"/>
      <c r="C173" s="306"/>
      <c r="D173" s="306"/>
      <c r="E173" s="306"/>
      <c r="F173" s="306"/>
      <c r="G173" s="306"/>
      <c r="H173" s="306"/>
      <c r="I173" s="306"/>
      <c r="J173" s="306"/>
      <c r="K173" s="306"/>
      <c r="L173" s="306"/>
      <c r="M173" s="306"/>
      <c r="N173" s="306"/>
      <c r="O173" s="306"/>
      <c r="P173" s="306"/>
      <c r="Q173" s="306"/>
      <c r="R173" s="306"/>
      <c r="S173" s="306"/>
      <c r="T173" s="306"/>
      <c r="U173" s="306"/>
      <c r="V173" s="306"/>
      <c r="W173" s="306"/>
      <c r="X173" s="306"/>
      <c r="Y173" s="306"/>
      <c r="Z173" s="306"/>
      <c r="AA173" s="306"/>
      <c r="AB173" s="306"/>
      <c r="AC173" s="306"/>
      <c r="AD173" s="306"/>
      <c r="AE173" s="306"/>
      <c r="AF173" s="306"/>
      <c r="AG173" s="306"/>
      <c r="AH173" s="306"/>
      <c r="AI173" s="306"/>
      <c r="AJ173" s="306"/>
      <c r="AK173" s="306"/>
      <c r="AL173" s="306"/>
      <c r="AM173" s="306"/>
      <c r="AN173" s="306"/>
      <c r="AO173" s="306"/>
      <c r="AP173" s="306"/>
      <c r="AQ173" s="306"/>
      <c r="AR173" s="306"/>
      <c r="AS173" s="306"/>
      <c r="AT173" s="306"/>
      <c r="AU173" s="306"/>
      <c r="AV173" s="306"/>
      <c r="AW173" s="306"/>
      <c r="AX173" s="306"/>
      <c r="AY173" s="306"/>
      <c r="AZ173" s="306"/>
      <c r="BA173" s="306"/>
      <c r="BB173" s="306"/>
      <c r="BC173" s="306"/>
      <c r="BD173" s="306"/>
      <c r="BE173" s="306"/>
      <c r="BF173" s="306"/>
      <c r="BG173" s="306"/>
      <c r="BH173" s="306"/>
      <c r="BI173" s="306"/>
      <c r="BJ173" s="306"/>
      <c r="BK173" s="306"/>
    </row>
    <row r="174" ht="15.75" customHeight="1">
      <c r="A174" s="306"/>
      <c r="B174" s="306"/>
      <c r="C174" s="306"/>
      <c r="D174" s="306"/>
      <c r="E174" s="306"/>
      <c r="F174" s="306"/>
      <c r="G174" s="306"/>
      <c r="H174" s="306"/>
      <c r="I174" s="306"/>
      <c r="J174" s="306"/>
      <c r="K174" s="306"/>
      <c r="L174" s="306"/>
      <c r="M174" s="306"/>
      <c r="N174" s="306"/>
      <c r="O174" s="306"/>
      <c r="P174" s="306"/>
      <c r="Q174" s="306"/>
      <c r="R174" s="306"/>
      <c r="S174" s="306"/>
      <c r="T174" s="306"/>
      <c r="U174" s="306"/>
      <c r="V174" s="306"/>
      <c r="W174" s="306"/>
      <c r="X174" s="306"/>
      <c r="Y174" s="306"/>
      <c r="Z174" s="306"/>
      <c r="AA174" s="306"/>
      <c r="AB174" s="306"/>
      <c r="AC174" s="306"/>
      <c r="AD174" s="306"/>
      <c r="AE174" s="306"/>
      <c r="AF174" s="306"/>
      <c r="AG174" s="306"/>
      <c r="AH174" s="306"/>
      <c r="AI174" s="306"/>
      <c r="AJ174" s="306"/>
      <c r="AK174" s="306"/>
      <c r="AL174" s="306"/>
      <c r="AM174" s="306"/>
      <c r="AN174" s="306"/>
      <c r="AO174" s="306"/>
      <c r="AP174" s="306"/>
      <c r="AQ174" s="306"/>
      <c r="AR174" s="306"/>
      <c r="AS174" s="306"/>
      <c r="AT174" s="306"/>
      <c r="AU174" s="306"/>
      <c r="AV174" s="306"/>
      <c r="AW174" s="306"/>
      <c r="AX174" s="306"/>
      <c r="AY174" s="306"/>
      <c r="AZ174" s="306"/>
      <c r="BA174" s="306"/>
      <c r="BB174" s="306"/>
      <c r="BC174" s="306"/>
      <c r="BD174" s="306"/>
      <c r="BE174" s="306"/>
      <c r="BF174" s="306"/>
      <c r="BG174" s="306"/>
      <c r="BH174" s="306"/>
      <c r="BI174" s="306"/>
      <c r="BJ174" s="306"/>
      <c r="BK174" s="306"/>
    </row>
    <row r="175" ht="15.75" customHeight="1">
      <c r="A175" s="306"/>
      <c r="B175" s="306"/>
      <c r="C175" s="306"/>
      <c r="D175" s="306"/>
      <c r="E175" s="306"/>
      <c r="F175" s="306"/>
      <c r="G175" s="306"/>
      <c r="H175" s="306"/>
      <c r="I175" s="306"/>
      <c r="J175" s="306"/>
      <c r="K175" s="306"/>
      <c r="L175" s="306"/>
      <c r="M175" s="306"/>
      <c r="N175" s="306"/>
      <c r="O175" s="306"/>
      <c r="P175" s="306"/>
      <c r="Q175" s="306"/>
      <c r="R175" s="306"/>
      <c r="S175" s="306"/>
      <c r="T175" s="306"/>
      <c r="U175" s="306"/>
      <c r="V175" s="306"/>
      <c r="W175" s="306"/>
      <c r="X175" s="306"/>
      <c r="Y175" s="306"/>
      <c r="Z175" s="306"/>
      <c r="AA175" s="306"/>
      <c r="AB175" s="306"/>
      <c r="AC175" s="306"/>
      <c r="AD175" s="306"/>
      <c r="AE175" s="306"/>
      <c r="AF175" s="306"/>
      <c r="AG175" s="306"/>
      <c r="AH175" s="306"/>
      <c r="AI175" s="306"/>
      <c r="AJ175" s="306"/>
      <c r="AK175" s="306"/>
      <c r="AL175" s="306"/>
      <c r="AM175" s="306"/>
      <c r="AN175" s="306"/>
      <c r="AO175" s="306"/>
      <c r="AP175" s="306"/>
      <c r="AQ175" s="306"/>
      <c r="AR175" s="306"/>
      <c r="AS175" s="306"/>
      <c r="AT175" s="306"/>
      <c r="AU175" s="306"/>
      <c r="AV175" s="306"/>
      <c r="AW175" s="306"/>
      <c r="AX175" s="306"/>
      <c r="AY175" s="306"/>
      <c r="AZ175" s="306"/>
      <c r="BA175" s="306"/>
      <c r="BB175" s="306"/>
      <c r="BC175" s="306"/>
      <c r="BD175" s="306"/>
      <c r="BE175" s="306"/>
      <c r="BF175" s="306"/>
      <c r="BG175" s="306"/>
      <c r="BH175" s="306"/>
      <c r="BI175" s="306"/>
      <c r="BJ175" s="306"/>
      <c r="BK175" s="306"/>
    </row>
    <row r="176" ht="15.75" customHeight="1">
      <c r="A176" s="306"/>
      <c r="B176" s="306"/>
      <c r="C176" s="306"/>
      <c r="D176" s="306"/>
      <c r="E176" s="306"/>
      <c r="F176" s="306"/>
      <c r="G176" s="306"/>
      <c r="H176" s="306"/>
      <c r="I176" s="306"/>
      <c r="J176" s="306"/>
      <c r="K176" s="306"/>
      <c r="L176" s="306"/>
      <c r="M176" s="306"/>
      <c r="N176" s="306"/>
      <c r="O176" s="306"/>
      <c r="P176" s="306"/>
      <c r="Q176" s="306"/>
      <c r="R176" s="306"/>
      <c r="S176" s="306"/>
      <c r="T176" s="306"/>
      <c r="U176" s="306"/>
      <c r="V176" s="306"/>
      <c r="W176" s="306"/>
      <c r="X176" s="306"/>
      <c r="Y176" s="306"/>
      <c r="Z176" s="306"/>
      <c r="AA176" s="306"/>
      <c r="AB176" s="306"/>
      <c r="AC176" s="306"/>
      <c r="AD176" s="306"/>
      <c r="AE176" s="306"/>
      <c r="AF176" s="306"/>
      <c r="AG176" s="306"/>
      <c r="AH176" s="306"/>
      <c r="AI176" s="306"/>
      <c r="AJ176" s="306"/>
      <c r="AK176" s="876"/>
      <c r="AL176" s="306"/>
      <c r="AM176" s="306"/>
      <c r="AN176" s="306"/>
      <c r="AO176" s="306"/>
      <c r="AP176" s="306"/>
      <c r="AQ176" s="306"/>
      <c r="AR176" s="306"/>
      <c r="AS176" s="306"/>
      <c r="AT176" s="306"/>
      <c r="AU176" s="306"/>
      <c r="AV176" s="306"/>
      <c r="AW176" s="306"/>
      <c r="AX176" s="306"/>
      <c r="AY176" s="306"/>
      <c r="AZ176" s="306"/>
      <c r="BA176" s="306"/>
      <c r="BB176" s="306"/>
      <c r="BC176" s="306"/>
      <c r="BD176" s="306"/>
      <c r="BE176" s="306"/>
      <c r="BF176" s="306"/>
      <c r="BG176" s="306"/>
      <c r="BH176" s="306"/>
      <c r="BI176" s="306"/>
      <c r="BJ176" s="306"/>
      <c r="BK176" s="306"/>
    </row>
    <row r="177" ht="15.75" customHeight="1">
      <c r="A177" s="306"/>
      <c r="B177" s="306"/>
      <c r="C177" s="306"/>
      <c r="D177" s="306"/>
      <c r="E177" s="306"/>
      <c r="F177" s="306"/>
      <c r="G177" s="306"/>
      <c r="H177" s="306"/>
      <c r="I177" s="306"/>
      <c r="J177" s="306"/>
      <c r="K177" s="306"/>
      <c r="L177" s="306"/>
      <c r="M177" s="306"/>
      <c r="N177" s="306"/>
      <c r="O177" s="306"/>
      <c r="P177" s="306"/>
      <c r="Q177" s="306"/>
      <c r="R177" s="306"/>
      <c r="S177" s="306"/>
      <c r="T177" s="306"/>
      <c r="U177" s="306"/>
      <c r="V177" s="306"/>
      <c r="W177" s="306"/>
      <c r="X177" s="306"/>
      <c r="Y177" s="306"/>
      <c r="Z177" s="306"/>
      <c r="AA177" s="306"/>
      <c r="AB177" s="306"/>
      <c r="AC177" s="306"/>
      <c r="AD177" s="306"/>
      <c r="AE177" s="306"/>
      <c r="AF177" s="306"/>
      <c r="AG177" s="306"/>
      <c r="AH177" s="306"/>
      <c r="AI177" s="306"/>
      <c r="AJ177" s="306"/>
      <c r="AK177" s="306"/>
      <c r="AL177" s="306"/>
      <c r="AM177" s="306"/>
      <c r="AN177" s="306"/>
      <c r="AO177" s="306"/>
      <c r="AP177" s="306"/>
      <c r="AQ177" s="306"/>
      <c r="AR177" s="306"/>
      <c r="AS177" s="306"/>
      <c r="AT177" s="306"/>
      <c r="AU177" s="306"/>
      <c r="AV177" s="306"/>
      <c r="AW177" s="306"/>
      <c r="AX177" s="306"/>
      <c r="AY177" s="306"/>
      <c r="AZ177" s="306"/>
      <c r="BA177" s="306"/>
      <c r="BB177" s="306"/>
      <c r="BC177" s="306"/>
      <c r="BD177" s="306"/>
      <c r="BE177" s="306"/>
      <c r="BF177" s="306"/>
      <c r="BG177" s="306"/>
      <c r="BH177" s="306"/>
      <c r="BI177" s="306"/>
      <c r="BJ177" s="306"/>
      <c r="BK177" s="306"/>
    </row>
    <row r="178" ht="15.75" customHeight="1">
      <c r="A178" s="306"/>
      <c r="B178" s="306"/>
      <c r="C178" s="306"/>
      <c r="D178" s="306"/>
      <c r="E178" s="306"/>
      <c r="F178" s="306"/>
      <c r="G178" s="306"/>
      <c r="H178" s="306"/>
      <c r="I178" s="306"/>
      <c r="J178" s="306"/>
      <c r="K178" s="306"/>
      <c r="L178" s="306"/>
      <c r="M178" s="306"/>
      <c r="N178" s="306"/>
      <c r="O178" s="306"/>
      <c r="P178" s="306"/>
      <c r="Q178" s="306"/>
      <c r="R178" s="306"/>
      <c r="S178" s="306"/>
      <c r="T178" s="306"/>
      <c r="U178" s="306"/>
      <c r="V178" s="306"/>
      <c r="W178" s="306"/>
      <c r="X178" s="306"/>
      <c r="Y178" s="306"/>
      <c r="Z178" s="306"/>
      <c r="AA178" s="306"/>
      <c r="AB178" s="306"/>
      <c r="AC178" s="306"/>
      <c r="AD178" s="306"/>
      <c r="AE178" s="306"/>
      <c r="AF178" s="306"/>
      <c r="AG178" s="306"/>
      <c r="AH178" s="306"/>
      <c r="AI178" s="306"/>
      <c r="AJ178" s="306"/>
      <c r="AK178" s="306"/>
      <c r="AL178" s="306"/>
      <c r="AM178" s="306"/>
      <c r="AN178" s="306"/>
      <c r="AO178" s="306"/>
      <c r="AP178" s="306"/>
      <c r="AQ178" s="306"/>
      <c r="AR178" s="306"/>
      <c r="AS178" s="306"/>
      <c r="AT178" s="306"/>
      <c r="AU178" s="306"/>
      <c r="AV178" s="306"/>
      <c r="AW178" s="306"/>
      <c r="AX178" s="306"/>
      <c r="AY178" s="306"/>
      <c r="AZ178" s="306"/>
      <c r="BA178" s="306"/>
      <c r="BB178" s="306"/>
      <c r="BC178" s="306"/>
      <c r="BD178" s="306"/>
      <c r="BE178" s="306"/>
      <c r="BF178" s="306"/>
      <c r="BG178" s="306"/>
      <c r="BH178" s="306"/>
      <c r="BI178" s="306"/>
      <c r="BJ178" s="306"/>
      <c r="BK178" s="306"/>
    </row>
    <row r="179" ht="15.75" customHeight="1">
      <c r="A179" s="306"/>
      <c r="B179" s="306"/>
      <c r="C179" s="306"/>
      <c r="D179" s="306"/>
      <c r="E179" s="306"/>
      <c r="F179" s="306"/>
      <c r="G179" s="306"/>
      <c r="H179" s="306"/>
      <c r="I179" s="306"/>
      <c r="J179" s="306"/>
      <c r="K179" s="306"/>
      <c r="L179" s="306"/>
      <c r="M179" s="306"/>
      <c r="N179" s="306"/>
      <c r="O179" s="306"/>
      <c r="P179" s="306"/>
      <c r="Q179" s="306"/>
      <c r="R179" s="306"/>
      <c r="S179" s="306"/>
      <c r="T179" s="306"/>
      <c r="U179" s="306"/>
      <c r="V179" s="306"/>
      <c r="W179" s="306"/>
      <c r="X179" s="306"/>
      <c r="Y179" s="306"/>
      <c r="Z179" s="306"/>
      <c r="AA179" s="306"/>
      <c r="AB179" s="306"/>
      <c r="AC179" s="306"/>
      <c r="AD179" s="306"/>
      <c r="AE179" s="306"/>
      <c r="AF179" s="306"/>
      <c r="AG179" s="306"/>
      <c r="AH179" s="306"/>
      <c r="AI179" s="306"/>
      <c r="AJ179" s="306"/>
      <c r="AK179" s="306"/>
      <c r="AL179" s="306"/>
      <c r="AM179" s="306"/>
      <c r="AN179" s="306"/>
      <c r="AO179" s="306"/>
      <c r="AP179" s="306"/>
      <c r="AQ179" s="306"/>
      <c r="AR179" s="306"/>
      <c r="AS179" s="306"/>
      <c r="AT179" s="306"/>
      <c r="AU179" s="306"/>
      <c r="AV179" s="306"/>
      <c r="AW179" s="306"/>
      <c r="AX179" s="306"/>
      <c r="AY179" s="306"/>
      <c r="AZ179" s="306"/>
      <c r="BA179" s="306"/>
      <c r="BB179" s="306"/>
      <c r="BC179" s="306"/>
      <c r="BD179" s="306"/>
      <c r="BE179" s="306"/>
      <c r="BF179" s="306"/>
      <c r="BG179" s="306"/>
      <c r="BH179" s="306"/>
      <c r="BI179" s="306"/>
      <c r="BJ179" s="306"/>
      <c r="BK179" s="306"/>
    </row>
    <row r="180" ht="15.75" customHeight="1">
      <c r="A180" s="306"/>
      <c r="B180" s="306"/>
      <c r="C180" s="306"/>
      <c r="D180" s="306"/>
      <c r="E180" s="306"/>
      <c r="F180" s="306"/>
      <c r="G180" s="306"/>
      <c r="H180" s="306"/>
      <c r="I180" s="306"/>
      <c r="J180" s="306"/>
      <c r="K180" s="306"/>
      <c r="L180" s="306"/>
      <c r="M180" s="306"/>
      <c r="N180" s="306"/>
      <c r="O180" s="306"/>
      <c r="P180" s="306"/>
      <c r="Q180" s="306"/>
      <c r="R180" s="306"/>
      <c r="S180" s="306"/>
      <c r="T180" s="306"/>
      <c r="U180" s="306"/>
      <c r="V180" s="306"/>
      <c r="W180" s="306"/>
      <c r="X180" s="306"/>
      <c r="Y180" s="306"/>
      <c r="Z180" s="306"/>
      <c r="AA180" s="306"/>
      <c r="AB180" s="306"/>
      <c r="AC180" s="306"/>
      <c r="AD180" s="306"/>
      <c r="AE180" s="306"/>
      <c r="AF180" s="306"/>
      <c r="AG180" s="306"/>
      <c r="AH180" s="306"/>
      <c r="AI180" s="306"/>
      <c r="AJ180" s="306"/>
      <c r="AK180" s="306"/>
      <c r="AL180" s="306"/>
      <c r="AM180" s="306"/>
      <c r="AN180" s="306"/>
      <c r="AO180" s="306"/>
      <c r="AP180" s="306"/>
      <c r="AQ180" s="306"/>
      <c r="AR180" s="306"/>
      <c r="AS180" s="306"/>
      <c r="AT180" s="306"/>
      <c r="AU180" s="306"/>
      <c r="AV180" s="306"/>
      <c r="AW180" s="306"/>
      <c r="AX180" s="306"/>
      <c r="AY180" s="306"/>
      <c r="AZ180" s="306"/>
      <c r="BA180" s="306"/>
      <c r="BB180" s="306"/>
      <c r="BC180" s="306"/>
      <c r="BD180" s="306"/>
      <c r="BE180" s="306"/>
      <c r="BF180" s="306"/>
      <c r="BG180" s="306"/>
      <c r="BH180" s="306"/>
      <c r="BI180" s="306"/>
      <c r="BJ180" s="306"/>
      <c r="BK180" s="306"/>
    </row>
    <row r="181" ht="15.75" customHeight="1">
      <c r="A181" s="306"/>
      <c r="B181" s="306"/>
      <c r="C181" s="306"/>
      <c r="D181" s="306"/>
      <c r="E181" s="306"/>
      <c r="F181" s="306"/>
      <c r="G181" s="306"/>
      <c r="H181" s="306"/>
      <c r="I181" s="306"/>
      <c r="J181" s="306"/>
      <c r="K181" s="306"/>
      <c r="L181" s="306"/>
      <c r="M181" s="306"/>
      <c r="N181" s="306"/>
      <c r="O181" s="306"/>
      <c r="P181" s="306"/>
      <c r="Q181" s="306"/>
      <c r="R181" s="306"/>
      <c r="S181" s="306"/>
      <c r="T181" s="306"/>
      <c r="U181" s="306"/>
      <c r="V181" s="306"/>
      <c r="W181" s="306"/>
      <c r="X181" s="306"/>
      <c r="Y181" s="306"/>
      <c r="Z181" s="306"/>
      <c r="AA181" s="306"/>
      <c r="AB181" s="306"/>
      <c r="AC181" s="306"/>
      <c r="AD181" s="306"/>
      <c r="AE181" s="306"/>
      <c r="AF181" s="306"/>
      <c r="AG181" s="306"/>
      <c r="AH181" s="306"/>
      <c r="AI181" s="306"/>
      <c r="AJ181" s="306"/>
      <c r="AK181" s="306"/>
      <c r="AL181" s="306"/>
      <c r="AM181" s="306"/>
      <c r="AN181" s="306"/>
      <c r="AO181" s="306"/>
      <c r="AP181" s="306"/>
      <c r="AQ181" s="306"/>
      <c r="AR181" s="306"/>
      <c r="AS181" s="306"/>
      <c r="AT181" s="306"/>
      <c r="AU181" s="306"/>
      <c r="AV181" s="306"/>
      <c r="AW181" s="306"/>
      <c r="AX181" s="306"/>
      <c r="AY181" s="306"/>
      <c r="AZ181" s="306"/>
      <c r="BA181" s="306"/>
      <c r="BB181" s="306"/>
      <c r="BC181" s="306"/>
      <c r="BD181" s="306"/>
      <c r="BE181" s="306"/>
      <c r="BF181" s="306"/>
      <c r="BG181" s="306"/>
      <c r="BH181" s="306"/>
      <c r="BI181" s="306"/>
      <c r="BJ181" s="306"/>
      <c r="BK181" s="306"/>
    </row>
    <row r="182" ht="15.75" customHeight="1">
      <c r="A182" s="306"/>
      <c r="B182" s="306"/>
      <c r="C182" s="306"/>
      <c r="D182" s="306"/>
      <c r="E182" s="306"/>
      <c r="F182" s="306"/>
      <c r="G182" s="306"/>
      <c r="H182" s="306"/>
      <c r="I182" s="306"/>
      <c r="J182" s="306"/>
      <c r="K182" s="306"/>
      <c r="L182" s="306"/>
      <c r="M182" s="306"/>
      <c r="N182" s="306"/>
      <c r="O182" s="306"/>
      <c r="P182" s="306"/>
      <c r="Q182" s="306"/>
      <c r="R182" s="306"/>
      <c r="S182" s="306"/>
      <c r="T182" s="306"/>
      <c r="U182" s="306"/>
      <c r="V182" s="306"/>
      <c r="W182" s="306"/>
      <c r="X182" s="306"/>
      <c r="Y182" s="306"/>
      <c r="Z182" s="306"/>
      <c r="AA182" s="306"/>
      <c r="AB182" s="306"/>
      <c r="AC182" s="306"/>
      <c r="AD182" s="306"/>
      <c r="AE182" s="306"/>
      <c r="AF182" s="306"/>
      <c r="AG182" s="306"/>
      <c r="AH182" s="306"/>
      <c r="AI182" s="306"/>
      <c r="AJ182" s="306"/>
      <c r="AK182" s="306"/>
      <c r="AL182" s="306"/>
      <c r="AM182" s="306"/>
      <c r="AN182" s="306"/>
      <c r="AO182" s="306"/>
      <c r="AP182" s="306"/>
      <c r="AQ182" s="306"/>
      <c r="AR182" s="306"/>
      <c r="AS182" s="306"/>
      <c r="AT182" s="306"/>
      <c r="AU182" s="306"/>
      <c r="AV182" s="306"/>
      <c r="AW182" s="306"/>
      <c r="AX182" s="306"/>
      <c r="AY182" s="306"/>
      <c r="AZ182" s="306"/>
      <c r="BA182" s="306"/>
      <c r="BB182" s="306"/>
      <c r="BC182" s="306"/>
      <c r="BD182" s="306"/>
      <c r="BE182" s="306"/>
      <c r="BF182" s="306"/>
      <c r="BG182" s="306"/>
      <c r="BH182" s="306"/>
      <c r="BI182" s="306"/>
      <c r="BJ182" s="306"/>
      <c r="BK182" s="306"/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6">
    <mergeCell ref="O1:O2"/>
    <mergeCell ref="AC3:AF3"/>
    <mergeCell ref="AK4:AM4"/>
    <mergeCell ref="AN4:AO4"/>
    <mergeCell ref="AR4:AU4"/>
    <mergeCell ref="AV4:AW4"/>
    <mergeCell ref="BA4:BB4"/>
    <mergeCell ref="BF5:BG5"/>
    <mergeCell ref="BB7:BB26"/>
    <mergeCell ref="BC7:BC26"/>
    <mergeCell ref="BD7:BD26"/>
    <mergeCell ref="AA10:AA26"/>
    <mergeCell ref="AB10:AB26"/>
    <mergeCell ref="B19:B20"/>
    <mergeCell ref="B22:B23"/>
    <mergeCell ref="B25:B28"/>
    <mergeCell ref="AA27:AA28"/>
    <mergeCell ref="AB27:AB28"/>
    <mergeCell ref="B30:B32"/>
    <mergeCell ref="AE10:AE26"/>
    <mergeCell ref="AF10:AF26"/>
    <mergeCell ref="AE27:AE28"/>
    <mergeCell ref="AF27:AF28"/>
    <mergeCell ref="AE29:AE30"/>
    <mergeCell ref="AF29:AF30"/>
    <mergeCell ref="AC10:AC26"/>
    <mergeCell ref="AD10:AD26"/>
    <mergeCell ref="AC27:AC28"/>
    <mergeCell ref="AD27:AD28"/>
    <mergeCell ref="AB29:AB30"/>
    <mergeCell ref="AC29:AC30"/>
    <mergeCell ref="AD29:AD30"/>
    <mergeCell ref="AA5:AA9"/>
    <mergeCell ref="AB5:AB9"/>
    <mergeCell ref="AC5:AC9"/>
    <mergeCell ref="AD5:AD9"/>
    <mergeCell ref="AE5:AE9"/>
    <mergeCell ref="AF5:AF9"/>
    <mergeCell ref="BA7:BA26"/>
    <mergeCell ref="AR30:AS30"/>
    <mergeCell ref="AR31:AS31"/>
    <mergeCell ref="AR32:AS32"/>
    <mergeCell ref="AR33:AS33"/>
    <mergeCell ref="AR34:AS34"/>
    <mergeCell ref="AR35:AS35"/>
    <mergeCell ref="AR36:AS36"/>
    <mergeCell ref="AA29:AA30"/>
    <mergeCell ref="AA31:AA34"/>
    <mergeCell ref="AB31:AB34"/>
    <mergeCell ref="AC31:AC34"/>
    <mergeCell ref="AD31:AD34"/>
    <mergeCell ref="AE31:AE34"/>
    <mergeCell ref="AF31:AF34"/>
    <mergeCell ref="AD39:AD40"/>
    <mergeCell ref="AE39:AE40"/>
    <mergeCell ref="AD41:AD42"/>
    <mergeCell ref="AE41:AE42"/>
    <mergeCell ref="AF41:AF42"/>
    <mergeCell ref="AA35:AA38"/>
    <mergeCell ref="AB35:AB38"/>
    <mergeCell ref="AC35:AC38"/>
    <mergeCell ref="AD35:AD38"/>
    <mergeCell ref="AE35:AE38"/>
    <mergeCell ref="AF35:AF38"/>
    <mergeCell ref="AA39:AA40"/>
    <mergeCell ref="AF39:AF40"/>
    <mergeCell ref="AC43:AC47"/>
    <mergeCell ref="AD43:AD47"/>
    <mergeCell ref="AE43:AE47"/>
    <mergeCell ref="AF43:AF47"/>
    <mergeCell ref="AA48:AA51"/>
    <mergeCell ref="AB48:AB51"/>
    <mergeCell ref="AC48:AC51"/>
    <mergeCell ref="AD48:AD51"/>
    <mergeCell ref="AE48:AE51"/>
    <mergeCell ref="AF48:AF51"/>
    <mergeCell ref="AG48:AH51"/>
    <mergeCell ref="AB39:AB40"/>
    <mergeCell ref="AC39:AC40"/>
    <mergeCell ref="AA41:AA42"/>
    <mergeCell ref="AB41:AB42"/>
    <mergeCell ref="AC41:AC42"/>
    <mergeCell ref="AA43:AA47"/>
    <mergeCell ref="AB43:AB47"/>
    <mergeCell ref="AB58:AB63"/>
    <mergeCell ref="AC58:AC63"/>
    <mergeCell ref="AA76:AA90"/>
    <mergeCell ref="AA91:AA94"/>
    <mergeCell ref="AB91:AB94"/>
    <mergeCell ref="AC91:AC94"/>
    <mergeCell ref="AD91:AD94"/>
    <mergeCell ref="AE91:AE94"/>
    <mergeCell ref="AF91:AF94"/>
    <mergeCell ref="D114:K114"/>
    <mergeCell ref="AB76:AB90"/>
    <mergeCell ref="AC76:AC90"/>
    <mergeCell ref="AD76:AD90"/>
    <mergeCell ref="AE76:AE90"/>
    <mergeCell ref="AF76:AF90"/>
    <mergeCell ref="AK78:AM78"/>
    <mergeCell ref="AN78:AO78"/>
    <mergeCell ref="AA95:AA96"/>
    <mergeCell ref="AB95:AB96"/>
    <mergeCell ref="AC95:AC96"/>
    <mergeCell ref="AD95:AD96"/>
    <mergeCell ref="AE95:AE96"/>
    <mergeCell ref="AF95:AF96"/>
    <mergeCell ref="AF97:AF114"/>
    <mergeCell ref="AJ150:AJ151"/>
    <mergeCell ref="AJ171:AJ172"/>
    <mergeCell ref="AD97:AD114"/>
    <mergeCell ref="AE97:AE114"/>
    <mergeCell ref="AD115:AD118"/>
    <mergeCell ref="AE115:AE118"/>
    <mergeCell ref="AF115:AF118"/>
    <mergeCell ref="AD119:AD121"/>
    <mergeCell ref="AE119:AE121"/>
    <mergeCell ref="AD58:AD63"/>
    <mergeCell ref="AE58:AE63"/>
    <mergeCell ref="AA52:AA57"/>
    <mergeCell ref="AB52:AB57"/>
    <mergeCell ref="AC52:AC57"/>
    <mergeCell ref="AD52:AD57"/>
    <mergeCell ref="AE52:AE57"/>
    <mergeCell ref="AF52:AF57"/>
    <mergeCell ref="AF58:AF63"/>
    <mergeCell ref="AA58:AA63"/>
    <mergeCell ref="AA64:AA75"/>
    <mergeCell ref="AB64:AB75"/>
    <mergeCell ref="AC64:AC75"/>
    <mergeCell ref="AD64:AD75"/>
    <mergeCell ref="AE64:AE75"/>
    <mergeCell ref="AF64:AF75"/>
    <mergeCell ref="AB97:AB114"/>
    <mergeCell ref="AC97:AC114"/>
    <mergeCell ref="AB115:AB118"/>
    <mergeCell ref="AC115:AC118"/>
    <mergeCell ref="AB119:AB121"/>
    <mergeCell ref="AC119:AC121"/>
    <mergeCell ref="AK97:AM97"/>
    <mergeCell ref="AN97:AO97"/>
    <mergeCell ref="AR111:AS111"/>
    <mergeCell ref="AA97:AA114"/>
    <mergeCell ref="AA115:AA118"/>
    <mergeCell ref="AA119:AA121"/>
    <mergeCell ref="AF119:AF121"/>
    <mergeCell ref="AJ125:AJ126"/>
    <mergeCell ref="BC78:BD78"/>
    <mergeCell ref="BC81:BC83"/>
    <mergeCell ref="BD81:BD83"/>
    <mergeCell ref="AJ95:BC95"/>
    <mergeCell ref="AR97:AW97"/>
    <mergeCell ref="AX97:BC97"/>
    <mergeCell ref="BA111:BF111"/>
    <mergeCell ref="AU111:AZ111"/>
    <mergeCell ref="AJ129:BC129"/>
    <mergeCell ref="AO131:AP131"/>
    <mergeCell ref="BE131:BF131"/>
    <mergeCell ref="AJ154:BC154"/>
    <mergeCell ref="AK156:AM156"/>
    <mergeCell ref="AN156:AO15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81:AR83"/>
    <mergeCell ref="AR72:AS72"/>
    <mergeCell ref="AR73:AS73"/>
    <mergeCell ref="AR74:AS74"/>
    <mergeCell ref="AR75:AS75"/>
    <mergeCell ref="AQ78:AR78"/>
    <mergeCell ref="AS78:AV78"/>
    <mergeCell ref="AW78:AX78"/>
    <mergeCell ref="AR156:AS156"/>
    <mergeCell ref="AZ156:BE156"/>
  </mergeCells>
  <dataValidations>
    <dataValidation type="custom" allowBlank="1" showDropDown="1" sqref="L93:L104">
      <formula1>AND(ISNUMBER(L93),(NOT(OR(NOT(ISERROR(DATEVALUE(L93))), AND(ISNUMBER(L93), LEFT(CELL("format", L93))="D")))))</formula1>
    </dataValidation>
  </dataValidations>
  <hyperlinks>
    <hyperlink r:id="rId1" ref="H49"/>
    <hyperlink r:id="rId2" ref="I49"/>
    <hyperlink r:id="rId3" ref="H50"/>
    <hyperlink r:id="rId4" ref="I50"/>
    <hyperlink r:id="rId5" ref="H51"/>
    <hyperlink r:id="rId6" ref="I51"/>
    <hyperlink r:id="rId7" ref="H52"/>
    <hyperlink r:id="rId8" ref="I52"/>
    <hyperlink r:id="rId9" ref="H53"/>
    <hyperlink r:id="rId10" ref="I53"/>
    <hyperlink r:id="rId11" ref="H54"/>
    <hyperlink r:id="rId12" ref="I54"/>
    <hyperlink r:id="rId13" ref="H56"/>
    <hyperlink r:id="rId14" ref="H58"/>
    <hyperlink r:id="rId15" ref="I58"/>
    <hyperlink r:id="rId16" ref="H59"/>
    <hyperlink r:id="rId17" ref="I59"/>
    <hyperlink r:id="rId18" ref="H60"/>
    <hyperlink r:id="rId19" ref="I60"/>
    <hyperlink r:id="rId20" ref="H61"/>
    <hyperlink r:id="rId21" ref="I61"/>
    <hyperlink r:id="rId22" ref="H62"/>
    <hyperlink r:id="rId23" ref="I62"/>
    <hyperlink r:id="rId24" ref="H63"/>
    <hyperlink r:id="rId25" ref="I63"/>
    <hyperlink r:id="rId26" ref="H64"/>
    <hyperlink r:id="rId27" ref="I64"/>
    <hyperlink r:id="rId28" ref="I65"/>
    <hyperlink r:id="rId29" location="attr=" ref="I66"/>
    <hyperlink r:id="rId30" ref="I67"/>
    <hyperlink r:id="rId31" ref="H68"/>
    <hyperlink r:id="rId32" ref="I68"/>
    <hyperlink r:id="rId33" ref="H69"/>
    <hyperlink r:id="rId34" ref="I69"/>
    <hyperlink r:id="rId35" ref="H70"/>
    <hyperlink r:id="rId36" ref="I70"/>
    <hyperlink r:id="rId37" ref="H71"/>
    <hyperlink r:id="rId38" ref="I71"/>
    <hyperlink r:id="rId39" ref="H72"/>
    <hyperlink r:id="rId40" ref="I72"/>
    <hyperlink r:id="rId41" ref="H73"/>
    <hyperlink r:id="rId42" ref="I73"/>
    <hyperlink r:id="rId43" location="polycard_client=search-desktop&amp;search_layout=grid&amp;position=1&amp;type=product&amp;tracking_id=12982aee-e1ac-4d0c-91cd-f68f9514fa55&amp;wid=MEC751530540&amp;sid=search" ref="H74"/>
    <hyperlink r:id="rId44" location="polycard_client=search-desktop&amp;search_layout=grid&amp;position=1&amp;type=product&amp;tracking_id=12982aee-e1ac-4d0c-91cd-f68f9514fa55&amp;wid=MEC751530540&amp;sid=search" ref="I74"/>
    <hyperlink r:id="rId45" ref="H75"/>
    <hyperlink r:id="rId46" ref="I75"/>
    <hyperlink r:id="rId47" ref="H76"/>
    <hyperlink r:id="rId48" ref="I76"/>
    <hyperlink r:id="rId49" ref="I77"/>
    <hyperlink r:id="rId50" ref="I78"/>
    <hyperlink r:id="rId51" ref="I79"/>
    <hyperlink r:id="rId52" ref="H80"/>
    <hyperlink r:id="rId53" ref="I80"/>
    <hyperlink r:id="rId54" ref="H81"/>
    <hyperlink r:id="rId55" ref="I81"/>
    <hyperlink r:id="rId56" ref="H82"/>
    <hyperlink r:id="rId57" ref="I82"/>
    <hyperlink r:id="rId58" location="polycard_client=search-desktop&amp;search_layout=grid&amp;position=9&amp;type=product&amp;tracking_id=f7ee6b5f-e83d-4af5-bd94-428743bc11e5&amp;wid=MEC696372228&amp;sid=search" ref="H83"/>
    <hyperlink r:id="rId59" location="polycard_client=search-desktop&amp;search_layout=grid&amp;position=9&amp;type=product&amp;tracking_id=f7ee6b5f-e83d-4af5-bd94-428743bc11e5&amp;wid=MEC696372228&amp;sid=search" ref="I83"/>
    <hyperlink r:id="rId60" ref="I84"/>
    <hyperlink r:id="rId61" ref="I85"/>
    <hyperlink r:id="rId62" ref="H86"/>
    <hyperlink r:id="rId63" ref="I86"/>
    <hyperlink r:id="rId64" ref="H87"/>
    <hyperlink r:id="rId65" ref="I87"/>
    <hyperlink r:id="rId66" ref="J94"/>
    <hyperlink r:id="rId67" ref="K94"/>
    <hyperlink r:id="rId68" ref="J95"/>
    <hyperlink r:id="rId69" ref="K95"/>
    <hyperlink r:id="rId70" ref="J96"/>
    <hyperlink r:id="rId71" ref="K96"/>
    <hyperlink r:id="rId72" ref="J99"/>
    <hyperlink r:id="rId73" ref="K99"/>
    <hyperlink r:id="rId74" ref="J100"/>
    <hyperlink r:id="rId75" ref="K100"/>
    <hyperlink r:id="rId76" location="pn=DP24688TGY" ref="J101"/>
    <hyperlink r:id="rId77" ref="K101"/>
    <hyperlink r:id="rId78" location="pn=WMP1E" ref="J102"/>
    <hyperlink r:id="rId79" ref="K102"/>
    <hyperlink r:id="rId80" ref="J103"/>
    <hyperlink r:id="rId81" ref="J104"/>
    <hyperlink r:id="rId82" ref="K104"/>
    <hyperlink r:id="rId83" location="q=utp28sp1bu" ref="J107"/>
    <hyperlink r:id="rId84" ref="K107"/>
    <hyperlink r:id="rId85" location="q=utp28sp1bu" ref="J108"/>
    <hyperlink r:id="rId86" ref="K108"/>
    <hyperlink r:id="rId87" ref="J109"/>
    <hyperlink r:id="rId88" ref="K109"/>
  </hyperlinks>
  <printOptions/>
  <pageMargins bottom="0.75" footer="0.0" header="0.0" left="0.7" right="0.7" top="0.75"/>
  <pageSetup orientation="landscape"/>
  <drawing r:id="rId89"/>
  <tableParts count="1">
    <tablePart r:id="rId9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14.63"/>
    <col customWidth="1" min="3" max="3" width="20.88"/>
    <col customWidth="1" min="4" max="4" width="20.75"/>
    <col customWidth="1" min="5" max="5" width="44.5"/>
    <col customWidth="1" min="6" max="6" width="38.13"/>
    <col customWidth="1" min="7" max="7" width="15.25"/>
    <col customWidth="1" min="8" max="8" width="45.88"/>
    <col customWidth="1" min="9" max="9" width="23.0"/>
    <col customWidth="1" min="10" max="10" width="33.0"/>
    <col customWidth="1" min="11" max="11" width="29.5"/>
    <col customWidth="1" min="12" max="12" width="20.13"/>
    <col customWidth="1" min="13" max="13" width="21.63"/>
    <col customWidth="1" min="14" max="14" width="21.25"/>
    <col customWidth="1" min="15" max="15" width="35.75"/>
    <col customWidth="1" min="16" max="16" width="20.13"/>
    <col customWidth="1" min="17" max="17" width="17.25"/>
    <col customWidth="1" min="18" max="18" width="13.63"/>
    <col customWidth="1" min="19" max="19" width="13.5"/>
    <col customWidth="1" min="20" max="20" width="21.5"/>
    <col customWidth="1" min="21" max="21" width="19.5"/>
    <col customWidth="1" min="22" max="22" width="16.75"/>
    <col customWidth="1" min="23" max="25" width="10.63"/>
    <col customWidth="1" min="26" max="26" width="27.0"/>
    <col customWidth="1" min="27" max="28" width="10.63"/>
    <col customWidth="1" min="29" max="29" width="58.88"/>
  </cols>
  <sheetData>
    <row r="1">
      <c r="A1" s="700" t="s">
        <v>995</v>
      </c>
      <c r="P1" s="701"/>
      <c r="Q1" s="702"/>
      <c r="R1" s="702"/>
      <c r="S1" s="702"/>
      <c r="T1" s="702"/>
      <c r="U1" s="702"/>
      <c r="V1" s="702"/>
      <c r="W1" s="702"/>
      <c r="X1" s="702"/>
      <c r="Y1" s="702"/>
      <c r="Z1" s="703" t="s">
        <v>554</v>
      </c>
      <c r="AA1" s="703" t="s">
        <v>210</v>
      </c>
      <c r="AB1" s="703" t="s">
        <v>999</v>
      </c>
      <c r="AC1" s="703" t="s">
        <v>1000</v>
      </c>
    </row>
    <row r="2" ht="15.0" customHeight="1">
      <c r="A2" s="704"/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5"/>
      <c r="Q2" s="702"/>
      <c r="R2" s="702"/>
      <c r="S2" s="702"/>
      <c r="T2" s="702"/>
      <c r="U2" s="702"/>
      <c r="V2" s="702"/>
      <c r="W2" s="702"/>
      <c r="X2" s="702"/>
      <c r="Y2" s="702"/>
      <c r="Z2" s="706" t="s">
        <v>1001</v>
      </c>
      <c r="AA2" s="707">
        <v>1.0</v>
      </c>
      <c r="AB2" s="708" t="s">
        <v>418</v>
      </c>
      <c r="AC2" s="708" t="s">
        <v>1002</v>
      </c>
    </row>
    <row r="3">
      <c r="A3" s="702"/>
      <c r="B3" s="702"/>
      <c r="C3" s="702"/>
      <c r="D3" s="702"/>
      <c r="E3" s="702"/>
      <c r="F3" s="675"/>
      <c r="G3" s="675"/>
      <c r="H3" s="675"/>
      <c r="I3" s="675"/>
      <c r="J3" s="675"/>
      <c r="K3" s="675"/>
      <c r="L3" s="675"/>
      <c r="M3" s="675"/>
      <c r="N3" s="675"/>
      <c r="O3" s="675"/>
      <c r="P3" s="675"/>
      <c r="Q3" s="675"/>
      <c r="R3" s="702"/>
      <c r="S3" s="702"/>
      <c r="T3" s="702"/>
      <c r="U3" s="702"/>
      <c r="V3" s="702"/>
      <c r="W3" s="702"/>
      <c r="X3" s="702"/>
      <c r="Y3" s="702"/>
      <c r="Z3" s="706" t="s">
        <v>1003</v>
      </c>
      <c r="AA3" s="707">
        <v>1.0</v>
      </c>
      <c r="AB3" s="708" t="s">
        <v>418</v>
      </c>
      <c r="AC3" s="708" t="s">
        <v>1004</v>
      </c>
    </row>
    <row r="4">
      <c r="A4" s="709" t="s">
        <v>782</v>
      </c>
      <c r="B4" s="13"/>
      <c r="C4" s="710" t="s">
        <v>1006</v>
      </c>
      <c r="D4" s="12"/>
      <c r="E4" s="12"/>
      <c r="F4" s="13"/>
      <c r="G4" s="710" t="s">
        <v>1007</v>
      </c>
      <c r="H4" s="12"/>
      <c r="I4" s="13"/>
      <c r="J4" s="711"/>
      <c r="K4" s="675"/>
      <c r="L4" s="712"/>
      <c r="M4" s="711"/>
      <c r="N4" s="675"/>
      <c r="O4" s="712"/>
      <c r="P4" s="711"/>
      <c r="Q4" s="675"/>
      <c r="R4" s="702"/>
      <c r="S4" s="702"/>
      <c r="T4" s="702"/>
      <c r="U4" s="702"/>
      <c r="V4" s="702"/>
      <c r="W4" s="702"/>
      <c r="X4" s="702"/>
      <c r="Y4" s="702"/>
      <c r="Z4" s="706" t="s">
        <v>1009</v>
      </c>
      <c r="AA4" s="707">
        <v>1.0</v>
      </c>
      <c r="AB4" s="708" t="s">
        <v>418</v>
      </c>
      <c r="AC4" s="708" t="s">
        <v>1010</v>
      </c>
    </row>
    <row r="5">
      <c r="A5" s="714" t="s">
        <v>1011</v>
      </c>
      <c r="B5" s="13"/>
      <c r="C5" s="715" t="s">
        <v>1012</v>
      </c>
      <c r="D5" s="12"/>
      <c r="E5" s="12"/>
      <c r="F5" s="13"/>
      <c r="G5" s="715" t="s">
        <v>1013</v>
      </c>
      <c r="H5" s="12"/>
      <c r="I5" s="13"/>
      <c r="J5" s="712"/>
      <c r="K5" s="675"/>
      <c r="L5" s="712"/>
      <c r="M5" s="712"/>
      <c r="N5" s="675"/>
      <c r="O5" s="712"/>
      <c r="P5" s="712"/>
      <c r="Q5" s="675"/>
      <c r="R5" s="702"/>
      <c r="S5" s="702"/>
      <c r="T5" s="702"/>
      <c r="U5" s="702"/>
      <c r="V5" s="702"/>
      <c r="W5" s="702"/>
      <c r="X5" s="702"/>
      <c r="Y5" s="702"/>
      <c r="Z5" s="706" t="s">
        <v>1009</v>
      </c>
      <c r="AA5" s="707">
        <v>1.0</v>
      </c>
      <c r="AB5" s="708" t="s">
        <v>418</v>
      </c>
      <c r="AC5" s="708" t="s">
        <v>1014</v>
      </c>
    </row>
    <row r="6">
      <c r="A6" s="714" t="s">
        <v>1015</v>
      </c>
      <c r="B6" s="13"/>
      <c r="C6" s="715" t="s">
        <v>1016</v>
      </c>
      <c r="D6" s="12"/>
      <c r="E6" s="12"/>
      <c r="F6" s="13"/>
      <c r="G6" s="715" t="s">
        <v>1017</v>
      </c>
      <c r="H6" s="12"/>
      <c r="I6" s="13"/>
      <c r="J6" s="716"/>
      <c r="K6" s="675"/>
      <c r="L6" s="716"/>
      <c r="M6" s="716"/>
      <c r="N6" s="675"/>
      <c r="O6" s="716"/>
      <c r="P6" s="716"/>
      <c r="Q6" s="675"/>
      <c r="R6" s="702"/>
      <c r="S6" s="702"/>
      <c r="T6" s="702"/>
      <c r="U6" s="702"/>
      <c r="V6" s="702"/>
      <c r="W6" s="702"/>
      <c r="X6" s="702"/>
      <c r="Y6" s="702"/>
      <c r="Z6" s="706" t="s">
        <v>1022</v>
      </c>
      <c r="AA6" s="707">
        <v>1.0</v>
      </c>
      <c r="AB6" s="708" t="s">
        <v>418</v>
      </c>
      <c r="AC6" s="708" t="s">
        <v>1024</v>
      </c>
    </row>
    <row r="7">
      <c r="A7" s="714" t="s">
        <v>1026</v>
      </c>
      <c r="B7" s="13"/>
      <c r="C7" s="715" t="s">
        <v>1028</v>
      </c>
      <c r="D7" s="12"/>
      <c r="E7" s="12"/>
      <c r="F7" s="13"/>
      <c r="G7" s="715" t="s">
        <v>1031</v>
      </c>
      <c r="H7" s="12"/>
      <c r="I7" s="13"/>
      <c r="J7" s="716"/>
      <c r="K7" s="675"/>
      <c r="L7" s="716"/>
      <c r="M7" s="716"/>
      <c r="N7" s="675"/>
      <c r="O7" s="716"/>
      <c r="P7" s="716"/>
      <c r="Q7" s="675"/>
      <c r="R7" s="702"/>
      <c r="S7" s="702"/>
      <c r="T7" s="702"/>
      <c r="U7" s="702"/>
      <c r="V7" s="702"/>
      <c r="W7" s="702"/>
      <c r="X7" s="702"/>
      <c r="Y7" s="702"/>
      <c r="Z7" s="706" t="s">
        <v>1022</v>
      </c>
      <c r="AA7" s="707">
        <v>1.0</v>
      </c>
      <c r="AB7" s="708" t="s">
        <v>418</v>
      </c>
      <c r="AC7" s="708" t="s">
        <v>1039</v>
      </c>
    </row>
    <row r="8">
      <c r="A8" s="714" t="s">
        <v>1041</v>
      </c>
      <c r="B8" s="13"/>
      <c r="C8" s="715" t="s">
        <v>1044</v>
      </c>
      <c r="D8" s="12"/>
      <c r="E8" s="12"/>
      <c r="F8" s="13"/>
      <c r="G8" s="715" t="s">
        <v>1046</v>
      </c>
      <c r="H8" s="12"/>
      <c r="I8" s="13"/>
      <c r="J8" s="716"/>
      <c r="K8" s="675"/>
      <c r="L8" s="716"/>
      <c r="M8" s="716"/>
      <c r="N8" s="675"/>
      <c r="O8" s="716"/>
      <c r="P8" s="716"/>
      <c r="Q8" s="675"/>
      <c r="R8" s="702"/>
      <c r="S8" s="702"/>
      <c r="T8" s="702"/>
      <c r="U8" s="702"/>
      <c r="V8" s="702"/>
      <c r="W8" s="702"/>
      <c r="X8" s="702"/>
      <c r="Y8" s="702"/>
      <c r="Z8" s="706" t="s">
        <v>1049</v>
      </c>
      <c r="AA8" s="707">
        <v>2.0</v>
      </c>
      <c r="AB8" s="708" t="s">
        <v>1050</v>
      </c>
      <c r="AC8" s="708" t="s">
        <v>1052</v>
      </c>
    </row>
    <row r="9">
      <c r="A9" s="714" t="s">
        <v>1053</v>
      </c>
      <c r="B9" s="13"/>
      <c r="C9" s="715" t="s">
        <v>1055</v>
      </c>
      <c r="D9" s="12"/>
      <c r="E9" s="12"/>
      <c r="F9" s="13"/>
      <c r="G9" s="715" t="s">
        <v>1056</v>
      </c>
      <c r="H9" s="12"/>
      <c r="I9" s="13"/>
      <c r="J9" s="716"/>
      <c r="K9" s="675"/>
      <c r="L9" s="716"/>
      <c r="M9" s="716"/>
      <c r="N9" s="675"/>
      <c r="O9" s="716"/>
      <c r="P9" s="716"/>
      <c r="Q9" s="675"/>
      <c r="R9" s="702"/>
      <c r="S9" s="702"/>
      <c r="T9" s="702"/>
      <c r="U9" s="702"/>
      <c r="V9" s="702"/>
      <c r="W9" s="702"/>
      <c r="X9" s="702"/>
      <c r="Y9" s="702"/>
      <c r="Z9" s="706" t="s">
        <v>1057</v>
      </c>
      <c r="AA9" s="707">
        <v>1.0</v>
      </c>
      <c r="AB9" s="708" t="s">
        <v>1050</v>
      </c>
      <c r="AC9" s="708" t="s">
        <v>1059</v>
      </c>
    </row>
    <row r="10">
      <c r="A10" s="714" t="s">
        <v>1060</v>
      </c>
      <c r="B10" s="13"/>
      <c r="C10" s="715" t="s">
        <v>1061</v>
      </c>
      <c r="D10" s="12"/>
      <c r="E10" s="12"/>
      <c r="F10" s="13"/>
      <c r="G10" s="715" t="s">
        <v>1063</v>
      </c>
      <c r="H10" s="12"/>
      <c r="I10" s="13"/>
      <c r="J10" s="716"/>
      <c r="K10" s="675"/>
      <c r="L10" s="716"/>
      <c r="M10" s="716"/>
      <c r="N10" s="675"/>
      <c r="O10" s="735"/>
      <c r="P10" s="716"/>
      <c r="Q10" s="675"/>
      <c r="R10" s="702"/>
      <c r="S10" s="702"/>
      <c r="T10" s="702"/>
      <c r="U10" s="702"/>
      <c r="V10" s="702"/>
      <c r="W10" s="702"/>
      <c r="X10" s="702"/>
      <c r="Y10" s="702"/>
      <c r="Z10" s="706" t="s">
        <v>1068</v>
      </c>
      <c r="AA10" s="707">
        <v>1.0</v>
      </c>
      <c r="AB10" s="708" t="s">
        <v>418</v>
      </c>
      <c r="AC10" s="708" t="s">
        <v>1069</v>
      </c>
    </row>
    <row r="11">
      <c r="A11" s="714" t="s">
        <v>1070</v>
      </c>
      <c r="B11" s="13"/>
      <c r="C11" s="715" t="s">
        <v>1071</v>
      </c>
      <c r="D11" s="12"/>
      <c r="E11" s="12"/>
      <c r="F11" s="13"/>
      <c r="G11" s="715" t="s">
        <v>1073</v>
      </c>
      <c r="H11" s="12"/>
      <c r="I11" s="13"/>
      <c r="J11" s="716"/>
      <c r="K11" s="675"/>
      <c r="L11" s="739"/>
      <c r="M11" s="740"/>
      <c r="N11" s="675"/>
      <c r="O11" s="716"/>
      <c r="P11" s="716"/>
      <c r="Q11" s="675"/>
      <c r="R11" s="702"/>
      <c r="S11" s="702"/>
      <c r="T11" s="702"/>
      <c r="U11" s="702"/>
      <c r="V11" s="702"/>
      <c r="W11" s="702"/>
      <c r="X11" s="702"/>
      <c r="Y11" s="702"/>
      <c r="Z11" s="706" t="s">
        <v>1074</v>
      </c>
      <c r="AA11" s="707">
        <v>1.0</v>
      </c>
      <c r="AB11" s="708" t="s">
        <v>1050</v>
      </c>
      <c r="AC11" s="708" t="s">
        <v>1075</v>
      </c>
    </row>
    <row r="12">
      <c r="A12" s="741" t="s">
        <v>70</v>
      </c>
      <c r="B12" s="13"/>
      <c r="C12" s="743" t="s">
        <v>1077</v>
      </c>
      <c r="D12" s="12"/>
      <c r="E12" s="12"/>
      <c r="F12" s="13"/>
      <c r="G12" s="743" t="s">
        <v>1078</v>
      </c>
      <c r="H12" s="12"/>
      <c r="I12" s="13"/>
      <c r="J12" s="711"/>
      <c r="K12" s="675"/>
      <c r="L12" s="740"/>
      <c r="M12" s="740"/>
      <c r="N12" s="675"/>
      <c r="O12" s="712"/>
      <c r="P12" s="711"/>
      <c r="Q12" s="675"/>
      <c r="R12" s="702"/>
      <c r="S12" s="702"/>
      <c r="T12" s="702"/>
      <c r="U12" s="702"/>
      <c r="V12" s="702"/>
      <c r="W12" s="702"/>
      <c r="X12" s="702"/>
      <c r="Y12" s="702"/>
      <c r="Z12" s="706" t="s">
        <v>1079</v>
      </c>
      <c r="AA12" s="707">
        <v>1.0</v>
      </c>
      <c r="AB12" s="708" t="s">
        <v>418</v>
      </c>
      <c r="AC12" s="708" t="s">
        <v>1080</v>
      </c>
    </row>
    <row r="13">
      <c r="A13" s="714" t="s">
        <v>1081</v>
      </c>
      <c r="B13" s="13"/>
      <c r="C13" s="715" t="s">
        <v>1082</v>
      </c>
      <c r="D13" s="12"/>
      <c r="E13" s="12"/>
      <c r="F13" s="13"/>
      <c r="G13" s="715" t="s">
        <v>1083</v>
      </c>
      <c r="H13" s="12"/>
      <c r="I13" s="13"/>
      <c r="J13" s="745"/>
      <c r="K13" s="675"/>
      <c r="L13" s="712"/>
      <c r="M13" s="711"/>
      <c r="N13" s="675"/>
      <c r="O13" s="745"/>
      <c r="P13" s="745"/>
      <c r="Q13" s="675"/>
      <c r="R13" s="702"/>
      <c r="S13" s="702"/>
      <c r="T13" s="702"/>
      <c r="U13" s="702"/>
      <c r="V13" s="702"/>
      <c r="W13" s="702"/>
      <c r="X13" s="702"/>
      <c r="Y13" s="702"/>
      <c r="Z13" s="706" t="s">
        <v>1084</v>
      </c>
      <c r="AA13" s="708" t="s">
        <v>1085</v>
      </c>
      <c r="AB13" s="706" t="s">
        <v>418</v>
      </c>
      <c r="AC13" s="708" t="s">
        <v>1086</v>
      </c>
    </row>
    <row r="14">
      <c r="A14" s="746"/>
      <c r="B14" s="747"/>
      <c r="C14" s="748"/>
      <c r="D14" s="748"/>
      <c r="E14" s="748"/>
      <c r="F14" s="740"/>
      <c r="G14" s="716"/>
      <c r="H14" s="716"/>
      <c r="I14" s="716"/>
      <c r="J14" s="716"/>
      <c r="K14" s="675"/>
      <c r="L14" s="745"/>
      <c r="M14" s="745"/>
      <c r="N14" s="675"/>
      <c r="O14" s="716"/>
      <c r="P14" s="716"/>
      <c r="Q14" s="675"/>
      <c r="R14" s="702"/>
      <c r="S14" s="702"/>
      <c r="T14" s="702"/>
      <c r="U14" s="702"/>
      <c r="V14" s="702"/>
      <c r="W14" s="702"/>
      <c r="X14" s="702"/>
      <c r="Y14" s="702"/>
      <c r="Z14" s="706" t="s">
        <v>1088</v>
      </c>
      <c r="AA14" s="708" t="s">
        <v>1089</v>
      </c>
      <c r="AB14" s="706" t="s">
        <v>1090</v>
      </c>
      <c r="AC14" s="706" t="s">
        <v>1091</v>
      </c>
    </row>
    <row r="15">
      <c r="A15" s="749" t="s">
        <v>1092</v>
      </c>
      <c r="B15" s="749" t="s">
        <v>1093</v>
      </c>
      <c r="C15" s="749" t="s">
        <v>1094</v>
      </c>
      <c r="D15" s="750" t="s">
        <v>1095</v>
      </c>
      <c r="E15" s="12"/>
      <c r="F15" s="12"/>
      <c r="G15" s="12"/>
      <c r="H15" s="12"/>
      <c r="I15" s="740"/>
      <c r="J15" s="716"/>
      <c r="K15" s="675"/>
      <c r="L15" s="716"/>
      <c r="M15" s="716"/>
      <c r="N15" s="675"/>
      <c r="O15" s="716"/>
      <c r="P15" s="716"/>
      <c r="Q15" s="675"/>
      <c r="R15" s="702"/>
      <c r="S15" s="702"/>
      <c r="T15" s="702"/>
      <c r="U15" s="702"/>
      <c r="V15" s="702"/>
      <c r="W15" s="702"/>
      <c r="X15" s="702"/>
      <c r="Y15" s="702"/>
      <c r="Z15" s="748"/>
      <c r="AA15" s="748"/>
      <c r="AB15" s="748"/>
      <c r="AC15" s="748"/>
    </row>
    <row r="16">
      <c r="A16" s="751" t="s">
        <v>1097</v>
      </c>
      <c r="B16" s="751" t="s">
        <v>1098</v>
      </c>
      <c r="C16" s="752" t="s">
        <v>1099</v>
      </c>
      <c r="D16" s="753" t="s">
        <v>1100</v>
      </c>
      <c r="E16" s="12"/>
      <c r="F16" s="12"/>
      <c r="G16" s="12"/>
      <c r="H16" s="12"/>
      <c r="I16" s="716"/>
      <c r="J16" s="716"/>
      <c r="K16" s="675"/>
      <c r="L16" s="716"/>
      <c r="M16" s="716"/>
      <c r="N16" s="675"/>
      <c r="O16" s="716"/>
      <c r="P16" s="716"/>
      <c r="Q16" s="675"/>
      <c r="R16" s="702"/>
      <c r="S16" s="702"/>
      <c r="T16" s="702"/>
      <c r="U16" s="702"/>
      <c r="V16" s="702"/>
      <c r="W16" s="702"/>
      <c r="X16" s="702"/>
      <c r="Y16" s="702"/>
      <c r="Z16" s="748"/>
      <c r="AA16" s="748"/>
      <c r="AB16" s="748"/>
      <c r="AC16" s="748"/>
    </row>
    <row r="17">
      <c r="A17" s="751" t="s">
        <v>1101</v>
      </c>
      <c r="B17" s="751" t="s">
        <v>1102</v>
      </c>
      <c r="C17" s="752" t="s">
        <v>1103</v>
      </c>
      <c r="D17" s="753" t="s">
        <v>1104</v>
      </c>
      <c r="E17" s="12"/>
      <c r="F17" s="12"/>
      <c r="G17" s="12"/>
      <c r="H17" s="13"/>
      <c r="I17" s="716"/>
      <c r="J17" s="716"/>
      <c r="K17" s="675"/>
      <c r="L17" s="716"/>
      <c r="M17" s="716"/>
      <c r="N17" s="675"/>
      <c r="O17" s="716"/>
      <c r="P17" s="716"/>
      <c r="Q17" s="675"/>
      <c r="R17" s="702"/>
      <c r="S17" s="702"/>
      <c r="T17" s="702"/>
      <c r="U17" s="702"/>
      <c r="V17" s="702"/>
      <c r="W17" s="702"/>
      <c r="X17" s="702"/>
      <c r="Y17" s="702"/>
      <c r="Z17" s="702"/>
      <c r="AA17" s="702"/>
      <c r="AB17" s="702"/>
      <c r="AC17" s="702"/>
    </row>
    <row r="18">
      <c r="A18" s="751" t="s">
        <v>1105</v>
      </c>
      <c r="B18" s="751" t="s">
        <v>1106</v>
      </c>
      <c r="C18" s="752" t="s">
        <v>1107</v>
      </c>
      <c r="D18" s="753" t="s">
        <v>1108</v>
      </c>
      <c r="E18" s="12"/>
      <c r="F18" s="12"/>
      <c r="G18" s="12"/>
      <c r="H18" s="13"/>
      <c r="I18" s="739"/>
      <c r="J18" s="740"/>
      <c r="K18" s="675"/>
      <c r="L18" s="735"/>
      <c r="M18" s="716"/>
      <c r="N18" s="675"/>
      <c r="O18" s="716"/>
      <c r="P18" s="716"/>
      <c r="Q18" s="675"/>
      <c r="R18" s="702"/>
      <c r="S18" s="702"/>
      <c r="T18" s="702"/>
      <c r="U18" s="702"/>
      <c r="V18" s="702"/>
      <c r="W18" s="702"/>
      <c r="X18" s="702"/>
      <c r="Y18" s="702"/>
      <c r="Z18" s="702"/>
      <c r="AA18" s="702"/>
      <c r="AB18" s="702"/>
      <c r="AC18" s="702"/>
    </row>
    <row r="19">
      <c r="A19" s="751" t="s">
        <v>1110</v>
      </c>
      <c r="B19" s="751" t="s">
        <v>1111</v>
      </c>
      <c r="C19" s="752" t="s">
        <v>1112</v>
      </c>
      <c r="D19" s="753" t="s">
        <v>1113</v>
      </c>
      <c r="E19" s="12"/>
      <c r="F19" s="12"/>
      <c r="G19" s="12"/>
      <c r="H19" s="13"/>
      <c r="I19" s="740"/>
      <c r="J19" s="740"/>
      <c r="K19" s="675"/>
      <c r="L19" s="716"/>
      <c r="M19" s="716"/>
      <c r="N19" s="675"/>
      <c r="O19" s="716"/>
      <c r="P19" s="716"/>
      <c r="Q19" s="675"/>
      <c r="R19" s="702"/>
      <c r="S19" s="702"/>
      <c r="T19" s="702"/>
      <c r="U19" s="702"/>
      <c r="V19" s="702"/>
      <c r="W19" s="702"/>
      <c r="X19" s="702"/>
      <c r="Y19" s="702"/>
      <c r="Z19" s="702"/>
      <c r="AA19" s="702"/>
      <c r="AB19" s="702"/>
      <c r="AC19" s="702"/>
    </row>
    <row r="20">
      <c r="A20" s="758"/>
      <c r="B20" s="759"/>
      <c r="C20" s="759"/>
      <c r="D20" s="759"/>
      <c r="E20" s="748"/>
      <c r="F20" s="748"/>
      <c r="G20" s="748"/>
      <c r="H20" s="748"/>
      <c r="I20" s="747"/>
      <c r="J20" s="748"/>
      <c r="K20" s="702"/>
      <c r="L20" s="747"/>
      <c r="M20" s="747"/>
      <c r="N20" s="702"/>
      <c r="O20" s="747"/>
      <c r="P20" s="747"/>
      <c r="Q20" s="702"/>
      <c r="R20" s="702"/>
      <c r="S20" s="702"/>
      <c r="T20" s="702"/>
      <c r="U20" s="702"/>
      <c r="V20" s="702"/>
      <c r="W20" s="702"/>
      <c r="X20" s="702"/>
      <c r="Y20" s="702"/>
      <c r="Z20" s="702"/>
      <c r="AA20" s="702"/>
      <c r="AB20" s="702"/>
      <c r="AC20" s="702"/>
    </row>
    <row r="21">
      <c r="A21" s="746"/>
      <c r="B21" s="747"/>
      <c r="C21" s="747"/>
      <c r="D21" s="747"/>
      <c r="E21" s="702"/>
      <c r="F21" s="702"/>
      <c r="G21" s="702"/>
      <c r="H21" s="702"/>
      <c r="I21" s="702"/>
      <c r="J21" s="702"/>
      <c r="K21" s="702"/>
      <c r="L21" s="702"/>
      <c r="M21" s="702"/>
      <c r="N21" s="702"/>
      <c r="O21" s="702"/>
      <c r="P21" s="702"/>
      <c r="Q21" s="761"/>
      <c r="R21" s="702"/>
      <c r="S21" s="702"/>
      <c r="T21" s="702"/>
      <c r="U21" s="702"/>
      <c r="V21" s="702"/>
      <c r="W21" s="702"/>
      <c r="X21" s="702"/>
      <c r="Y21" s="702"/>
      <c r="Z21" s="702"/>
      <c r="AA21" s="702"/>
      <c r="AB21" s="702"/>
      <c r="AC21" s="702"/>
    </row>
    <row r="22">
      <c r="A22" s="747"/>
      <c r="B22" s="702"/>
      <c r="C22" s="702"/>
      <c r="D22" s="702"/>
      <c r="E22" s="702"/>
      <c r="F22" s="702"/>
      <c r="G22" s="702"/>
      <c r="H22" s="702"/>
      <c r="I22" s="702"/>
      <c r="J22" s="702"/>
      <c r="K22" s="702"/>
      <c r="L22" s="702"/>
      <c r="M22" s="702"/>
      <c r="N22" s="702"/>
      <c r="O22" s="702"/>
      <c r="P22" s="702"/>
      <c r="Q22" s="702"/>
      <c r="R22" s="702"/>
      <c r="S22" s="702"/>
      <c r="T22" s="702"/>
      <c r="U22" s="702"/>
      <c r="V22" s="702"/>
      <c r="W22" s="702"/>
      <c r="X22" s="702"/>
      <c r="Y22" s="702"/>
      <c r="Z22" s="702"/>
      <c r="AA22" s="702"/>
      <c r="AB22" s="702"/>
      <c r="AC22" s="702"/>
    </row>
    <row r="23" ht="15.75" customHeight="1">
      <c r="A23" s="765" t="s">
        <v>68</v>
      </c>
      <c r="B23" s="766" t="s">
        <v>39</v>
      </c>
      <c r="C23" s="766" t="s">
        <v>40</v>
      </c>
      <c r="D23" s="766" t="s">
        <v>41</v>
      </c>
      <c r="E23" s="766" t="s">
        <v>42</v>
      </c>
      <c r="F23" s="766" t="s">
        <v>43</v>
      </c>
      <c r="G23" s="766" t="s">
        <v>44</v>
      </c>
      <c r="H23" s="766" t="s">
        <v>45</v>
      </c>
      <c r="I23" s="766" t="s">
        <v>47</v>
      </c>
      <c r="J23" s="766" t="s">
        <v>48</v>
      </c>
      <c r="K23" s="768" t="s">
        <v>49</v>
      </c>
      <c r="L23" s="702"/>
      <c r="M23" s="770" t="s">
        <v>50</v>
      </c>
      <c r="N23" s="12"/>
      <c r="O23" s="702"/>
      <c r="P23" s="702"/>
      <c r="Q23" s="702"/>
      <c r="R23" s="702"/>
      <c r="S23" s="702"/>
      <c r="T23" s="702"/>
      <c r="U23" s="702"/>
      <c r="V23" s="702"/>
      <c r="W23" s="702"/>
      <c r="X23" s="702"/>
      <c r="Y23" s="702"/>
      <c r="Z23" s="702"/>
      <c r="AA23" s="702"/>
      <c r="AB23" s="702"/>
      <c r="AC23" s="702"/>
    </row>
    <row r="24" ht="15.75" customHeight="1">
      <c r="A24" s="217" t="s">
        <v>52</v>
      </c>
      <c r="B24" s="218">
        <v>17.0</v>
      </c>
      <c r="C24" s="218">
        <v>20.0</v>
      </c>
      <c r="D24" s="218">
        <v>4.0</v>
      </c>
      <c r="E24" s="218">
        <v>20.0</v>
      </c>
      <c r="F24" s="218">
        <v>38.0</v>
      </c>
      <c r="G24" s="218">
        <v>7.0</v>
      </c>
      <c r="H24" s="218">
        <v>7.0</v>
      </c>
      <c r="I24" s="218">
        <v>4.0</v>
      </c>
      <c r="J24" s="218">
        <v>6.0</v>
      </c>
      <c r="K24" s="218">
        <v>14.0</v>
      </c>
      <c r="L24" s="702"/>
      <c r="M24" s="773" t="s">
        <v>46</v>
      </c>
      <c r="N24" s="774">
        <v>2.0</v>
      </c>
      <c r="O24" s="702"/>
      <c r="P24" s="702"/>
      <c r="Q24" s="747"/>
      <c r="R24" s="747"/>
      <c r="S24" s="747"/>
      <c r="T24" s="747"/>
      <c r="U24" s="747"/>
      <c r="V24" s="702"/>
      <c r="W24" s="702"/>
      <c r="X24" s="702"/>
      <c r="Y24" s="702"/>
      <c r="Z24" s="702"/>
      <c r="AA24" s="702"/>
      <c r="AB24" s="702"/>
      <c r="AC24" s="702"/>
    </row>
    <row r="25" ht="15.75" customHeight="1">
      <c r="A25" s="775" t="s">
        <v>1011</v>
      </c>
      <c r="B25" s="79">
        <v>6.0</v>
      </c>
      <c r="C25" s="79" t="s">
        <v>84</v>
      </c>
      <c r="D25" s="79" t="s">
        <v>84</v>
      </c>
      <c r="E25" s="79">
        <v>2.0</v>
      </c>
      <c r="F25" s="96">
        <v>3.0</v>
      </c>
      <c r="G25" s="79">
        <v>0.0</v>
      </c>
      <c r="H25" s="79">
        <v>0.0</v>
      </c>
      <c r="I25" s="79">
        <v>1.0</v>
      </c>
      <c r="J25" s="776">
        <v>1.0</v>
      </c>
      <c r="K25" s="79">
        <v>1.0</v>
      </c>
      <c r="L25" s="702"/>
      <c r="M25" s="748"/>
      <c r="N25" s="778"/>
      <c r="O25" s="675"/>
      <c r="P25" s="747"/>
      <c r="Q25" s="747"/>
      <c r="R25" s="747"/>
      <c r="S25" s="747"/>
      <c r="T25" s="747"/>
      <c r="U25" s="747"/>
      <c r="V25" s="702"/>
      <c r="W25" s="702"/>
      <c r="X25" s="702"/>
      <c r="Y25" s="702"/>
      <c r="Z25" s="702"/>
      <c r="AA25" s="702"/>
      <c r="AB25" s="702"/>
      <c r="AC25" s="702"/>
    </row>
    <row r="26" ht="15.75" customHeight="1">
      <c r="A26" s="775" t="s">
        <v>1015</v>
      </c>
      <c r="B26" s="96">
        <v>6.0</v>
      </c>
      <c r="C26" s="96" t="s">
        <v>1127</v>
      </c>
      <c r="D26" s="96" t="s">
        <v>84</v>
      </c>
      <c r="E26" s="96">
        <v>3.0</v>
      </c>
      <c r="F26" s="96">
        <v>3.0</v>
      </c>
      <c r="G26" s="96">
        <v>0.0</v>
      </c>
      <c r="H26" s="96">
        <v>0.0</v>
      </c>
      <c r="I26" s="96">
        <v>0.0</v>
      </c>
      <c r="J26" s="779">
        <v>0.0</v>
      </c>
      <c r="K26" s="96">
        <v>3.0</v>
      </c>
      <c r="L26" s="702"/>
      <c r="M26" s="747"/>
      <c r="N26" s="778"/>
      <c r="O26" s="740"/>
      <c r="P26" s="747"/>
      <c r="Q26" s="747"/>
      <c r="R26" s="747"/>
      <c r="S26" s="747"/>
      <c r="T26" s="747"/>
      <c r="U26" s="747"/>
      <c r="V26" s="702"/>
      <c r="W26" s="702"/>
      <c r="X26" s="702"/>
      <c r="Y26" s="702"/>
      <c r="Z26" s="702"/>
      <c r="AA26" s="702"/>
      <c r="AB26" s="702"/>
      <c r="AC26" s="702"/>
    </row>
    <row r="27" ht="15.75" customHeight="1">
      <c r="A27" s="775" t="s">
        <v>1026</v>
      </c>
      <c r="B27" s="79" t="s">
        <v>1132</v>
      </c>
      <c r="C27" s="79" t="s">
        <v>1127</v>
      </c>
      <c r="D27" s="79" t="s">
        <v>84</v>
      </c>
      <c r="E27" s="79">
        <v>5.0</v>
      </c>
      <c r="F27" s="96">
        <v>6.0</v>
      </c>
      <c r="G27" s="79">
        <v>2.0</v>
      </c>
      <c r="H27" s="79">
        <v>2.0</v>
      </c>
      <c r="I27" s="79">
        <v>1.0</v>
      </c>
      <c r="J27" s="776">
        <v>1.0</v>
      </c>
      <c r="K27" s="79">
        <v>0.0</v>
      </c>
      <c r="L27" s="702"/>
      <c r="M27" s="747"/>
      <c r="N27" s="748"/>
      <c r="O27" s="748"/>
      <c r="P27" s="747"/>
      <c r="Q27" s="747"/>
      <c r="R27" s="747"/>
      <c r="S27" s="747"/>
      <c r="T27" s="747"/>
      <c r="U27" s="747"/>
      <c r="V27" s="702"/>
      <c r="W27" s="702"/>
      <c r="X27" s="702"/>
      <c r="Y27" s="702"/>
      <c r="Z27" s="37" t="s">
        <v>1135</v>
      </c>
      <c r="AA27" s="702"/>
      <c r="AB27" s="702"/>
      <c r="AC27" s="702"/>
    </row>
    <row r="28" ht="15.75" customHeight="1">
      <c r="A28" s="775" t="s">
        <v>1041</v>
      </c>
      <c r="B28" s="96">
        <v>6.0</v>
      </c>
      <c r="C28" s="96" t="s">
        <v>1136</v>
      </c>
      <c r="D28" s="96" t="s">
        <v>84</v>
      </c>
      <c r="E28" s="96">
        <v>2.0</v>
      </c>
      <c r="F28" s="96">
        <v>3.0</v>
      </c>
      <c r="G28" s="96">
        <v>0.0</v>
      </c>
      <c r="H28" s="96">
        <v>0.0</v>
      </c>
      <c r="I28" s="96">
        <v>1.0</v>
      </c>
      <c r="J28" s="779">
        <v>1.0</v>
      </c>
      <c r="K28" s="96">
        <v>1.0</v>
      </c>
      <c r="L28" s="702"/>
      <c r="M28" s="747"/>
      <c r="N28" s="747"/>
      <c r="O28" s="747"/>
      <c r="P28" s="747"/>
      <c r="Q28" s="747"/>
      <c r="R28" s="747"/>
      <c r="S28" s="747"/>
      <c r="T28" s="747"/>
      <c r="U28" s="747"/>
      <c r="V28" s="702"/>
      <c r="W28" s="702"/>
      <c r="X28" s="702"/>
      <c r="Y28" s="702"/>
      <c r="Z28" s="747"/>
      <c r="AA28" s="747"/>
      <c r="AB28" s="747"/>
      <c r="AC28" s="747"/>
    </row>
    <row r="29" ht="15.75" customHeight="1">
      <c r="A29" s="775" t="s">
        <v>1053</v>
      </c>
      <c r="B29" s="79" t="s">
        <v>1139</v>
      </c>
      <c r="C29" s="79" t="s">
        <v>157</v>
      </c>
      <c r="D29" s="79" t="s">
        <v>84</v>
      </c>
      <c r="E29" s="79">
        <v>3.0</v>
      </c>
      <c r="F29" s="96">
        <v>5.0</v>
      </c>
      <c r="G29" s="79">
        <v>1.0</v>
      </c>
      <c r="H29" s="79">
        <v>1.0</v>
      </c>
      <c r="I29" s="79">
        <v>1.0</v>
      </c>
      <c r="J29" s="776">
        <v>1.0</v>
      </c>
      <c r="K29" s="79">
        <v>1.0</v>
      </c>
      <c r="L29" s="702"/>
      <c r="M29" s="747"/>
      <c r="N29" s="747"/>
      <c r="O29" s="747"/>
      <c r="P29" s="747"/>
      <c r="Q29" s="747"/>
      <c r="R29" s="747"/>
      <c r="S29" s="747"/>
      <c r="T29" s="747"/>
      <c r="U29" s="747"/>
      <c r="V29" s="702"/>
      <c r="W29" s="702"/>
      <c r="X29" s="702"/>
      <c r="Y29" s="702"/>
      <c r="Z29" s="702"/>
      <c r="AA29" s="702"/>
      <c r="AB29" s="702"/>
      <c r="AC29" s="702"/>
    </row>
    <row r="30" ht="15.75" customHeight="1">
      <c r="A30" s="775" t="s">
        <v>1060</v>
      </c>
      <c r="B30" s="96">
        <v>6.0</v>
      </c>
      <c r="C30" s="96" t="s">
        <v>1136</v>
      </c>
      <c r="D30" s="96" t="s">
        <v>84</v>
      </c>
      <c r="E30" s="96">
        <v>2.0</v>
      </c>
      <c r="F30" s="96">
        <v>6.0</v>
      </c>
      <c r="G30" s="96">
        <v>2.0</v>
      </c>
      <c r="H30" s="96">
        <v>2.0</v>
      </c>
      <c r="I30" s="96">
        <v>0.0</v>
      </c>
      <c r="J30" s="779">
        <v>1.0</v>
      </c>
      <c r="K30" s="96">
        <v>1.0</v>
      </c>
      <c r="L30" s="702"/>
      <c r="M30" s="747"/>
      <c r="N30" s="747"/>
      <c r="O30" s="747"/>
      <c r="P30" s="747"/>
      <c r="Q30" s="747"/>
      <c r="R30" s="747"/>
      <c r="S30" s="747"/>
      <c r="T30" s="747"/>
      <c r="U30" s="747"/>
      <c r="V30" s="702"/>
      <c r="W30" s="702"/>
      <c r="X30" s="702"/>
      <c r="Y30" s="702"/>
      <c r="Z30" s="702"/>
      <c r="AA30" s="702"/>
      <c r="AB30" s="702"/>
      <c r="AC30" s="702"/>
    </row>
    <row r="31" ht="15.75" customHeight="1">
      <c r="A31" s="775" t="s">
        <v>1070</v>
      </c>
      <c r="B31" s="79">
        <v>3.0</v>
      </c>
      <c r="C31" s="79" t="s">
        <v>1141</v>
      </c>
      <c r="D31" s="79" t="s">
        <v>84</v>
      </c>
      <c r="E31" s="79">
        <v>2.0</v>
      </c>
      <c r="F31" s="96">
        <v>7.0</v>
      </c>
      <c r="G31" s="79">
        <v>2.0</v>
      </c>
      <c r="H31" s="79">
        <v>2.0</v>
      </c>
      <c r="I31" s="79">
        <v>0.0</v>
      </c>
      <c r="J31" s="776">
        <v>0.0</v>
      </c>
      <c r="K31" s="79">
        <v>3.0</v>
      </c>
      <c r="L31" s="702"/>
      <c r="M31" s="747"/>
      <c r="N31" s="747"/>
      <c r="O31" s="747"/>
      <c r="P31" s="747"/>
      <c r="Q31" s="747"/>
      <c r="R31" s="747"/>
      <c r="S31" s="747"/>
      <c r="T31" s="747"/>
      <c r="U31" s="747"/>
      <c r="V31" s="702"/>
      <c r="W31" s="702"/>
      <c r="X31" s="702"/>
      <c r="Y31" s="702"/>
      <c r="Z31" s="702"/>
      <c r="AA31" s="702"/>
      <c r="AB31" s="702"/>
      <c r="AC31" s="702"/>
    </row>
    <row r="32" ht="15.75" customHeight="1">
      <c r="A32" s="788" t="s">
        <v>70</v>
      </c>
      <c r="B32" s="96" t="s">
        <v>1143</v>
      </c>
      <c r="C32" s="96" t="s">
        <v>98</v>
      </c>
      <c r="D32" s="96" t="s">
        <v>84</v>
      </c>
      <c r="E32" s="96">
        <v>0.0</v>
      </c>
      <c r="F32" s="96">
        <v>5.0</v>
      </c>
      <c r="G32" s="96">
        <v>0.0</v>
      </c>
      <c r="H32" s="96">
        <v>0.0</v>
      </c>
      <c r="I32" s="96">
        <v>0.0</v>
      </c>
      <c r="J32" s="779">
        <v>1.0</v>
      </c>
      <c r="K32" s="96">
        <v>4.0</v>
      </c>
      <c r="L32" s="702"/>
      <c r="M32" s="747"/>
      <c r="N32" s="747"/>
      <c r="O32" s="747"/>
      <c r="P32" s="747"/>
      <c r="Q32" s="747"/>
      <c r="R32" s="747"/>
      <c r="S32" s="747"/>
      <c r="T32" s="747"/>
      <c r="U32" s="747"/>
      <c r="V32" s="702"/>
      <c r="W32" s="702"/>
      <c r="X32" s="702"/>
      <c r="Y32" s="702"/>
      <c r="Z32" s="702"/>
      <c r="AA32" s="702"/>
      <c r="AB32" s="702"/>
      <c r="AC32" s="702"/>
    </row>
    <row r="33" ht="15.75" customHeight="1">
      <c r="A33" s="775" t="s">
        <v>1081</v>
      </c>
      <c r="B33" s="79" t="s">
        <v>157</v>
      </c>
      <c r="C33" s="79">
        <v>4.0</v>
      </c>
      <c r="D33" s="79" t="s">
        <v>84</v>
      </c>
      <c r="E33" s="79">
        <v>1.0</v>
      </c>
      <c r="F33" s="96">
        <v>0.0</v>
      </c>
      <c r="G33" s="79" t="s">
        <v>58</v>
      </c>
      <c r="H33" s="79" t="s">
        <v>58</v>
      </c>
      <c r="I33" s="79" t="s">
        <v>58</v>
      </c>
      <c r="J33" s="776" t="s">
        <v>58</v>
      </c>
      <c r="K33" s="79" t="s">
        <v>58</v>
      </c>
      <c r="L33" s="702"/>
      <c r="M33" s="747"/>
      <c r="N33" s="747"/>
      <c r="O33" s="747"/>
      <c r="P33" s="747"/>
      <c r="Q33" s="747"/>
      <c r="R33" s="747"/>
      <c r="S33" s="747"/>
      <c r="T33" s="747"/>
      <c r="U33" s="747"/>
      <c r="V33" s="702"/>
      <c r="W33" s="702"/>
      <c r="X33" s="702"/>
      <c r="Y33" s="702"/>
      <c r="Z33" s="702"/>
      <c r="AA33" s="702"/>
      <c r="AB33" s="702"/>
      <c r="AC33" s="702"/>
    </row>
    <row r="34" ht="15.75" customHeight="1">
      <c r="A34" s="789"/>
      <c r="B34" s="716"/>
      <c r="C34" s="716"/>
      <c r="D34" s="716"/>
      <c r="E34" s="716"/>
      <c r="F34" s="740"/>
      <c r="G34" s="716"/>
      <c r="H34" s="716"/>
      <c r="I34" s="716"/>
      <c r="J34" s="716"/>
      <c r="K34" s="716"/>
      <c r="L34" s="675"/>
      <c r="M34" s="747"/>
      <c r="N34" s="747"/>
      <c r="O34" s="747"/>
      <c r="P34" s="747"/>
      <c r="Q34" s="747"/>
      <c r="R34" s="790"/>
      <c r="S34" s="747"/>
      <c r="T34" s="747"/>
      <c r="U34" s="747"/>
      <c r="V34" s="702"/>
      <c r="W34" s="702"/>
      <c r="X34" s="702"/>
      <c r="Y34" s="702"/>
      <c r="Z34" s="702"/>
      <c r="AA34" s="702"/>
      <c r="AB34" s="702"/>
      <c r="AC34" s="702"/>
    </row>
    <row r="35" ht="15.75" customHeight="1">
      <c r="A35" s="747"/>
      <c r="B35" s="793"/>
      <c r="C35" s="793"/>
      <c r="D35" s="793"/>
      <c r="E35" s="793"/>
      <c r="F35" s="793"/>
      <c r="G35" s="793"/>
      <c r="H35" s="793"/>
      <c r="I35" s="793"/>
      <c r="J35" s="793"/>
      <c r="K35" s="795"/>
      <c r="L35" s="797"/>
      <c r="M35" s="747"/>
      <c r="N35" s="747"/>
      <c r="O35" s="747"/>
      <c r="P35" s="747"/>
      <c r="Q35" s="747"/>
      <c r="R35" s="747"/>
      <c r="S35" s="747"/>
      <c r="T35" s="747"/>
      <c r="U35" s="747"/>
      <c r="V35" s="702"/>
      <c r="W35" s="702"/>
      <c r="X35" s="702"/>
      <c r="Y35" s="702"/>
      <c r="Z35" s="702"/>
      <c r="AA35" s="702"/>
      <c r="AB35" s="702"/>
      <c r="AC35" s="702"/>
    </row>
    <row r="36" ht="15.75" customHeight="1">
      <c r="A36" s="800"/>
      <c r="B36" s="801"/>
      <c r="C36" s="801"/>
      <c r="D36" s="801"/>
      <c r="E36" s="801"/>
      <c r="F36" s="801"/>
      <c r="G36" s="793"/>
      <c r="H36" s="793"/>
      <c r="I36" s="793"/>
      <c r="J36" s="793"/>
      <c r="K36" s="795"/>
      <c r="L36" s="797"/>
      <c r="M36" s="747"/>
      <c r="N36" s="747"/>
      <c r="O36" s="747"/>
      <c r="P36" s="802"/>
      <c r="Q36" s="802"/>
      <c r="R36" s="802"/>
      <c r="S36" s="802"/>
      <c r="T36" s="802"/>
      <c r="U36" s="802"/>
      <c r="V36" s="802"/>
      <c r="W36" s="702"/>
      <c r="X36" s="702"/>
      <c r="Y36" s="702"/>
      <c r="Z36" s="702"/>
      <c r="AA36" s="702"/>
      <c r="AB36" s="702"/>
      <c r="AC36" s="702"/>
    </row>
    <row r="37" ht="15.75" customHeight="1">
      <c r="A37" s="803" t="s">
        <v>1147</v>
      </c>
      <c r="B37" s="803" t="s">
        <v>199</v>
      </c>
      <c r="C37" s="803" t="s">
        <v>200</v>
      </c>
      <c r="D37" s="803" t="s">
        <v>201</v>
      </c>
      <c r="E37" s="803" t="s">
        <v>202</v>
      </c>
      <c r="F37" s="803" t="s">
        <v>203</v>
      </c>
      <c r="G37" s="804" t="s">
        <v>204</v>
      </c>
      <c r="H37" s="804" t="s">
        <v>205</v>
      </c>
      <c r="I37" s="804" t="s">
        <v>206</v>
      </c>
      <c r="J37" s="804" t="s">
        <v>207</v>
      </c>
      <c r="K37" s="795"/>
      <c r="L37" s="805"/>
      <c r="M37" s="805"/>
      <c r="N37" s="805"/>
      <c r="O37" s="805"/>
      <c r="P37" s="808"/>
      <c r="Q37" s="808"/>
      <c r="R37" s="808"/>
      <c r="S37" s="808"/>
      <c r="T37" s="809"/>
      <c r="U37" s="809"/>
      <c r="V37" s="809"/>
      <c r="W37" s="702"/>
      <c r="X37" s="702"/>
      <c r="Y37" s="702"/>
      <c r="Z37" s="702"/>
      <c r="AA37" s="702"/>
      <c r="AB37" s="702"/>
      <c r="AC37" s="702"/>
    </row>
    <row r="38" ht="15.75" customHeight="1">
      <c r="A38" s="819" t="s">
        <v>208</v>
      </c>
      <c r="B38" s="819" t="s">
        <v>210</v>
      </c>
      <c r="C38" s="819" t="s">
        <v>212</v>
      </c>
      <c r="D38" s="819" t="s">
        <v>213</v>
      </c>
      <c r="E38" s="819" t="s">
        <v>214</v>
      </c>
      <c r="F38" s="819" t="s">
        <v>215</v>
      </c>
      <c r="G38" s="822" t="s">
        <v>216</v>
      </c>
      <c r="H38" s="822" t="s">
        <v>217</v>
      </c>
      <c r="I38" s="822" t="s">
        <v>218</v>
      </c>
      <c r="J38" s="822" t="s">
        <v>219</v>
      </c>
      <c r="K38" s="795"/>
      <c r="L38" s="823"/>
      <c r="M38" s="823"/>
      <c r="N38" s="808"/>
      <c r="O38" s="808"/>
      <c r="P38" s="808"/>
      <c r="Q38" s="808"/>
      <c r="R38" s="808"/>
      <c r="S38" s="808"/>
      <c r="T38" s="809"/>
      <c r="U38" s="809"/>
      <c r="V38" s="809"/>
      <c r="W38" s="702"/>
      <c r="X38" s="702"/>
      <c r="Y38" s="702"/>
      <c r="Z38" s="702"/>
      <c r="AA38" s="702"/>
      <c r="AB38" s="702"/>
      <c r="AC38" s="702"/>
    </row>
    <row r="39" ht="15.75" customHeight="1">
      <c r="A39" s="831" t="s">
        <v>220</v>
      </c>
      <c r="B39" s="833">
        <v>2.0</v>
      </c>
      <c r="C39" s="831" t="s">
        <v>221</v>
      </c>
      <c r="D39" s="831" t="s">
        <v>222</v>
      </c>
      <c r="E39" s="831" t="s">
        <v>1159</v>
      </c>
      <c r="F39" s="836" t="s">
        <v>1160</v>
      </c>
      <c r="G39" s="838" t="s">
        <v>1161</v>
      </c>
      <c r="H39" s="838" t="s">
        <v>1163</v>
      </c>
      <c r="I39" s="839" t="s">
        <v>1165</v>
      </c>
      <c r="J39" s="839" t="s">
        <v>1166</v>
      </c>
      <c r="K39" s="795"/>
      <c r="L39" s="748"/>
      <c r="M39" s="748"/>
      <c r="N39" s="748"/>
      <c r="O39" s="748"/>
      <c r="P39" s="809"/>
      <c r="Q39" s="809"/>
      <c r="R39" s="842"/>
      <c r="S39" s="842"/>
      <c r="T39" s="809"/>
      <c r="U39" s="809"/>
      <c r="V39" s="809"/>
      <c r="W39" s="702"/>
      <c r="X39" s="702"/>
      <c r="Y39" s="702"/>
      <c r="Z39" s="702"/>
      <c r="AA39" s="702"/>
      <c r="AB39" s="702"/>
      <c r="AC39" s="702"/>
    </row>
    <row r="40" ht="61.5" customHeight="1">
      <c r="A40" s="843" t="s">
        <v>231</v>
      </c>
      <c r="B40" s="844"/>
      <c r="C40" s="844"/>
      <c r="D40" s="844"/>
      <c r="E40" s="844"/>
      <c r="F40" s="844"/>
      <c r="G40" s="844"/>
      <c r="H40" s="844"/>
      <c r="I40" s="845"/>
      <c r="J40" s="846"/>
      <c r="K40" s="795"/>
      <c r="L40" s="702"/>
      <c r="M40" s="702"/>
      <c r="N40" s="702"/>
      <c r="O40" s="702"/>
      <c r="P40" s="809"/>
      <c r="Q40" s="809"/>
      <c r="R40" s="809"/>
      <c r="S40" s="809"/>
      <c r="T40" s="809"/>
      <c r="U40" s="809"/>
      <c r="V40" s="809"/>
      <c r="W40" s="702"/>
      <c r="X40" s="702"/>
      <c r="Y40" s="702"/>
      <c r="Z40" s="702"/>
      <c r="AA40" s="702"/>
      <c r="AB40" s="702"/>
      <c r="AC40" s="702"/>
    </row>
    <row r="41" ht="15.75" customHeight="1">
      <c r="A41" s="847" t="s">
        <v>208</v>
      </c>
      <c r="B41" s="847" t="s">
        <v>210</v>
      </c>
      <c r="C41" s="847" t="s">
        <v>212</v>
      </c>
      <c r="D41" s="847" t="s">
        <v>248</v>
      </c>
      <c r="E41" s="847" t="s">
        <v>249</v>
      </c>
      <c r="F41" s="848"/>
      <c r="G41" s="849" t="s">
        <v>216</v>
      </c>
      <c r="H41" s="849" t="s">
        <v>217</v>
      </c>
      <c r="I41" s="850" t="s">
        <v>218</v>
      </c>
      <c r="J41" s="849" t="s">
        <v>219</v>
      </c>
      <c r="K41" s="795"/>
      <c r="L41" s="851"/>
      <c r="M41" s="851"/>
      <c r="N41" s="851"/>
      <c r="O41" s="851"/>
      <c r="P41" s="808"/>
      <c r="Q41" s="808"/>
      <c r="R41" s="808"/>
      <c r="S41" s="809"/>
      <c r="T41" s="809"/>
      <c r="U41" s="809"/>
      <c r="V41" s="809"/>
      <c r="W41" s="702"/>
      <c r="X41" s="702"/>
      <c r="Y41" s="702"/>
      <c r="Z41" s="702"/>
      <c r="AA41" s="702"/>
      <c r="AB41" s="702"/>
      <c r="AC41" s="702"/>
    </row>
    <row r="42" ht="15.75" customHeight="1">
      <c r="A42" s="852" t="s">
        <v>1170</v>
      </c>
      <c r="B42" s="853">
        <v>1.0</v>
      </c>
      <c r="C42" s="854" t="s">
        <v>259</v>
      </c>
      <c r="D42" s="854" t="s">
        <v>1171</v>
      </c>
      <c r="E42" s="854" t="s">
        <v>1172</v>
      </c>
      <c r="F42" s="855"/>
      <c r="G42" s="856" t="s">
        <v>1173</v>
      </c>
      <c r="H42" s="838" t="s">
        <v>1175</v>
      </c>
      <c r="I42" s="839" t="s">
        <v>1176</v>
      </c>
      <c r="J42" s="839" t="s">
        <v>1176</v>
      </c>
      <c r="K42" s="795"/>
      <c r="L42" s="748"/>
      <c r="M42" s="748"/>
      <c r="N42" s="748"/>
      <c r="O42" s="748"/>
      <c r="P42" s="748"/>
      <c r="Q42" s="808"/>
      <c r="R42" s="808"/>
      <c r="S42" s="809"/>
      <c r="T42" s="809"/>
      <c r="U42" s="809"/>
      <c r="V42" s="809"/>
      <c r="W42" s="702"/>
      <c r="X42" s="702"/>
      <c r="Y42" s="702"/>
      <c r="Z42" s="702"/>
      <c r="AA42" s="702"/>
      <c r="AB42" s="702"/>
      <c r="AC42" s="702"/>
    </row>
    <row r="43" ht="15.75" customHeight="1">
      <c r="A43" s="857" t="s">
        <v>1177</v>
      </c>
      <c r="B43" s="858">
        <v>2.0</v>
      </c>
      <c r="C43" s="859" t="s">
        <v>221</v>
      </c>
      <c r="D43" s="859" t="s">
        <v>1178</v>
      </c>
      <c r="E43" s="859" t="s">
        <v>1179</v>
      </c>
      <c r="F43" s="855"/>
      <c r="G43" s="838" t="s">
        <v>1180</v>
      </c>
      <c r="H43" s="838" t="s">
        <v>1181</v>
      </c>
      <c r="I43" s="860" t="s">
        <v>1182</v>
      </c>
      <c r="J43" s="839" t="s">
        <v>1183</v>
      </c>
      <c r="K43" s="795"/>
      <c r="L43" s="851"/>
      <c r="M43" s="851"/>
      <c r="N43" s="851"/>
      <c r="O43" s="851"/>
      <c r="P43" s="851"/>
      <c r="Q43" s="861"/>
      <c r="R43" s="861"/>
      <c r="S43" s="808"/>
      <c r="T43" s="809"/>
      <c r="U43" s="809"/>
      <c r="V43" s="809"/>
      <c r="W43" s="702"/>
      <c r="X43" s="702"/>
      <c r="Y43" s="702"/>
      <c r="Z43" s="702"/>
      <c r="AA43" s="702"/>
      <c r="AB43" s="702"/>
      <c r="AC43" s="702"/>
    </row>
    <row r="44" ht="15.75" customHeight="1">
      <c r="A44" s="852" t="s">
        <v>286</v>
      </c>
      <c r="B44" s="862">
        <v>1.0</v>
      </c>
      <c r="C44" s="854" t="s">
        <v>259</v>
      </c>
      <c r="D44" s="854" t="s">
        <v>289</v>
      </c>
      <c r="E44" s="854" t="s">
        <v>1184</v>
      </c>
      <c r="F44" s="854" t="s">
        <v>288</v>
      </c>
      <c r="G44" s="838" t="s">
        <v>1185</v>
      </c>
      <c r="H44" s="838" t="s">
        <v>1186</v>
      </c>
      <c r="I44" s="863" t="s">
        <v>1187</v>
      </c>
      <c r="J44" s="839" t="s">
        <v>1187</v>
      </c>
      <c r="K44" s="795"/>
      <c r="L44" s="748"/>
      <c r="M44" s="748"/>
      <c r="N44" s="748"/>
      <c r="O44" s="748"/>
      <c r="P44" s="748"/>
      <c r="Q44" s="864"/>
      <c r="R44" s="864"/>
      <c r="S44" s="748"/>
      <c r="T44" s="809"/>
      <c r="U44" s="809"/>
      <c r="V44" s="809"/>
      <c r="W44" s="702"/>
      <c r="X44" s="702"/>
      <c r="Y44" s="702"/>
      <c r="Z44" s="702"/>
      <c r="AA44" s="702"/>
      <c r="AB44" s="702"/>
      <c r="AC44" s="702"/>
    </row>
    <row r="45" ht="15.75" customHeight="1">
      <c r="A45" s="857" t="s">
        <v>242</v>
      </c>
      <c r="B45" s="858">
        <v>4.0</v>
      </c>
      <c r="C45" s="859" t="s">
        <v>221</v>
      </c>
      <c r="D45" s="859" t="s">
        <v>418</v>
      </c>
      <c r="E45" s="859" t="s">
        <v>1190</v>
      </c>
      <c r="F45" s="867"/>
      <c r="G45" s="838" t="s">
        <v>1191</v>
      </c>
      <c r="H45" s="838" t="s">
        <v>1192</v>
      </c>
      <c r="I45" s="860" t="s">
        <v>1193</v>
      </c>
      <c r="J45" s="839" t="s">
        <v>1183</v>
      </c>
      <c r="K45" s="795"/>
      <c r="L45" s="702"/>
      <c r="M45" s="702"/>
      <c r="N45" s="702"/>
      <c r="O45" s="702"/>
      <c r="P45" s="702"/>
      <c r="Q45" s="851"/>
      <c r="R45" s="851"/>
      <c r="S45" s="802"/>
      <c r="T45" s="809"/>
      <c r="U45" s="809"/>
      <c r="V45" s="809"/>
      <c r="W45" s="702"/>
      <c r="X45" s="702"/>
      <c r="Y45" s="702"/>
      <c r="Z45" s="702"/>
      <c r="AA45" s="702"/>
      <c r="AB45" s="702"/>
      <c r="AC45" s="702"/>
    </row>
    <row r="46" ht="15.75" customHeight="1">
      <c r="A46" s="852" t="s">
        <v>332</v>
      </c>
      <c r="B46" s="853">
        <v>1.0</v>
      </c>
      <c r="C46" s="854" t="s">
        <v>259</v>
      </c>
      <c r="D46" s="854" t="s">
        <v>1196</v>
      </c>
      <c r="E46" s="854" t="s">
        <v>1197</v>
      </c>
      <c r="F46" s="855"/>
      <c r="G46" s="838" t="s">
        <v>1199</v>
      </c>
      <c r="H46" s="871"/>
      <c r="I46" s="872" t="s">
        <v>1200</v>
      </c>
      <c r="J46" s="839" t="s">
        <v>1200</v>
      </c>
      <c r="K46" s="795"/>
      <c r="L46" s="702"/>
      <c r="M46" s="702"/>
      <c r="N46" s="702"/>
      <c r="O46" s="702"/>
      <c r="P46" s="702"/>
      <c r="Q46" s="861"/>
      <c r="R46" s="861"/>
      <c r="S46" s="809"/>
      <c r="T46" s="809"/>
      <c r="U46" s="809"/>
      <c r="V46" s="809"/>
      <c r="W46" s="702"/>
      <c r="X46" s="702"/>
      <c r="Y46" s="702"/>
      <c r="Z46" s="702"/>
      <c r="AA46" s="702"/>
      <c r="AB46" s="702"/>
      <c r="AC46" s="702"/>
    </row>
    <row r="47" ht="15.75" customHeight="1">
      <c r="A47" s="857" t="s">
        <v>344</v>
      </c>
      <c r="B47" s="858">
        <v>1.0</v>
      </c>
      <c r="C47" s="859" t="s">
        <v>259</v>
      </c>
      <c r="D47" s="859" t="s">
        <v>1201</v>
      </c>
      <c r="E47" s="859" t="s">
        <v>1202</v>
      </c>
      <c r="F47" s="855"/>
      <c r="G47" s="838" t="s">
        <v>1203</v>
      </c>
      <c r="H47" s="838" t="s">
        <v>1204</v>
      </c>
      <c r="I47" s="860" t="s">
        <v>1205</v>
      </c>
      <c r="J47" s="839" t="s">
        <v>1205</v>
      </c>
      <c r="K47" s="795"/>
      <c r="L47" s="702"/>
      <c r="M47" s="702"/>
      <c r="N47" s="702"/>
      <c r="O47" s="702"/>
      <c r="P47" s="702"/>
      <c r="Q47" s="861"/>
      <c r="R47" s="861"/>
      <c r="S47" s="809"/>
      <c r="T47" s="809"/>
      <c r="U47" s="809"/>
      <c r="V47" s="809"/>
      <c r="W47" s="702"/>
      <c r="X47" s="702"/>
      <c r="Y47" s="702"/>
      <c r="Z47" s="702"/>
      <c r="AA47" s="702"/>
      <c r="AB47" s="702"/>
      <c r="AC47" s="702"/>
    </row>
    <row r="48" ht="15.75" customHeight="1">
      <c r="A48" s="873" t="s">
        <v>361</v>
      </c>
      <c r="B48" s="874"/>
      <c r="C48" s="874"/>
      <c r="D48" s="874"/>
      <c r="E48" s="874"/>
      <c r="F48" s="875"/>
      <c r="G48" s="874"/>
      <c r="H48" s="874"/>
      <c r="I48" s="877"/>
      <c r="J48" s="875"/>
      <c r="K48" s="795"/>
      <c r="L48" s="878"/>
      <c r="M48" s="702"/>
      <c r="N48" s="702"/>
      <c r="O48" s="702"/>
      <c r="P48" s="802"/>
      <c r="Q48" s="842"/>
      <c r="R48" s="842"/>
      <c r="S48" s="809"/>
      <c r="T48" s="809"/>
      <c r="U48" s="809"/>
      <c r="V48" s="809"/>
      <c r="W48" s="702"/>
      <c r="X48" s="702"/>
      <c r="Y48" s="702"/>
      <c r="Z48" s="702"/>
      <c r="AA48" s="702"/>
      <c r="AB48" s="702"/>
      <c r="AC48" s="702"/>
    </row>
    <row r="49" ht="15.75" customHeight="1">
      <c r="A49" s="879" t="s">
        <v>208</v>
      </c>
      <c r="B49" s="879" t="s">
        <v>210</v>
      </c>
      <c r="C49" s="879" t="s">
        <v>212</v>
      </c>
      <c r="D49" s="879" t="s">
        <v>248</v>
      </c>
      <c r="E49" s="879" t="s">
        <v>249</v>
      </c>
      <c r="F49" s="880"/>
      <c r="G49" s="881" t="s">
        <v>216</v>
      </c>
      <c r="H49" s="881" t="s">
        <v>217</v>
      </c>
      <c r="I49" s="882" t="s">
        <v>218</v>
      </c>
      <c r="J49" s="881" t="s">
        <v>219</v>
      </c>
      <c r="K49" s="795"/>
      <c r="L49" s="797"/>
      <c r="M49" s="747"/>
      <c r="N49" s="747"/>
      <c r="O49" s="747"/>
      <c r="P49" s="809"/>
      <c r="Q49" s="809"/>
      <c r="R49" s="809"/>
      <c r="S49" s="809"/>
      <c r="T49" s="809"/>
      <c r="U49" s="809"/>
      <c r="V49" s="809"/>
      <c r="W49" s="702"/>
      <c r="X49" s="702"/>
      <c r="Y49" s="702"/>
      <c r="Z49" s="702"/>
      <c r="AA49" s="702"/>
      <c r="AB49" s="702"/>
      <c r="AC49" s="702"/>
    </row>
    <row r="50" ht="15.75" customHeight="1">
      <c r="A50" s="884" t="s">
        <v>378</v>
      </c>
      <c r="B50" s="839">
        <v>38.0</v>
      </c>
      <c r="C50" s="884" t="s">
        <v>221</v>
      </c>
      <c r="D50" s="884" t="s">
        <v>379</v>
      </c>
      <c r="E50" s="884" t="s">
        <v>380</v>
      </c>
      <c r="F50" s="885" t="s">
        <v>1209</v>
      </c>
      <c r="G50" s="838" t="s">
        <v>1210</v>
      </c>
      <c r="H50" s="838" t="s">
        <v>1211</v>
      </c>
      <c r="I50" s="839" t="s">
        <v>1212</v>
      </c>
      <c r="J50" s="839" t="s">
        <v>1213</v>
      </c>
      <c r="K50" s="795"/>
      <c r="L50" s="797"/>
      <c r="M50" s="747"/>
      <c r="N50" s="747"/>
      <c r="O50" s="747"/>
      <c r="P50" s="809"/>
      <c r="Q50" s="809"/>
      <c r="R50" s="809"/>
      <c r="S50" s="809"/>
      <c r="T50" s="809"/>
      <c r="U50" s="809"/>
      <c r="V50" s="809"/>
      <c r="W50" s="702"/>
      <c r="X50" s="702"/>
      <c r="Y50" s="702"/>
      <c r="Z50" s="702"/>
      <c r="AA50" s="702"/>
      <c r="AB50" s="702"/>
      <c r="AC50" s="702"/>
    </row>
    <row r="51" ht="42.0" customHeight="1">
      <c r="A51" s="886" t="s">
        <v>381</v>
      </c>
      <c r="B51" s="833">
        <v>3.0</v>
      </c>
      <c r="C51" s="886" t="s">
        <v>221</v>
      </c>
      <c r="D51" s="886" t="s">
        <v>383</v>
      </c>
      <c r="E51" s="886" t="s">
        <v>1214</v>
      </c>
      <c r="F51" s="887" t="s">
        <v>1215</v>
      </c>
      <c r="G51" s="838" t="s">
        <v>1216</v>
      </c>
      <c r="H51" s="838" t="s">
        <v>1217</v>
      </c>
      <c r="I51" s="872" t="s">
        <v>1218</v>
      </c>
      <c r="J51" s="839" t="s">
        <v>1219</v>
      </c>
      <c r="K51" s="795"/>
      <c r="L51" s="797"/>
      <c r="M51" s="747"/>
      <c r="N51" s="747"/>
      <c r="O51" s="747"/>
      <c r="P51" s="809"/>
      <c r="Q51" s="809"/>
      <c r="R51" s="809"/>
      <c r="S51" s="809"/>
      <c r="T51" s="809"/>
      <c r="U51" s="809"/>
      <c r="V51" s="809"/>
      <c r="W51" s="702"/>
      <c r="X51" s="702"/>
      <c r="Y51" s="702"/>
      <c r="Z51" s="702"/>
      <c r="AA51" s="702"/>
      <c r="AB51" s="702"/>
      <c r="AC51" s="702"/>
    </row>
    <row r="52" ht="75.0" customHeight="1">
      <c r="A52" s="871"/>
      <c r="B52" s="871"/>
      <c r="C52" s="871"/>
      <c r="D52" s="871"/>
      <c r="E52" s="871"/>
      <c r="F52" s="889"/>
      <c r="G52" s="871"/>
      <c r="H52" s="871"/>
      <c r="I52" s="890" t="s">
        <v>411</v>
      </c>
      <c r="J52" s="891" t="s">
        <v>1220</v>
      </c>
      <c r="K52" s="795"/>
      <c r="L52" s="797"/>
      <c r="M52" s="747"/>
      <c r="N52" s="747"/>
      <c r="O52" s="747"/>
      <c r="P52" s="809"/>
      <c r="Q52" s="748"/>
      <c r="R52" s="748"/>
      <c r="S52" s="748"/>
      <c r="T52" s="748"/>
      <c r="U52" s="748"/>
      <c r="V52" s="748"/>
      <c r="W52" s="702"/>
      <c r="X52" s="702"/>
      <c r="Y52" s="702"/>
      <c r="Z52" s="702"/>
      <c r="AA52" s="702"/>
      <c r="AB52" s="702"/>
      <c r="AC52" s="702"/>
    </row>
    <row r="53" ht="15.75" customHeight="1">
      <c r="A53" s="871"/>
      <c r="B53" s="871"/>
      <c r="C53" s="871"/>
      <c r="D53" s="871"/>
      <c r="E53" s="871"/>
      <c r="F53" s="871"/>
      <c r="G53" s="871"/>
      <c r="H53" s="871"/>
      <c r="I53" s="867"/>
      <c r="J53" s="855"/>
      <c r="K53" s="795"/>
      <c r="L53" s="797"/>
      <c r="M53" s="747"/>
      <c r="N53" s="747"/>
      <c r="O53" s="747"/>
      <c r="P53" s="748"/>
      <c r="Q53" s="893" t="s">
        <v>1222</v>
      </c>
      <c r="U53" s="895" t="s">
        <v>1223</v>
      </c>
      <c r="V53" s="759"/>
      <c r="W53" s="759"/>
      <c r="X53" s="702"/>
      <c r="Y53" s="702"/>
      <c r="Z53" s="702"/>
      <c r="AA53" s="702"/>
      <c r="AB53" s="702"/>
      <c r="AC53" s="702"/>
    </row>
    <row r="54" ht="15.75" customHeight="1">
      <c r="A54" s="896" t="s">
        <v>68</v>
      </c>
      <c r="B54" s="896" t="s">
        <v>106</v>
      </c>
      <c r="C54" s="897" t="s">
        <v>108</v>
      </c>
      <c r="D54" s="896" t="s">
        <v>107</v>
      </c>
      <c r="E54" s="896" t="s">
        <v>109</v>
      </c>
      <c r="F54" s="896" t="s">
        <v>110</v>
      </c>
      <c r="G54" s="896" t="s">
        <v>111</v>
      </c>
      <c r="H54" s="896" t="s">
        <v>112</v>
      </c>
      <c r="I54" s="896" t="s">
        <v>113</v>
      </c>
      <c r="J54" s="896" t="s">
        <v>114</v>
      </c>
      <c r="K54" s="896" t="s">
        <v>115</v>
      </c>
      <c r="L54" s="896" t="s">
        <v>116</v>
      </c>
      <c r="M54" s="896" t="s">
        <v>117</v>
      </c>
      <c r="N54" s="899" t="s">
        <v>118</v>
      </c>
      <c r="O54" s="896" t="s">
        <v>119</v>
      </c>
      <c r="P54" s="899" t="s">
        <v>120</v>
      </c>
      <c r="Q54" s="899" t="s">
        <v>121</v>
      </c>
      <c r="R54" s="896" t="s">
        <v>122</v>
      </c>
      <c r="S54" s="896" t="s">
        <v>123</v>
      </c>
      <c r="T54" s="900" t="s">
        <v>124</v>
      </c>
      <c r="U54" s="899" t="s">
        <v>1226</v>
      </c>
      <c r="V54" s="899" t="s">
        <v>1227</v>
      </c>
      <c r="W54" s="899" t="s">
        <v>1228</v>
      </c>
      <c r="X54" s="748"/>
      <c r="Y54" s="702"/>
      <c r="Z54" s="702"/>
      <c r="AA54" s="702"/>
      <c r="AB54" s="702"/>
      <c r="AC54" s="702"/>
    </row>
    <row r="55" ht="15.75" customHeight="1">
      <c r="A55" s="901" t="s">
        <v>1229</v>
      </c>
      <c r="B55" s="902">
        <v>38.0</v>
      </c>
      <c r="C55" s="903">
        <v>38.0</v>
      </c>
      <c r="D55" s="902">
        <v>24.0</v>
      </c>
      <c r="E55" s="902">
        <v>4.0</v>
      </c>
      <c r="F55" s="902">
        <v>6.0</v>
      </c>
      <c r="G55" s="902">
        <v>4.0</v>
      </c>
      <c r="H55" s="902">
        <v>24.0</v>
      </c>
      <c r="I55" s="902">
        <v>5.0</v>
      </c>
      <c r="J55" s="902">
        <v>1.0</v>
      </c>
      <c r="K55" s="902">
        <v>72.0</v>
      </c>
      <c r="L55" s="902">
        <v>28.0</v>
      </c>
      <c r="M55" s="902">
        <v>11.0</v>
      </c>
      <c r="N55" s="902" t="s">
        <v>1231</v>
      </c>
      <c r="O55" s="902">
        <v>8.0</v>
      </c>
      <c r="P55" s="902" t="s">
        <v>1232</v>
      </c>
      <c r="Q55" s="902">
        <v>8.0</v>
      </c>
      <c r="R55" s="902">
        <v>7.0</v>
      </c>
      <c r="S55" s="902">
        <v>1.0</v>
      </c>
      <c r="T55" s="218">
        <v>3.0</v>
      </c>
      <c r="U55" s="218">
        <v>3.0</v>
      </c>
      <c r="V55" s="218">
        <v>2.0</v>
      </c>
      <c r="W55" s="218">
        <v>2.0</v>
      </c>
      <c r="X55" s="748"/>
      <c r="Y55" s="702"/>
      <c r="Z55" s="702"/>
      <c r="AA55" s="702"/>
      <c r="AB55" s="702"/>
      <c r="AC55" s="702"/>
    </row>
    <row r="56" ht="15.75" customHeight="1">
      <c r="A56" s="775" t="s">
        <v>1011</v>
      </c>
      <c r="B56" s="79">
        <v>3.0</v>
      </c>
      <c r="C56" s="24"/>
      <c r="D56" s="905">
        <v>3.0</v>
      </c>
      <c r="E56" s="905">
        <v>0.0</v>
      </c>
      <c r="F56" s="905">
        <v>0.0</v>
      </c>
      <c r="G56" s="905">
        <v>0.0</v>
      </c>
      <c r="H56" s="905">
        <v>3.0</v>
      </c>
      <c r="I56" s="905">
        <v>0.0</v>
      </c>
      <c r="J56" s="905">
        <v>0.0</v>
      </c>
      <c r="K56" s="905">
        <v>6.0</v>
      </c>
      <c r="L56" s="905">
        <v>3.0</v>
      </c>
      <c r="M56" s="905">
        <v>0.0</v>
      </c>
      <c r="N56" s="905">
        <v>0.0</v>
      </c>
      <c r="O56" s="905">
        <v>0.0</v>
      </c>
      <c r="P56" s="905">
        <v>0.0</v>
      </c>
      <c r="Q56" s="905">
        <v>0.0</v>
      </c>
      <c r="R56" s="905">
        <v>0.0</v>
      </c>
      <c r="S56" s="905">
        <v>0.0</v>
      </c>
      <c r="T56" s="79">
        <v>0.0</v>
      </c>
      <c r="U56" s="96">
        <v>0.0</v>
      </c>
      <c r="V56" s="96">
        <v>0.0</v>
      </c>
      <c r="W56" s="96">
        <v>0.0</v>
      </c>
      <c r="X56" s="747"/>
      <c r="Y56" s="702"/>
      <c r="Z56" s="702"/>
      <c r="AA56" s="702"/>
      <c r="AB56" s="702"/>
      <c r="AC56" s="702"/>
    </row>
    <row r="57" ht="15.75" customHeight="1">
      <c r="A57" s="775" t="s">
        <v>1015</v>
      </c>
      <c r="B57" s="79">
        <v>3.0</v>
      </c>
      <c r="C57" s="24"/>
      <c r="D57" s="905">
        <v>3.0</v>
      </c>
      <c r="E57" s="905">
        <v>0.0</v>
      </c>
      <c r="F57" s="905">
        <v>0.0</v>
      </c>
      <c r="G57" s="905">
        <v>0.0</v>
      </c>
      <c r="H57" s="905">
        <v>3.0</v>
      </c>
      <c r="I57" s="905">
        <v>0.0</v>
      </c>
      <c r="J57" s="905">
        <v>0.0</v>
      </c>
      <c r="K57" s="905">
        <v>5.0</v>
      </c>
      <c r="L57" s="905">
        <v>2.0</v>
      </c>
      <c r="M57" s="905">
        <v>0.0</v>
      </c>
      <c r="N57" s="909">
        <v>0.0</v>
      </c>
      <c r="O57" s="905">
        <v>0.0</v>
      </c>
      <c r="P57" s="909">
        <v>0.0</v>
      </c>
      <c r="Q57" s="905">
        <v>0.0</v>
      </c>
      <c r="R57" s="905">
        <v>0.0</v>
      </c>
      <c r="S57" s="905">
        <v>0.0</v>
      </c>
      <c r="T57" s="79">
        <v>0.0</v>
      </c>
      <c r="U57" s="96">
        <v>0.0</v>
      </c>
      <c r="V57" s="96">
        <v>0.0</v>
      </c>
      <c r="W57" s="96">
        <v>0.0</v>
      </c>
      <c r="X57" s="748"/>
      <c r="Y57" s="702"/>
      <c r="Z57" s="702"/>
      <c r="AA57" s="702"/>
      <c r="AB57" s="702"/>
      <c r="AC57" s="702"/>
    </row>
    <row r="58" ht="15.75" customHeight="1">
      <c r="A58" s="775" t="s">
        <v>1026</v>
      </c>
      <c r="B58" s="79">
        <v>6.0</v>
      </c>
      <c r="C58" s="24"/>
      <c r="D58" s="905">
        <v>2.0</v>
      </c>
      <c r="E58" s="905">
        <v>0.0</v>
      </c>
      <c r="F58" s="905">
        <v>0.0</v>
      </c>
      <c r="G58" s="905">
        <v>4.0</v>
      </c>
      <c r="H58" s="905">
        <v>2.0</v>
      </c>
      <c r="I58" s="905">
        <v>0.0</v>
      </c>
      <c r="J58" s="905">
        <v>1.0</v>
      </c>
      <c r="K58" s="905">
        <v>12.0</v>
      </c>
      <c r="L58" s="905">
        <v>4.0</v>
      </c>
      <c r="M58" s="905">
        <v>1.0</v>
      </c>
      <c r="N58" s="909" t="s">
        <v>1234</v>
      </c>
      <c r="O58" s="905">
        <v>4.0</v>
      </c>
      <c r="P58" s="909" t="s">
        <v>1235</v>
      </c>
      <c r="Q58" s="905">
        <v>1.0</v>
      </c>
      <c r="R58" s="905">
        <v>5.0</v>
      </c>
      <c r="S58" s="905">
        <v>0.0</v>
      </c>
      <c r="T58" s="79">
        <v>1.0</v>
      </c>
      <c r="U58" s="96">
        <v>0.0</v>
      </c>
      <c r="V58" s="96">
        <v>1.0</v>
      </c>
      <c r="W58" s="96">
        <v>0.0</v>
      </c>
      <c r="X58" s="748"/>
      <c r="Y58" s="702"/>
      <c r="Z58" s="702"/>
      <c r="AA58" s="702"/>
      <c r="AB58" s="702"/>
      <c r="AC58" s="702"/>
    </row>
    <row r="59" ht="15.75" customHeight="1">
      <c r="A59" s="775" t="s">
        <v>1041</v>
      </c>
      <c r="B59" s="79">
        <v>3.0</v>
      </c>
      <c r="C59" s="24"/>
      <c r="D59" s="905">
        <v>3.0</v>
      </c>
      <c r="E59" s="905">
        <v>0.0</v>
      </c>
      <c r="F59" s="905">
        <v>0.0</v>
      </c>
      <c r="G59" s="905">
        <v>0.0</v>
      </c>
      <c r="H59" s="905">
        <v>3.0</v>
      </c>
      <c r="I59" s="905">
        <v>0.0</v>
      </c>
      <c r="J59" s="905">
        <v>0.0</v>
      </c>
      <c r="K59" s="905">
        <v>6.0</v>
      </c>
      <c r="L59" s="905">
        <v>3.0</v>
      </c>
      <c r="M59" s="905">
        <v>0.0</v>
      </c>
      <c r="N59" s="909">
        <v>0.0</v>
      </c>
      <c r="O59" s="905">
        <v>0.0</v>
      </c>
      <c r="P59" s="909">
        <v>0.0</v>
      </c>
      <c r="Q59" s="905">
        <v>0.0</v>
      </c>
      <c r="R59" s="905">
        <v>0.0</v>
      </c>
      <c r="S59" s="905">
        <v>0.0</v>
      </c>
      <c r="T59" s="79">
        <v>0.0</v>
      </c>
      <c r="U59" s="96">
        <v>0.0</v>
      </c>
      <c r="V59" s="96">
        <v>0.0</v>
      </c>
      <c r="W59" s="96">
        <v>1.0</v>
      </c>
      <c r="X59" s="748"/>
      <c r="Y59" s="702"/>
      <c r="Z59" s="702"/>
      <c r="AA59" s="702"/>
      <c r="AB59" s="702"/>
      <c r="AC59" s="702"/>
    </row>
    <row r="60" ht="15.75" customHeight="1">
      <c r="A60" s="775" t="s">
        <v>1053</v>
      </c>
      <c r="B60" s="79">
        <v>5.0</v>
      </c>
      <c r="C60" s="24"/>
      <c r="D60" s="905">
        <v>3.0</v>
      </c>
      <c r="E60" s="905">
        <v>0.0</v>
      </c>
      <c r="F60" s="905">
        <v>2.0</v>
      </c>
      <c r="G60" s="905">
        <v>0.0</v>
      </c>
      <c r="H60" s="905">
        <v>3.0</v>
      </c>
      <c r="I60" s="905">
        <v>1.0</v>
      </c>
      <c r="J60" s="905">
        <v>0.0</v>
      </c>
      <c r="K60" s="905">
        <v>10.0</v>
      </c>
      <c r="L60" s="905">
        <v>4.0</v>
      </c>
      <c r="M60" s="905">
        <v>4.0</v>
      </c>
      <c r="N60" s="905" t="s">
        <v>1236</v>
      </c>
      <c r="O60" s="905">
        <v>0.0</v>
      </c>
      <c r="P60" s="905">
        <v>0.0</v>
      </c>
      <c r="Q60" s="905">
        <v>1.0</v>
      </c>
      <c r="R60" s="905">
        <v>0.0</v>
      </c>
      <c r="S60" s="905">
        <v>1.0</v>
      </c>
      <c r="T60" s="79">
        <v>0.0</v>
      </c>
      <c r="U60" s="96">
        <v>1.0</v>
      </c>
      <c r="V60" s="96">
        <v>0.0</v>
      </c>
      <c r="W60" s="96">
        <v>0.0</v>
      </c>
      <c r="X60" s="748"/>
      <c r="Y60" s="702"/>
      <c r="Z60" s="702"/>
      <c r="AA60" s="702"/>
      <c r="AB60" s="702"/>
      <c r="AC60" s="702"/>
    </row>
    <row r="61" ht="15.75" customHeight="1">
      <c r="A61" s="775" t="s">
        <v>1060</v>
      </c>
      <c r="B61" s="79">
        <v>6.0</v>
      </c>
      <c r="C61" s="24"/>
      <c r="D61" s="905">
        <v>2.0</v>
      </c>
      <c r="E61" s="905">
        <v>0.0</v>
      </c>
      <c r="F61" s="905">
        <v>4.0</v>
      </c>
      <c r="G61" s="905">
        <v>0.0</v>
      </c>
      <c r="H61" s="905">
        <v>2.0</v>
      </c>
      <c r="I61" s="905">
        <v>2.0</v>
      </c>
      <c r="J61" s="905">
        <v>0.0</v>
      </c>
      <c r="K61" s="905">
        <v>12.0</v>
      </c>
      <c r="L61" s="905">
        <v>4.0</v>
      </c>
      <c r="M61" s="905">
        <v>2.0</v>
      </c>
      <c r="N61" s="909" t="s">
        <v>1238</v>
      </c>
      <c r="O61" s="905">
        <v>2.0</v>
      </c>
      <c r="P61" s="909" t="s">
        <v>1239</v>
      </c>
      <c r="Q61" s="905">
        <v>1.0</v>
      </c>
      <c r="R61" s="905">
        <v>1.0</v>
      </c>
      <c r="S61" s="905">
        <v>0.0</v>
      </c>
      <c r="T61" s="79">
        <v>1.0</v>
      </c>
      <c r="U61" s="96">
        <v>0.0</v>
      </c>
      <c r="V61" s="96">
        <v>0.0</v>
      </c>
      <c r="W61" s="96">
        <v>1.0</v>
      </c>
      <c r="X61" s="748"/>
      <c r="Y61" s="702"/>
      <c r="Z61" s="702"/>
      <c r="AA61" s="702"/>
      <c r="AB61" s="702"/>
      <c r="AC61" s="702"/>
    </row>
    <row r="62" ht="15.75" customHeight="1">
      <c r="A62" s="775" t="s">
        <v>1070</v>
      </c>
      <c r="B62" s="79">
        <v>7.0</v>
      </c>
      <c r="C62" s="24"/>
      <c r="D62" s="909">
        <v>3.0</v>
      </c>
      <c r="E62" s="909">
        <v>4.0</v>
      </c>
      <c r="F62" s="909">
        <v>0.0</v>
      </c>
      <c r="G62" s="909">
        <v>0.0</v>
      </c>
      <c r="H62" s="909">
        <v>3.0</v>
      </c>
      <c r="I62" s="909">
        <v>2.0</v>
      </c>
      <c r="J62" s="909">
        <v>0.0</v>
      </c>
      <c r="K62" s="909">
        <v>13.0</v>
      </c>
      <c r="L62" s="909">
        <v>4.0</v>
      </c>
      <c r="M62" s="909">
        <v>1.0</v>
      </c>
      <c r="N62" s="905" t="s">
        <v>1240</v>
      </c>
      <c r="O62" s="909">
        <v>2.0</v>
      </c>
      <c r="P62" s="905" t="s">
        <v>1241</v>
      </c>
      <c r="Q62" s="909">
        <v>3.0</v>
      </c>
      <c r="R62" s="909">
        <v>1.0</v>
      </c>
      <c r="S62" s="909">
        <v>0.0</v>
      </c>
      <c r="T62" s="96">
        <v>1.0</v>
      </c>
      <c r="U62" s="96">
        <v>1.0</v>
      </c>
      <c r="V62" s="96">
        <v>1.0</v>
      </c>
      <c r="W62" s="96">
        <v>0.0</v>
      </c>
      <c r="X62" s="748"/>
      <c r="Y62" s="702"/>
      <c r="Z62" s="702"/>
      <c r="AA62" s="702"/>
      <c r="AB62" s="702"/>
      <c r="AC62" s="702"/>
    </row>
    <row r="63" ht="15.75" customHeight="1">
      <c r="A63" s="788" t="s">
        <v>70</v>
      </c>
      <c r="B63" s="79">
        <v>5.0</v>
      </c>
      <c r="C63" s="24"/>
      <c r="D63" s="905">
        <v>5.0</v>
      </c>
      <c r="E63" s="905">
        <v>0.0</v>
      </c>
      <c r="F63" s="905">
        <v>0.0</v>
      </c>
      <c r="G63" s="905">
        <v>0.0</v>
      </c>
      <c r="H63" s="905">
        <v>5.0</v>
      </c>
      <c r="I63" s="905">
        <v>0.0</v>
      </c>
      <c r="J63" s="905">
        <v>0.0</v>
      </c>
      <c r="K63" s="905">
        <v>8.0</v>
      </c>
      <c r="L63" s="905">
        <v>4.0</v>
      </c>
      <c r="M63" s="905">
        <v>3.0</v>
      </c>
      <c r="N63" s="909" t="s">
        <v>1242</v>
      </c>
      <c r="O63" s="905">
        <v>0.0</v>
      </c>
      <c r="P63" s="909">
        <v>0.0</v>
      </c>
      <c r="Q63" s="905">
        <v>2.0</v>
      </c>
      <c r="R63" s="905">
        <v>0.0</v>
      </c>
      <c r="S63" s="905">
        <v>0.0</v>
      </c>
      <c r="T63" s="79">
        <v>0.0</v>
      </c>
      <c r="U63" s="96">
        <v>1.0</v>
      </c>
      <c r="V63" s="96">
        <v>0.0</v>
      </c>
      <c r="W63" s="96">
        <v>0.0</v>
      </c>
      <c r="X63" s="748"/>
      <c r="Y63" s="702"/>
      <c r="Z63" s="702"/>
      <c r="AA63" s="702"/>
      <c r="AB63" s="702"/>
      <c r="AC63" s="702"/>
    </row>
    <row r="64" ht="15.75" customHeight="1">
      <c r="A64" s="913"/>
      <c r="B64" s="915"/>
      <c r="C64" s="917"/>
      <c r="D64" s="917"/>
      <c r="E64" s="919"/>
      <c r="F64" s="919"/>
      <c r="G64" s="919"/>
      <c r="H64" s="921"/>
      <c r="I64" s="922"/>
      <c r="J64" s="919"/>
      <c r="K64" s="919"/>
      <c r="L64" s="919"/>
      <c r="M64" s="919"/>
      <c r="N64" s="919"/>
      <c r="O64" s="919"/>
      <c r="P64" s="919"/>
      <c r="Q64" s="919"/>
      <c r="R64" s="919"/>
      <c r="S64" s="919"/>
      <c r="T64" s="716"/>
      <c r="U64" s="924"/>
      <c r="V64" s="748"/>
      <c r="W64" s="748"/>
      <c r="X64" s="748"/>
      <c r="Y64" s="702"/>
      <c r="Z64" s="702"/>
      <c r="AA64" s="702"/>
      <c r="AB64" s="702"/>
      <c r="AC64" s="702"/>
    </row>
    <row r="65" ht="15.75" customHeight="1">
      <c r="A65" s="925" t="s">
        <v>417</v>
      </c>
      <c r="B65" s="926"/>
      <c r="C65" s="926"/>
      <c r="D65" s="927"/>
      <c r="E65" s="797"/>
      <c r="F65" s="797"/>
      <c r="G65" s="928" t="s">
        <v>1246</v>
      </c>
      <c r="H65" s="929"/>
      <c r="I65" s="797"/>
      <c r="J65" s="797"/>
      <c r="K65" s="747"/>
      <c r="L65" s="747"/>
      <c r="M65" s="747"/>
      <c r="N65" s="797"/>
      <c r="O65" s="797"/>
      <c r="P65" s="797"/>
      <c r="Q65" s="797"/>
      <c r="R65" s="797"/>
      <c r="S65" s="797"/>
      <c r="T65" s="797"/>
      <c r="U65" s="930"/>
      <c r="V65" s="702"/>
      <c r="W65" s="702"/>
      <c r="X65" s="702"/>
      <c r="Y65" s="702"/>
      <c r="Z65" s="702"/>
      <c r="AA65" s="702"/>
      <c r="AB65" s="702"/>
      <c r="AC65" s="702"/>
    </row>
    <row r="66" ht="15.75" customHeight="1">
      <c r="A66" s="925" t="s">
        <v>425</v>
      </c>
      <c r="B66" s="925" t="s">
        <v>427</v>
      </c>
      <c r="C66" s="925" t="s">
        <v>428</v>
      </c>
      <c r="D66" s="931" t="s">
        <v>430</v>
      </c>
      <c r="E66" s="716"/>
      <c r="F66" s="716"/>
      <c r="G66" s="932" t="s">
        <v>93</v>
      </c>
      <c r="H66" s="934" t="s">
        <v>1247</v>
      </c>
      <c r="I66" s="935"/>
      <c r="J66" s="716"/>
      <c r="K66" s="702"/>
      <c r="L66" s="702"/>
      <c r="M66" s="702"/>
      <c r="N66" s="716"/>
      <c r="O66" s="716"/>
      <c r="P66" s="747"/>
      <c r="Q66" s="716"/>
      <c r="R66" s="716"/>
      <c r="S66" s="716"/>
      <c r="T66" s="716"/>
      <c r="U66" s="938"/>
      <c r="V66" s="702"/>
      <c r="W66" s="702"/>
      <c r="X66" s="702"/>
      <c r="Y66" s="702"/>
      <c r="Z66" s="702"/>
      <c r="AA66" s="702"/>
      <c r="AB66" s="702"/>
      <c r="AC66" s="702"/>
    </row>
    <row r="67" ht="15.75" customHeight="1">
      <c r="A67" s="901" t="s">
        <v>93</v>
      </c>
      <c r="B67" s="902">
        <v>38.0</v>
      </c>
      <c r="C67" s="902" t="s">
        <v>1247</v>
      </c>
      <c r="D67" s="927"/>
      <c r="E67" s="747"/>
      <c r="F67" s="747"/>
      <c r="G67" s="926"/>
      <c r="H67" s="899" t="s">
        <v>442</v>
      </c>
      <c r="I67" s="899" t="s">
        <v>1249</v>
      </c>
      <c r="J67" s="899" t="s">
        <v>1250</v>
      </c>
      <c r="K67" s="899" t="s">
        <v>1251</v>
      </c>
      <c r="L67" s="940" t="s">
        <v>622</v>
      </c>
      <c r="M67" s="702"/>
      <c r="N67" s="942" t="s">
        <v>445</v>
      </c>
      <c r="O67" s="944"/>
      <c r="P67" s="702"/>
      <c r="Q67" s="797"/>
      <c r="R67" s="797"/>
      <c r="S67" s="797"/>
      <c r="T67" s="797"/>
      <c r="U67" s="930"/>
      <c r="V67" s="702"/>
      <c r="W67" s="702"/>
      <c r="X67" s="702"/>
      <c r="Y67" s="702"/>
      <c r="Z67" s="702"/>
      <c r="AA67" s="702"/>
      <c r="AB67" s="702"/>
      <c r="AC67" s="702"/>
    </row>
    <row r="68" ht="15.75" customHeight="1">
      <c r="A68" s="945" t="s">
        <v>623</v>
      </c>
      <c r="B68" s="909">
        <v>2.0</v>
      </c>
      <c r="C68" s="909" t="s">
        <v>1253</v>
      </c>
      <c r="D68" s="946">
        <v>46115.0</v>
      </c>
      <c r="E68" s="947" t="s">
        <v>1254</v>
      </c>
      <c r="F68" s="705"/>
      <c r="G68" s="945" t="s">
        <v>623</v>
      </c>
      <c r="H68" s="948" t="s">
        <v>1255</v>
      </c>
      <c r="I68" s="949" t="s">
        <v>1256</v>
      </c>
      <c r="J68" s="949" t="s">
        <v>1256</v>
      </c>
      <c r="K68" s="949" t="s">
        <v>1257</v>
      </c>
      <c r="L68" s="950" t="s">
        <v>1253</v>
      </c>
      <c r="M68" s="702"/>
      <c r="N68" s="776" t="s">
        <v>1258</v>
      </c>
      <c r="O68" s="13"/>
      <c r="P68" s="702"/>
      <c r="Q68" s="716"/>
      <c r="R68" s="716"/>
      <c r="S68" s="716"/>
      <c r="T68" s="716"/>
      <c r="U68" s="938"/>
      <c r="V68" s="702"/>
      <c r="W68" s="702"/>
      <c r="X68" s="702"/>
      <c r="Y68" s="702"/>
      <c r="Z68" s="702"/>
      <c r="AA68" s="702"/>
      <c r="AB68" s="702"/>
      <c r="AC68" s="702"/>
    </row>
    <row r="69" ht="15.75" customHeight="1">
      <c r="A69" s="952" t="s">
        <v>462</v>
      </c>
      <c r="B69" s="905">
        <v>1.0</v>
      </c>
      <c r="C69" s="909" t="s">
        <v>1260</v>
      </c>
      <c r="D69" s="946">
        <v>46115.0</v>
      </c>
      <c r="E69" s="953" t="s">
        <v>1261</v>
      </c>
      <c r="G69" s="952" t="s">
        <v>462</v>
      </c>
      <c r="H69" s="954" t="s">
        <v>1262</v>
      </c>
      <c r="I69" s="955">
        <v>0.0</v>
      </c>
      <c r="J69" s="955">
        <v>0.0</v>
      </c>
      <c r="K69" s="955" t="s">
        <v>1263</v>
      </c>
      <c r="L69" s="950" t="s">
        <v>1260</v>
      </c>
      <c r="M69" s="702"/>
      <c r="N69" s="797"/>
      <c r="O69" s="797"/>
      <c r="P69" s="702"/>
      <c r="Q69" s="797"/>
      <c r="R69" s="797"/>
      <c r="S69" s="797"/>
      <c r="T69" s="797"/>
      <c r="U69" s="930"/>
      <c r="V69" s="702"/>
      <c r="W69" s="702"/>
      <c r="X69" s="702"/>
      <c r="Y69" s="702"/>
      <c r="Z69" s="702"/>
      <c r="AA69" s="702"/>
      <c r="AB69" s="702"/>
      <c r="AC69" s="702"/>
    </row>
    <row r="70" ht="15.75" customHeight="1">
      <c r="A70" s="945" t="s">
        <v>468</v>
      </c>
      <c r="B70" s="909">
        <v>2.0</v>
      </c>
      <c r="C70" s="909" t="s">
        <v>1265</v>
      </c>
      <c r="D70" s="946">
        <v>46115.0</v>
      </c>
      <c r="E70" s="953" t="s">
        <v>1267</v>
      </c>
      <c r="G70" s="945" t="s">
        <v>468</v>
      </c>
      <c r="H70" s="948" t="s">
        <v>1268</v>
      </c>
      <c r="I70" s="949" t="s">
        <v>1269</v>
      </c>
      <c r="J70" s="949" t="s">
        <v>1269</v>
      </c>
      <c r="K70" s="949" t="s">
        <v>1270</v>
      </c>
      <c r="L70" s="950" t="s">
        <v>1265</v>
      </c>
      <c r="M70" s="702"/>
      <c r="N70" s="747"/>
      <c r="O70" s="747"/>
      <c r="P70" s="675"/>
      <c r="Q70" s="716"/>
      <c r="R70" s="716"/>
      <c r="S70" s="716"/>
      <c r="T70" s="716"/>
      <c r="U70" s="938"/>
      <c r="V70" s="702"/>
      <c r="W70" s="702"/>
      <c r="X70" s="702"/>
      <c r="Y70" s="702"/>
      <c r="Z70" s="702"/>
      <c r="AA70" s="702"/>
      <c r="AB70" s="702"/>
      <c r="AC70" s="702"/>
    </row>
    <row r="71" ht="15.75" customHeight="1">
      <c r="A71" s="952" t="s">
        <v>476</v>
      </c>
      <c r="B71" s="905">
        <v>1.0</v>
      </c>
      <c r="C71" s="909" t="s">
        <v>1272</v>
      </c>
      <c r="D71" s="958">
        <v>46115.0</v>
      </c>
      <c r="E71" s="953" t="s">
        <v>1273</v>
      </c>
      <c r="G71" s="952" t="s">
        <v>476</v>
      </c>
      <c r="H71" s="954" t="s">
        <v>1274</v>
      </c>
      <c r="I71" s="955">
        <v>0.0</v>
      </c>
      <c r="J71" s="955">
        <v>0.0</v>
      </c>
      <c r="K71" s="955" t="s">
        <v>1275</v>
      </c>
      <c r="L71" s="950" t="s">
        <v>1272</v>
      </c>
      <c r="M71" s="702"/>
      <c r="N71" s="702"/>
      <c r="O71" s="702"/>
      <c r="P71" s="797"/>
      <c r="Q71" s="797"/>
      <c r="R71" s="797"/>
      <c r="S71" s="797"/>
      <c r="T71" s="797"/>
      <c r="U71" s="930"/>
      <c r="V71" s="702"/>
      <c r="W71" s="702"/>
      <c r="X71" s="702"/>
      <c r="Y71" s="702"/>
      <c r="Z71" s="702"/>
      <c r="AA71" s="702"/>
      <c r="AB71" s="702"/>
      <c r="AC71" s="702"/>
    </row>
    <row r="72" ht="15.75" customHeight="1">
      <c r="A72" s="945" t="s">
        <v>477</v>
      </c>
      <c r="B72" s="909">
        <v>2.0</v>
      </c>
      <c r="C72" s="909" t="s">
        <v>1276</v>
      </c>
      <c r="D72" s="946">
        <v>46115.0</v>
      </c>
      <c r="E72" s="953" t="s">
        <v>1277</v>
      </c>
      <c r="G72" s="945" t="s">
        <v>477</v>
      </c>
      <c r="H72" s="948" t="s">
        <v>1268</v>
      </c>
      <c r="I72" s="949" t="s">
        <v>1269</v>
      </c>
      <c r="J72" s="949" t="s">
        <v>1269</v>
      </c>
      <c r="K72" s="949" t="s">
        <v>1278</v>
      </c>
      <c r="L72" s="950" t="s">
        <v>1276</v>
      </c>
      <c r="M72" s="702"/>
      <c r="N72" s="959" t="s">
        <v>651</v>
      </c>
      <c r="O72" s="12"/>
      <c r="P72" s="716"/>
      <c r="Q72" s="716"/>
      <c r="R72" s="716"/>
      <c r="S72" s="716"/>
      <c r="T72" s="716"/>
      <c r="U72" s="938"/>
      <c r="V72" s="702"/>
      <c r="W72" s="702"/>
      <c r="X72" s="702"/>
      <c r="Y72" s="702"/>
      <c r="Z72" s="702"/>
      <c r="AA72" s="702"/>
      <c r="AB72" s="702"/>
      <c r="AC72" s="702"/>
    </row>
    <row r="73" ht="15.75" customHeight="1">
      <c r="A73" s="945" t="s">
        <v>491</v>
      </c>
      <c r="B73" s="905">
        <v>2.0</v>
      </c>
      <c r="C73" s="909" t="s">
        <v>1279</v>
      </c>
      <c r="D73" s="946">
        <v>46115.0</v>
      </c>
      <c r="E73" s="953" t="s">
        <v>1280</v>
      </c>
      <c r="G73" s="945" t="s">
        <v>491</v>
      </c>
      <c r="H73" s="954" t="s">
        <v>1281</v>
      </c>
      <c r="I73" s="955" t="s">
        <v>1282</v>
      </c>
      <c r="J73" s="955" t="s">
        <v>1282</v>
      </c>
      <c r="K73" s="955" t="s">
        <v>1283</v>
      </c>
      <c r="L73" s="950" t="s">
        <v>1279</v>
      </c>
      <c r="M73" s="702"/>
      <c r="N73" s="95" t="s">
        <v>39</v>
      </c>
      <c r="O73" s="96" t="s">
        <v>1284</v>
      </c>
      <c r="P73" s="797"/>
      <c r="Q73" s="797"/>
      <c r="R73" s="797"/>
      <c r="S73" s="797"/>
      <c r="T73" s="797"/>
      <c r="U73" s="930"/>
      <c r="V73" s="702"/>
      <c r="W73" s="702"/>
      <c r="X73" s="702"/>
      <c r="Y73" s="702"/>
      <c r="Z73" s="702"/>
      <c r="AA73" s="702"/>
      <c r="AB73" s="702"/>
      <c r="AC73" s="702"/>
    </row>
    <row r="74" ht="15.75" customHeight="1">
      <c r="A74" s="945" t="s">
        <v>501</v>
      </c>
      <c r="B74" s="905">
        <v>6.0</v>
      </c>
      <c r="C74" s="909" t="s">
        <v>1285</v>
      </c>
      <c r="D74" s="97" t="s">
        <v>658</v>
      </c>
      <c r="E74" s="953" t="s">
        <v>1286</v>
      </c>
      <c r="G74" s="945" t="s">
        <v>501</v>
      </c>
      <c r="H74" s="948" t="s">
        <v>1287</v>
      </c>
      <c r="I74" s="949" t="s">
        <v>1288</v>
      </c>
      <c r="J74" s="949" t="s">
        <v>1281</v>
      </c>
      <c r="K74" s="955" t="s">
        <v>1289</v>
      </c>
      <c r="L74" s="950" t="s">
        <v>1285</v>
      </c>
      <c r="M74" s="702"/>
      <c r="N74" s="77" t="s">
        <v>502</v>
      </c>
      <c r="O74" s="79" t="s">
        <v>1290</v>
      </c>
      <c r="P74" s="716"/>
      <c r="Q74" s="716"/>
      <c r="R74" s="716"/>
      <c r="S74" s="716"/>
      <c r="T74" s="716"/>
      <c r="U74" s="938"/>
      <c r="V74" s="702"/>
      <c r="W74" s="702"/>
      <c r="X74" s="702"/>
      <c r="Y74" s="702"/>
      <c r="Z74" s="702"/>
      <c r="AA74" s="702"/>
      <c r="AB74" s="702"/>
      <c r="AC74" s="702"/>
    </row>
    <row r="75" ht="15.75" customHeight="1">
      <c r="A75" s="945" t="s">
        <v>503</v>
      </c>
      <c r="B75" s="909">
        <v>2.0</v>
      </c>
      <c r="C75" s="909" t="s">
        <v>1291</v>
      </c>
      <c r="D75" s="946">
        <v>46115.0</v>
      </c>
      <c r="E75" s="953" t="s">
        <v>1292</v>
      </c>
      <c r="G75" s="945" t="s">
        <v>503</v>
      </c>
      <c r="H75" s="954" t="s">
        <v>1268</v>
      </c>
      <c r="I75" s="955">
        <v>0.0</v>
      </c>
      <c r="J75" s="955">
        <v>0.0</v>
      </c>
      <c r="K75" s="955" t="s">
        <v>1293</v>
      </c>
      <c r="L75" s="950" t="s">
        <v>1291</v>
      </c>
      <c r="M75" s="702"/>
      <c r="N75" s="95" t="s">
        <v>504</v>
      </c>
      <c r="O75" s="96" t="s">
        <v>1294</v>
      </c>
      <c r="P75" s="797"/>
      <c r="Q75" s="797"/>
      <c r="R75" s="797"/>
      <c r="S75" s="797"/>
      <c r="T75" s="797"/>
      <c r="U75" s="930"/>
      <c r="V75" s="702"/>
      <c r="W75" s="702"/>
      <c r="X75" s="702"/>
      <c r="Y75" s="702"/>
      <c r="Z75" s="702"/>
      <c r="AA75" s="702"/>
      <c r="AB75" s="702"/>
      <c r="AC75" s="702"/>
    </row>
    <row r="76" ht="15.75" customHeight="1">
      <c r="A76" s="945" t="s">
        <v>507</v>
      </c>
      <c r="B76" s="905">
        <v>2.0</v>
      </c>
      <c r="C76" s="909" t="s">
        <v>1296</v>
      </c>
      <c r="D76" s="946">
        <v>46115.0</v>
      </c>
      <c r="E76" s="953" t="s">
        <v>1297</v>
      </c>
      <c r="G76" s="945" t="s">
        <v>507</v>
      </c>
      <c r="H76" s="955" t="s">
        <v>1298</v>
      </c>
      <c r="I76" s="949">
        <v>0.0</v>
      </c>
      <c r="J76" s="949">
        <v>0.0</v>
      </c>
      <c r="K76" s="955" t="s">
        <v>1300</v>
      </c>
      <c r="L76" s="950" t="s">
        <v>1296</v>
      </c>
      <c r="M76" s="702"/>
      <c r="N76" s="740"/>
      <c r="O76" s="740"/>
      <c r="P76" s="716"/>
      <c r="Q76" s="716"/>
      <c r="R76" s="716"/>
      <c r="S76" s="716"/>
      <c r="T76" s="716"/>
      <c r="U76" s="938"/>
      <c r="V76" s="702"/>
      <c r="W76" s="702"/>
      <c r="X76" s="702"/>
      <c r="Y76" s="702"/>
      <c r="Z76" s="702"/>
      <c r="AA76" s="702"/>
      <c r="AB76" s="702"/>
      <c r="AC76" s="702"/>
    </row>
    <row r="77" ht="15.75" customHeight="1">
      <c r="A77" s="945" t="s">
        <v>510</v>
      </c>
      <c r="B77" s="96">
        <v>1.0</v>
      </c>
      <c r="C77" s="909" t="s">
        <v>1301</v>
      </c>
      <c r="D77" s="946">
        <v>46115.0</v>
      </c>
      <c r="E77" s="953" t="s">
        <v>1303</v>
      </c>
      <c r="G77" s="945" t="s">
        <v>510</v>
      </c>
      <c r="H77" s="954" t="s">
        <v>670</v>
      </c>
      <c r="I77" s="955" t="s">
        <v>1304</v>
      </c>
      <c r="J77" s="955">
        <v>0.0</v>
      </c>
      <c r="K77" s="955" t="s">
        <v>1305</v>
      </c>
      <c r="L77" s="950" t="s">
        <v>1301</v>
      </c>
      <c r="M77" s="702"/>
      <c r="N77" s="797"/>
      <c r="O77" s="797"/>
      <c r="P77" s="797"/>
      <c r="Q77" s="797"/>
      <c r="R77" s="797"/>
      <c r="S77" s="797"/>
      <c r="T77" s="797"/>
      <c r="U77" s="930"/>
      <c r="V77" s="702"/>
      <c r="W77" s="702"/>
      <c r="X77" s="702"/>
      <c r="Y77" s="702"/>
      <c r="Z77" s="702"/>
      <c r="AA77" s="702"/>
      <c r="AB77" s="702"/>
      <c r="AC77" s="702"/>
    </row>
    <row r="78" ht="15.75" customHeight="1">
      <c r="A78" s="945" t="s">
        <v>512</v>
      </c>
      <c r="B78" s="909">
        <v>1.0</v>
      </c>
      <c r="C78" s="909" t="s">
        <v>1306</v>
      </c>
      <c r="D78" s="946">
        <v>46115.0</v>
      </c>
      <c r="E78" s="953" t="s">
        <v>1307</v>
      </c>
      <c r="G78" s="945" t="s">
        <v>512</v>
      </c>
      <c r="H78" s="948" t="s">
        <v>1308</v>
      </c>
      <c r="I78" s="949">
        <v>0.0</v>
      </c>
      <c r="J78" s="949">
        <v>0.0</v>
      </c>
      <c r="K78" s="955" t="s">
        <v>1309</v>
      </c>
      <c r="L78" s="950" t="s">
        <v>1306</v>
      </c>
      <c r="M78" s="702"/>
      <c r="N78" s="716"/>
      <c r="O78" s="716"/>
      <c r="P78" s="716"/>
      <c r="Q78" s="716"/>
      <c r="R78" s="716"/>
      <c r="S78" s="716"/>
      <c r="T78" s="716"/>
      <c r="U78" s="938"/>
      <c r="V78" s="702"/>
      <c r="W78" s="702"/>
      <c r="X78" s="702"/>
      <c r="Y78" s="702"/>
      <c r="Z78" s="702"/>
      <c r="AA78" s="702"/>
      <c r="AB78" s="702"/>
      <c r="AC78" s="702"/>
    </row>
    <row r="79" ht="15.75" customHeight="1">
      <c r="A79" s="945" t="s">
        <v>516</v>
      </c>
      <c r="B79" s="905">
        <v>2.0</v>
      </c>
      <c r="C79" s="909" t="s">
        <v>1311</v>
      </c>
      <c r="D79" s="946">
        <v>46115.0</v>
      </c>
      <c r="E79" s="953" t="s">
        <v>1313</v>
      </c>
      <c r="G79" s="945" t="s">
        <v>516</v>
      </c>
      <c r="H79" s="954" t="s">
        <v>1316</v>
      </c>
      <c r="I79" s="955" t="s">
        <v>1318</v>
      </c>
      <c r="J79" s="955">
        <v>0.0</v>
      </c>
      <c r="K79" s="955" t="s">
        <v>1321</v>
      </c>
      <c r="L79" s="950" t="s">
        <v>1311</v>
      </c>
      <c r="M79" s="702"/>
      <c r="N79" s="797"/>
      <c r="O79" s="797"/>
      <c r="P79" s="797"/>
      <c r="Q79" s="797"/>
      <c r="R79" s="797"/>
      <c r="S79" s="797"/>
      <c r="T79" s="797"/>
      <c r="U79" s="930"/>
      <c r="V79" s="702"/>
      <c r="W79" s="702"/>
      <c r="X79" s="702"/>
      <c r="Y79" s="702"/>
      <c r="Z79" s="702"/>
      <c r="AA79" s="702"/>
      <c r="AB79" s="702"/>
      <c r="AC79" s="702"/>
    </row>
    <row r="80" ht="15.75" customHeight="1">
      <c r="A80" s="945" t="s">
        <v>517</v>
      </c>
      <c r="B80" s="909">
        <v>4.0</v>
      </c>
      <c r="C80" s="909" t="s">
        <v>1325</v>
      </c>
      <c r="D80" s="97">
        <v>1.0</v>
      </c>
      <c r="E80" s="953" t="s">
        <v>1326</v>
      </c>
      <c r="G80" s="945" t="s">
        <v>517</v>
      </c>
      <c r="H80" s="948" t="s">
        <v>1327</v>
      </c>
      <c r="I80" s="949">
        <v>0.0</v>
      </c>
      <c r="J80" s="949">
        <v>0.0</v>
      </c>
      <c r="K80" s="955" t="s">
        <v>1329</v>
      </c>
      <c r="L80" s="950" t="s">
        <v>1325</v>
      </c>
      <c r="M80" s="702"/>
      <c r="N80" s="716"/>
      <c r="O80" s="716"/>
      <c r="P80" s="716"/>
      <c r="Q80" s="716"/>
      <c r="R80" s="716"/>
      <c r="S80" s="716"/>
      <c r="T80" s="716"/>
      <c r="U80" s="938"/>
      <c r="V80" s="702"/>
      <c r="W80" s="702"/>
      <c r="X80" s="702"/>
      <c r="Y80" s="702"/>
      <c r="Z80" s="702"/>
      <c r="AA80" s="702"/>
      <c r="AB80" s="702"/>
      <c r="AC80" s="702"/>
    </row>
    <row r="81" ht="15.75" customHeight="1">
      <c r="A81" s="945" t="s">
        <v>518</v>
      </c>
      <c r="B81" s="905">
        <v>1.0</v>
      </c>
      <c r="C81" s="909" t="s">
        <v>1331</v>
      </c>
      <c r="D81" s="946">
        <v>46115.0</v>
      </c>
      <c r="E81" s="953" t="s">
        <v>1332</v>
      </c>
      <c r="G81" s="945" t="s">
        <v>518</v>
      </c>
      <c r="H81" s="954" t="s">
        <v>1333</v>
      </c>
      <c r="I81" s="955">
        <v>0.0</v>
      </c>
      <c r="J81" s="955">
        <v>0.0</v>
      </c>
      <c r="K81" s="955" t="s">
        <v>1334</v>
      </c>
      <c r="L81" s="950" t="s">
        <v>1331</v>
      </c>
      <c r="M81" s="702"/>
      <c r="N81" s="797"/>
      <c r="O81" s="797"/>
      <c r="P81" s="797"/>
      <c r="Q81" s="797"/>
      <c r="R81" s="797"/>
      <c r="S81" s="797"/>
      <c r="T81" s="797"/>
      <c r="U81" s="930"/>
      <c r="V81" s="702"/>
      <c r="W81" s="702"/>
      <c r="X81" s="702"/>
      <c r="Y81" s="702"/>
      <c r="Z81" s="702"/>
      <c r="AA81" s="702"/>
      <c r="AB81" s="702"/>
      <c r="AC81" s="702"/>
    </row>
    <row r="82" ht="15.75" customHeight="1">
      <c r="A82" s="945" t="s">
        <v>520</v>
      </c>
      <c r="B82" s="909">
        <v>4.0</v>
      </c>
      <c r="C82" s="909" t="s">
        <v>1339</v>
      </c>
      <c r="D82" s="81">
        <v>1.0</v>
      </c>
      <c r="E82" s="953" t="s">
        <v>1340</v>
      </c>
      <c r="G82" s="945" t="s">
        <v>520</v>
      </c>
      <c r="H82" s="948" t="s">
        <v>1342</v>
      </c>
      <c r="I82" s="949">
        <v>0.0</v>
      </c>
      <c r="J82" s="949">
        <v>0.0</v>
      </c>
      <c r="K82" s="955" t="s">
        <v>1344</v>
      </c>
      <c r="L82" s="950" t="s">
        <v>1339</v>
      </c>
      <c r="M82" s="702"/>
      <c r="N82" s="716"/>
      <c r="O82" s="716"/>
      <c r="P82" s="716"/>
      <c r="Q82" s="716"/>
      <c r="R82" s="716"/>
      <c r="S82" s="716"/>
      <c r="T82" s="716"/>
      <c r="U82" s="938"/>
      <c r="V82" s="702"/>
      <c r="W82" s="702"/>
      <c r="X82" s="702"/>
      <c r="Y82" s="702"/>
      <c r="Z82" s="702"/>
      <c r="AA82" s="702"/>
      <c r="AB82" s="702"/>
      <c r="AC82" s="702"/>
    </row>
    <row r="83" ht="15.75" customHeight="1">
      <c r="A83" s="945" t="s">
        <v>521</v>
      </c>
      <c r="B83" s="905">
        <v>2.0</v>
      </c>
      <c r="C83" s="909" t="s">
        <v>1350</v>
      </c>
      <c r="D83" s="946">
        <v>46115.0</v>
      </c>
      <c r="E83" s="953" t="s">
        <v>1351</v>
      </c>
      <c r="G83" s="945" t="s">
        <v>521</v>
      </c>
      <c r="H83" s="954" t="s">
        <v>1353</v>
      </c>
      <c r="I83" s="955" t="s">
        <v>1354</v>
      </c>
      <c r="J83" s="955">
        <v>0.0</v>
      </c>
      <c r="K83" s="955" t="s">
        <v>1356</v>
      </c>
      <c r="L83" s="950" t="s">
        <v>1350</v>
      </c>
      <c r="M83" s="702"/>
      <c r="N83" s="797"/>
      <c r="O83" s="797"/>
      <c r="P83" s="797"/>
      <c r="Q83" s="797"/>
      <c r="R83" s="797"/>
      <c r="S83" s="797"/>
      <c r="T83" s="797"/>
      <c r="U83" s="930"/>
      <c r="V83" s="702"/>
      <c r="W83" s="702"/>
      <c r="X83" s="702"/>
      <c r="Y83" s="702"/>
      <c r="Z83" s="702"/>
      <c r="AA83" s="702"/>
      <c r="AB83" s="702"/>
      <c r="AC83" s="702"/>
    </row>
    <row r="84" ht="15.75" customHeight="1">
      <c r="A84" s="945" t="s">
        <v>523</v>
      </c>
      <c r="B84" s="909">
        <v>1.0</v>
      </c>
      <c r="C84" s="909" t="s">
        <v>1359</v>
      </c>
      <c r="D84" s="946">
        <v>46115.0</v>
      </c>
      <c r="E84" s="953" t="s">
        <v>1361</v>
      </c>
      <c r="G84" s="945" t="s">
        <v>523</v>
      </c>
      <c r="H84" s="948" t="s">
        <v>1333</v>
      </c>
      <c r="I84" s="949">
        <v>0.0</v>
      </c>
      <c r="J84" s="949">
        <v>0.0</v>
      </c>
      <c r="K84" s="955" t="s">
        <v>1362</v>
      </c>
      <c r="L84" s="950" t="s">
        <v>1359</v>
      </c>
      <c r="M84" s="702"/>
      <c r="N84" s="716"/>
      <c r="O84" s="716"/>
      <c r="P84" s="716"/>
      <c r="Q84" s="716"/>
      <c r="R84" s="716"/>
      <c r="S84" s="716"/>
      <c r="T84" s="716"/>
      <c r="U84" s="938"/>
      <c r="V84" s="702"/>
      <c r="W84" s="702"/>
      <c r="X84" s="702"/>
      <c r="Y84" s="702"/>
      <c r="Z84" s="702"/>
      <c r="AA84" s="702"/>
      <c r="AB84" s="702"/>
      <c r="AC84" s="702"/>
    </row>
    <row r="85" ht="15.75" customHeight="1">
      <c r="A85" s="945" t="s">
        <v>524</v>
      </c>
      <c r="B85" s="79">
        <v>2.0</v>
      </c>
      <c r="C85" s="96" t="s">
        <v>1365</v>
      </c>
      <c r="D85" s="946">
        <v>46115.0</v>
      </c>
      <c r="E85" s="953" t="s">
        <v>1366</v>
      </c>
      <c r="G85" s="945" t="s">
        <v>524</v>
      </c>
      <c r="H85" s="954" t="s">
        <v>1368</v>
      </c>
      <c r="I85" s="955" t="s">
        <v>1369</v>
      </c>
      <c r="J85" s="81">
        <v>0.0</v>
      </c>
      <c r="K85" s="81" t="s">
        <v>1290</v>
      </c>
      <c r="L85" s="950" t="s">
        <v>1365</v>
      </c>
      <c r="M85" s="702"/>
      <c r="N85" s="797"/>
      <c r="O85" s="797"/>
      <c r="P85" s="797"/>
      <c r="Q85" s="797"/>
      <c r="R85" s="797"/>
      <c r="S85" s="797"/>
      <c r="T85" s="797"/>
      <c r="U85" s="930"/>
      <c r="V85" s="702"/>
      <c r="W85" s="702"/>
      <c r="X85" s="702"/>
      <c r="Y85" s="702"/>
      <c r="Z85" s="702"/>
      <c r="AA85" s="702"/>
      <c r="AB85" s="702"/>
      <c r="AC85" s="702"/>
    </row>
    <row r="86" ht="15.75" customHeight="1">
      <c r="A86" s="982"/>
      <c r="B86" s="747"/>
      <c r="C86" s="747"/>
      <c r="D86" s="984"/>
      <c r="E86" s="747"/>
      <c r="F86" s="747"/>
      <c r="G86" s="986"/>
      <c r="H86" s="986"/>
      <c r="I86" s="986"/>
      <c r="J86" s="747"/>
      <c r="K86" s="747"/>
      <c r="L86" s="797"/>
      <c r="M86" s="702"/>
      <c r="N86" s="797"/>
      <c r="O86" s="797"/>
      <c r="P86" s="797"/>
      <c r="Q86" s="797"/>
      <c r="R86" s="797"/>
      <c r="S86" s="797"/>
      <c r="T86" s="797"/>
      <c r="U86" s="930"/>
      <c r="V86" s="702"/>
      <c r="W86" s="702"/>
      <c r="X86" s="702"/>
      <c r="Y86" s="702"/>
      <c r="Z86" s="702"/>
      <c r="AA86" s="702"/>
      <c r="AB86" s="702"/>
      <c r="AC86" s="702"/>
    </row>
    <row r="87" ht="15.75" customHeight="1">
      <c r="A87" s="987"/>
      <c r="B87" s="988"/>
      <c r="C87" s="988"/>
      <c r="D87" s="988"/>
      <c r="E87" s="988"/>
      <c r="F87" s="988"/>
      <c r="G87" s="989"/>
      <c r="H87" s="989"/>
      <c r="I87" s="989"/>
      <c r="J87" s="988"/>
      <c r="K87" s="988"/>
      <c r="L87" s="989"/>
      <c r="M87" s="988"/>
      <c r="N87" s="989"/>
      <c r="O87" s="989"/>
      <c r="P87" s="989"/>
      <c r="Q87" s="989"/>
      <c r="R87" s="989"/>
      <c r="S87" s="989"/>
      <c r="T87" s="989"/>
      <c r="U87" s="994"/>
      <c r="V87" s="702"/>
      <c r="W87" s="702"/>
      <c r="X87" s="702"/>
      <c r="Y87" s="702"/>
      <c r="Z87" s="702"/>
      <c r="AA87" s="702"/>
      <c r="AB87" s="702"/>
      <c r="AC87" s="702"/>
    </row>
    <row r="88" ht="15.75" customHeight="1">
      <c r="A88" s="747"/>
      <c r="B88" s="747"/>
      <c r="C88" s="747"/>
      <c r="D88" s="747"/>
      <c r="E88" s="747"/>
      <c r="F88" s="747"/>
      <c r="G88" s="747"/>
      <c r="H88" s="716"/>
      <c r="I88" s="716"/>
      <c r="J88" s="716"/>
      <c r="K88" s="716"/>
      <c r="L88" s="716"/>
      <c r="M88" s="747"/>
      <c r="N88" s="747"/>
      <c r="O88" s="747"/>
      <c r="P88" s="747"/>
      <c r="Q88" s="747"/>
      <c r="R88" s="747"/>
      <c r="S88" s="747"/>
      <c r="T88" s="747"/>
      <c r="U88" s="747"/>
      <c r="V88" s="702"/>
      <c r="W88" s="702"/>
      <c r="X88" s="702"/>
      <c r="Y88" s="702"/>
      <c r="Z88" s="702"/>
      <c r="AA88" s="702"/>
      <c r="AB88" s="702"/>
      <c r="AC88" s="702"/>
    </row>
    <row r="89" ht="15.75" customHeight="1">
      <c r="A89" s="900" t="s">
        <v>566</v>
      </c>
      <c r="B89" s="900" t="s">
        <v>567</v>
      </c>
      <c r="C89" s="900" t="s">
        <v>568</v>
      </c>
      <c r="D89" s="900" t="s">
        <v>570</v>
      </c>
      <c r="E89" s="900" t="s">
        <v>572</v>
      </c>
      <c r="F89" s="900" t="s">
        <v>133</v>
      </c>
      <c r="G89" s="900" t="s">
        <v>573</v>
      </c>
      <c r="H89" s="747"/>
      <c r="I89" s="997"/>
      <c r="J89" s="997"/>
      <c r="K89" s="997"/>
      <c r="L89" s="997"/>
      <c r="M89" s="997"/>
      <c r="N89" s="997"/>
      <c r="O89" s="997"/>
      <c r="P89" s="747"/>
      <c r="Q89" s="747"/>
      <c r="R89" s="747"/>
      <c r="S89" s="747"/>
      <c r="T89" s="747"/>
      <c r="U89" s="747"/>
      <c r="V89" s="702"/>
      <c r="W89" s="702"/>
      <c r="X89" s="702"/>
      <c r="Y89" s="702"/>
      <c r="Z89" s="702"/>
      <c r="AA89" s="702"/>
      <c r="AB89" s="702"/>
      <c r="AC89" s="702"/>
    </row>
    <row r="90" ht="15.75" customHeight="1">
      <c r="A90" s="998" t="s">
        <v>709</v>
      </c>
      <c r="B90" s="96">
        <v>7.0</v>
      </c>
      <c r="C90" s="96" t="s">
        <v>1389</v>
      </c>
      <c r="D90" s="96" t="s">
        <v>1390</v>
      </c>
      <c r="E90" s="349" t="s">
        <v>1391</v>
      </c>
      <c r="F90" s="515" t="s">
        <v>1393</v>
      </c>
      <c r="G90" s="1000"/>
      <c r="H90" s="747"/>
      <c r="I90" s="716"/>
      <c r="J90" s="1001"/>
      <c r="K90" s="716"/>
      <c r="L90" s="716"/>
      <c r="M90" s="716"/>
      <c r="N90" s="716"/>
      <c r="O90" s="716"/>
      <c r="P90" s="702"/>
      <c r="Q90" s="702"/>
      <c r="R90" s="702"/>
      <c r="S90" s="747"/>
      <c r="T90" s="747"/>
      <c r="U90" s="747"/>
      <c r="V90" s="702"/>
      <c r="W90" s="702"/>
      <c r="X90" s="702"/>
      <c r="Y90" s="702"/>
      <c r="Z90" s="702"/>
      <c r="AA90" s="702"/>
      <c r="AB90" s="702"/>
      <c r="AC90" s="702"/>
    </row>
    <row r="91" ht="15.75" customHeight="1">
      <c r="A91" s="95" t="s">
        <v>112</v>
      </c>
      <c r="B91" s="96">
        <v>24.0</v>
      </c>
      <c r="C91" s="1002" t="s">
        <v>1395</v>
      </c>
      <c r="D91" s="1004" t="s">
        <v>1396</v>
      </c>
      <c r="E91" s="1006" t="s">
        <v>1398</v>
      </c>
      <c r="F91" s="1008" t="s">
        <v>1402</v>
      </c>
      <c r="G91" s="1000"/>
      <c r="H91" s="747"/>
      <c r="I91" s="716"/>
      <c r="J91" s="1001"/>
      <c r="K91" s="716"/>
      <c r="L91" s="716"/>
      <c r="M91" s="716"/>
      <c r="N91" s="716"/>
      <c r="O91" s="716"/>
      <c r="P91" s="702"/>
      <c r="Q91" s="702"/>
      <c r="R91" s="702"/>
      <c r="S91" s="747"/>
      <c r="T91" s="747"/>
      <c r="U91" s="747"/>
      <c r="V91" s="702"/>
      <c r="W91" s="702"/>
      <c r="X91" s="702"/>
      <c r="Y91" s="702"/>
      <c r="Z91" s="702"/>
      <c r="AA91" s="702"/>
      <c r="AB91" s="702"/>
      <c r="AC91" s="702"/>
    </row>
    <row r="92" ht="15.75" customHeight="1">
      <c r="A92" s="77" t="s">
        <v>113</v>
      </c>
      <c r="B92" s="79">
        <v>5.0</v>
      </c>
      <c r="C92" s="1012" t="s">
        <v>1410</v>
      </c>
      <c r="D92" s="1004" t="s">
        <v>1411</v>
      </c>
      <c r="E92" s="1006" t="s">
        <v>1412</v>
      </c>
      <c r="F92" s="1008" t="s">
        <v>1413</v>
      </c>
      <c r="G92" s="1014"/>
      <c r="H92" s="747"/>
      <c r="I92" s="1016"/>
      <c r="J92" s="1016"/>
      <c r="K92" s="1016"/>
      <c r="L92" s="1016"/>
      <c r="M92" s="1016"/>
      <c r="N92" s="1016"/>
      <c r="O92" s="1016"/>
      <c r="P92" s="702"/>
      <c r="Q92" s="702"/>
      <c r="R92" s="702"/>
      <c r="S92" s="747"/>
      <c r="T92" s="747"/>
      <c r="U92" s="747"/>
      <c r="V92" s="702"/>
      <c r="W92" s="702"/>
      <c r="X92" s="702"/>
      <c r="Y92" s="702"/>
      <c r="Z92" s="702"/>
      <c r="AA92" s="702"/>
      <c r="AB92" s="702"/>
      <c r="AC92" s="702"/>
    </row>
    <row r="93" ht="15.75" customHeight="1">
      <c r="A93" s="95" t="s">
        <v>114</v>
      </c>
      <c r="B93" s="96">
        <v>1.0</v>
      </c>
      <c r="C93" s="1004" t="s">
        <v>1423</v>
      </c>
      <c r="D93" s="1004" t="s">
        <v>1423</v>
      </c>
      <c r="E93" s="1021" t="s">
        <v>1424</v>
      </c>
      <c r="F93" s="1008" t="s">
        <v>1426</v>
      </c>
      <c r="G93" s="1000"/>
      <c r="H93" s="747"/>
      <c r="I93" s="716"/>
      <c r="J93" s="1001"/>
      <c r="K93" s="716"/>
      <c r="L93" s="716"/>
      <c r="M93" s="716"/>
      <c r="N93" s="716"/>
      <c r="O93" s="716"/>
      <c r="P93" s="702"/>
      <c r="Q93" s="702"/>
      <c r="R93" s="702"/>
      <c r="S93" s="747"/>
      <c r="T93" s="747"/>
      <c r="U93" s="747"/>
      <c r="V93" s="702"/>
      <c r="W93" s="702"/>
      <c r="X93" s="702"/>
      <c r="Y93" s="702"/>
      <c r="Z93" s="702"/>
      <c r="AA93" s="702"/>
      <c r="AB93" s="702"/>
      <c r="AC93" s="702"/>
    </row>
    <row r="94" ht="15.75" customHeight="1">
      <c r="A94" s="77" t="s">
        <v>391</v>
      </c>
      <c r="B94" s="79">
        <v>8.0</v>
      </c>
      <c r="C94" s="1024" t="s">
        <v>1434</v>
      </c>
      <c r="D94" s="1024" t="s">
        <v>1435</v>
      </c>
      <c r="E94" s="926"/>
      <c r="F94" s="1006" t="s">
        <v>1437</v>
      </c>
      <c r="G94" s="1014"/>
      <c r="H94" s="747"/>
      <c r="I94" s="747"/>
      <c r="J94" s="747"/>
      <c r="K94" s="747"/>
      <c r="L94" s="747"/>
      <c r="M94" s="747"/>
      <c r="N94" s="747"/>
      <c r="O94" s="747"/>
      <c r="P94" s="702"/>
      <c r="Q94" s="702"/>
      <c r="R94" s="702"/>
      <c r="S94" s="747"/>
      <c r="T94" s="747"/>
      <c r="U94" s="747"/>
      <c r="V94" s="702"/>
      <c r="W94" s="702"/>
      <c r="X94" s="702"/>
      <c r="Y94" s="702"/>
      <c r="Z94" s="702"/>
      <c r="AA94" s="702"/>
      <c r="AB94" s="702"/>
      <c r="AC94" s="702"/>
    </row>
    <row r="95" ht="15.75" customHeight="1">
      <c r="A95" s="95" t="s">
        <v>609</v>
      </c>
      <c r="B95" s="96">
        <v>11.0</v>
      </c>
      <c r="C95" s="1025" t="s">
        <v>1444</v>
      </c>
      <c r="D95" s="1025" t="s">
        <v>1445</v>
      </c>
      <c r="E95" s="1026"/>
      <c r="F95" s="1008" t="s">
        <v>1446</v>
      </c>
      <c r="G95" s="1000"/>
      <c r="H95" s="747"/>
      <c r="I95" s="747"/>
      <c r="J95" s="747"/>
      <c r="K95" s="747"/>
      <c r="L95" s="747"/>
      <c r="M95" s="747"/>
      <c r="N95" s="747"/>
      <c r="O95" s="747"/>
      <c r="P95" s="702"/>
      <c r="Q95" s="702"/>
      <c r="R95" s="702"/>
      <c r="S95" s="747"/>
      <c r="T95" s="747"/>
      <c r="U95" s="747"/>
      <c r="V95" s="702"/>
      <c r="W95" s="702"/>
      <c r="X95" s="702"/>
      <c r="Y95" s="702"/>
      <c r="Z95" s="702"/>
      <c r="AA95" s="702"/>
      <c r="AB95" s="702"/>
      <c r="AC95" s="702"/>
    </row>
    <row r="96" ht="15.75" customHeight="1">
      <c r="A96" s="1028" t="s">
        <v>1452</v>
      </c>
      <c r="B96" s="96">
        <v>8.0</v>
      </c>
      <c r="C96" s="1029" t="s">
        <v>1453</v>
      </c>
      <c r="D96" s="1030" t="s">
        <v>1455</v>
      </c>
      <c r="E96" s="515" t="s">
        <v>1457</v>
      </c>
      <c r="F96" s="515" t="s">
        <v>1461</v>
      </c>
      <c r="G96" s="1000"/>
      <c r="H96" s="747"/>
      <c r="I96" s="747"/>
      <c r="J96" s="747"/>
      <c r="K96" s="747"/>
      <c r="L96" s="747"/>
      <c r="M96" s="747"/>
      <c r="N96" s="747"/>
      <c r="O96" s="747"/>
      <c r="P96" s="702"/>
      <c r="Q96" s="702"/>
      <c r="R96" s="702"/>
      <c r="S96" s="747"/>
      <c r="T96" s="747"/>
      <c r="U96" s="747"/>
      <c r="V96" s="702"/>
      <c r="W96" s="702"/>
      <c r="X96" s="702"/>
      <c r="Y96" s="702"/>
      <c r="Z96" s="702"/>
      <c r="AA96" s="702"/>
      <c r="AB96" s="702"/>
      <c r="AC96" s="702"/>
    </row>
    <row r="97" ht="15.75" customHeight="1">
      <c r="A97" s="1028" t="s">
        <v>1468</v>
      </c>
      <c r="B97" s="96">
        <v>7.0</v>
      </c>
      <c r="C97" s="1038" t="s">
        <v>1470</v>
      </c>
      <c r="D97" s="1030" t="s">
        <v>1471</v>
      </c>
      <c r="E97" s="515" t="s">
        <v>1472</v>
      </c>
      <c r="F97" s="515" t="s">
        <v>1473</v>
      </c>
      <c r="G97" s="1000"/>
      <c r="H97" s="747"/>
      <c r="I97" s="747"/>
      <c r="J97" s="747"/>
      <c r="K97" s="747"/>
      <c r="L97" s="747"/>
      <c r="M97" s="747"/>
      <c r="N97" s="747"/>
      <c r="O97" s="747"/>
      <c r="P97" s="702"/>
      <c r="Q97" s="702"/>
      <c r="R97" s="702"/>
      <c r="S97" s="747"/>
      <c r="T97" s="747"/>
      <c r="U97" s="747"/>
      <c r="V97" s="702"/>
      <c r="W97" s="702"/>
      <c r="X97" s="702"/>
      <c r="Y97" s="702"/>
      <c r="Z97" s="702"/>
      <c r="AA97" s="702"/>
      <c r="AB97" s="702"/>
      <c r="AC97" s="702"/>
    </row>
    <row r="98" ht="15.75" customHeight="1">
      <c r="A98" s="1028" t="s">
        <v>1487</v>
      </c>
      <c r="B98" s="96">
        <v>1.0</v>
      </c>
      <c r="C98" s="1038" t="s">
        <v>1423</v>
      </c>
      <c r="D98" s="1030" t="s">
        <v>1423</v>
      </c>
      <c r="E98" s="515" t="s">
        <v>1488</v>
      </c>
      <c r="F98" s="515" t="s">
        <v>1489</v>
      </c>
      <c r="G98" s="1000"/>
      <c r="H98" s="747"/>
      <c r="I98" s="702"/>
      <c r="J98" s="702"/>
      <c r="K98" s="702"/>
      <c r="L98" s="702"/>
      <c r="M98" s="702"/>
      <c r="N98" s="702"/>
      <c r="O98" s="702"/>
      <c r="P98" s="702"/>
      <c r="Q98" s="702"/>
      <c r="R98" s="702"/>
      <c r="S98" s="747"/>
      <c r="T98" s="747"/>
      <c r="U98" s="747"/>
      <c r="V98" s="702"/>
      <c r="W98" s="702"/>
      <c r="X98" s="702"/>
      <c r="Y98" s="702"/>
      <c r="Z98" s="702"/>
      <c r="AA98" s="702"/>
      <c r="AB98" s="702"/>
      <c r="AC98" s="702"/>
    </row>
    <row r="99" ht="15.75" customHeight="1">
      <c r="A99" s="77" t="s">
        <v>107</v>
      </c>
      <c r="B99" s="79">
        <v>62.0</v>
      </c>
      <c r="C99" s="1047" t="s">
        <v>1212</v>
      </c>
      <c r="D99" s="1004" t="s">
        <v>1499</v>
      </c>
      <c r="E99" s="1049" t="s">
        <v>1500</v>
      </c>
      <c r="F99" s="1049" t="s">
        <v>1502</v>
      </c>
      <c r="G99" s="1014"/>
      <c r="H99" s="747"/>
      <c r="I99" s="702"/>
      <c r="J99" s="702"/>
      <c r="K99" s="702"/>
      <c r="L99" s="702"/>
      <c r="M99" s="702"/>
      <c r="N99" s="702"/>
      <c r="O99" s="702"/>
      <c r="P99" s="702"/>
      <c r="Q99" s="702"/>
      <c r="R99" s="702"/>
      <c r="S99" s="747"/>
      <c r="T99" s="747"/>
      <c r="U99" s="747"/>
      <c r="V99" s="702"/>
      <c r="W99" s="702"/>
      <c r="X99" s="702"/>
      <c r="Y99" s="702"/>
      <c r="Z99" s="702"/>
      <c r="AA99" s="702"/>
      <c r="AB99" s="702"/>
      <c r="AC99" s="702"/>
    </row>
    <row r="100" ht="15.75" customHeight="1">
      <c r="A100" s="95" t="s">
        <v>616</v>
      </c>
      <c r="B100" s="96">
        <v>4.0</v>
      </c>
      <c r="C100" s="1004" t="s">
        <v>1508</v>
      </c>
      <c r="D100" s="1004" t="s">
        <v>1509</v>
      </c>
      <c r="E100" s="1049" t="s">
        <v>1510</v>
      </c>
      <c r="F100" s="1049" t="s">
        <v>1513</v>
      </c>
      <c r="G100" s="1000"/>
      <c r="H100" s="747"/>
      <c r="I100" s="702"/>
      <c r="J100" s="702"/>
      <c r="K100" s="702"/>
      <c r="L100" s="702"/>
      <c r="M100" s="702"/>
      <c r="N100" s="702"/>
      <c r="O100" s="702"/>
      <c r="P100" s="702"/>
      <c r="Q100" s="702"/>
      <c r="R100" s="702"/>
      <c r="S100" s="747"/>
      <c r="T100" s="747"/>
      <c r="U100" s="747"/>
      <c r="V100" s="702"/>
      <c r="W100" s="702"/>
      <c r="X100" s="702"/>
      <c r="Y100" s="702"/>
      <c r="Z100" s="702"/>
      <c r="AA100" s="702"/>
      <c r="AB100" s="702"/>
      <c r="AC100" s="702"/>
    </row>
    <row r="101" ht="15.75" customHeight="1">
      <c r="A101" s="77" t="s">
        <v>110</v>
      </c>
      <c r="B101" s="79">
        <v>6.0</v>
      </c>
      <c r="C101" s="1012" t="s">
        <v>1516</v>
      </c>
      <c r="D101" s="1004" t="s">
        <v>1517</v>
      </c>
      <c r="E101" s="1049" t="s">
        <v>1518</v>
      </c>
      <c r="F101" s="1049" t="s">
        <v>1519</v>
      </c>
      <c r="G101" s="1014"/>
      <c r="H101" s="747"/>
      <c r="I101" s="702"/>
      <c r="J101" s="702"/>
      <c r="K101" s="702"/>
      <c r="L101" s="702"/>
      <c r="M101" s="702"/>
      <c r="N101" s="702"/>
      <c r="O101" s="702"/>
      <c r="P101" s="702"/>
      <c r="Q101" s="702"/>
      <c r="R101" s="702"/>
      <c r="S101" s="747"/>
      <c r="T101" s="747"/>
      <c r="U101" s="747"/>
      <c r="V101" s="702"/>
      <c r="W101" s="702"/>
      <c r="X101" s="702"/>
      <c r="Y101" s="702"/>
      <c r="Z101" s="702"/>
      <c r="AA101" s="702"/>
      <c r="AB101" s="702"/>
      <c r="AC101" s="702"/>
    </row>
    <row r="102" ht="15.75" customHeight="1">
      <c r="A102" s="95" t="s">
        <v>111</v>
      </c>
      <c r="B102" s="96">
        <v>4.0</v>
      </c>
      <c r="C102" s="1004" t="s">
        <v>1521</v>
      </c>
      <c r="D102" s="1004" t="s">
        <v>1522</v>
      </c>
      <c r="E102" s="1049" t="s">
        <v>1523</v>
      </c>
      <c r="F102" s="1049" t="s">
        <v>1527</v>
      </c>
      <c r="G102" s="1000"/>
      <c r="H102" s="747"/>
      <c r="I102" s="702"/>
      <c r="J102" s="702"/>
      <c r="K102" s="702"/>
      <c r="L102" s="702"/>
      <c r="M102" s="702"/>
      <c r="N102" s="702"/>
      <c r="O102" s="702"/>
      <c r="P102" s="702"/>
      <c r="Q102" s="702"/>
      <c r="R102" s="702"/>
      <c r="S102" s="747"/>
      <c r="T102" s="747"/>
      <c r="U102" s="747"/>
      <c r="V102" s="702"/>
      <c r="W102" s="702"/>
      <c r="X102" s="702"/>
      <c r="Y102" s="702"/>
      <c r="Z102" s="702"/>
      <c r="AA102" s="702"/>
      <c r="AB102" s="702"/>
      <c r="AC102" s="702"/>
    </row>
    <row r="103" ht="15.75" customHeight="1">
      <c r="A103" s="77" t="s">
        <v>116</v>
      </c>
      <c r="B103" s="79">
        <v>28.0</v>
      </c>
      <c r="C103" s="1012" t="s">
        <v>1530</v>
      </c>
      <c r="D103" s="1004" t="s">
        <v>1532</v>
      </c>
      <c r="E103" s="600" t="s">
        <v>1533</v>
      </c>
      <c r="F103" s="1054" t="s">
        <v>1534</v>
      </c>
      <c r="G103" s="1014"/>
      <c r="H103" s="747"/>
      <c r="I103" s="702"/>
      <c r="J103" s="702"/>
      <c r="K103" s="702"/>
      <c r="L103" s="702"/>
      <c r="M103" s="702"/>
      <c r="N103" s="702"/>
      <c r="O103" s="702"/>
      <c r="P103" s="702"/>
      <c r="Q103" s="702"/>
      <c r="R103" s="702"/>
      <c r="S103" s="747"/>
      <c r="T103" s="747"/>
      <c r="U103" s="747"/>
      <c r="V103" s="702"/>
      <c r="W103" s="702"/>
      <c r="X103" s="702"/>
      <c r="Y103" s="702"/>
      <c r="Z103" s="702"/>
      <c r="AA103" s="702"/>
      <c r="AB103" s="702"/>
      <c r="AC103" s="702"/>
    </row>
    <row r="104" ht="15.75" customHeight="1">
      <c r="A104" s="95" t="s">
        <v>642</v>
      </c>
      <c r="B104" s="96">
        <v>72.0</v>
      </c>
      <c r="C104" s="1004" t="s">
        <v>1535</v>
      </c>
      <c r="D104" s="1004" t="s">
        <v>1536</v>
      </c>
      <c r="E104" s="1008" t="s">
        <v>1537</v>
      </c>
      <c r="F104" s="1008" t="s">
        <v>1540</v>
      </c>
      <c r="G104" s="1000"/>
      <c r="H104" s="747"/>
      <c r="I104" s="702"/>
      <c r="J104" s="702"/>
      <c r="K104" s="702"/>
      <c r="L104" s="702"/>
      <c r="M104" s="702"/>
      <c r="N104" s="702"/>
      <c r="O104" s="702"/>
      <c r="P104" s="702"/>
      <c r="Q104" s="702"/>
      <c r="R104" s="702"/>
      <c r="S104" s="747"/>
      <c r="T104" s="747"/>
      <c r="U104" s="747"/>
      <c r="V104" s="702"/>
      <c r="W104" s="702"/>
      <c r="X104" s="702"/>
      <c r="Y104" s="702"/>
      <c r="Z104" s="702"/>
      <c r="AA104" s="702"/>
      <c r="AB104" s="702"/>
      <c r="AC104" s="702"/>
    </row>
    <row r="105" ht="15.75" customHeight="1">
      <c r="A105" s="95" t="s">
        <v>687</v>
      </c>
      <c r="B105" s="96">
        <v>15.0</v>
      </c>
      <c r="C105" s="1004" t="s">
        <v>1546</v>
      </c>
      <c r="D105" s="1004" t="s">
        <v>1547</v>
      </c>
      <c r="E105" s="1008" t="s">
        <v>1548</v>
      </c>
      <c r="F105" s="1008" t="s">
        <v>1549</v>
      </c>
      <c r="G105" s="1000"/>
      <c r="H105" s="747"/>
      <c r="I105" s="702"/>
      <c r="J105" s="702"/>
      <c r="K105" s="702"/>
      <c r="L105" s="702"/>
      <c r="M105" s="702"/>
      <c r="N105" s="702"/>
      <c r="O105" s="702"/>
      <c r="P105" s="702"/>
      <c r="Q105" s="702"/>
      <c r="R105" s="702"/>
      <c r="S105" s="747"/>
      <c r="T105" s="747"/>
      <c r="U105" s="747"/>
      <c r="V105" s="702"/>
      <c r="W105" s="702"/>
      <c r="X105" s="702"/>
      <c r="Y105" s="702"/>
      <c r="Z105" s="702"/>
      <c r="AA105" s="702"/>
      <c r="AB105" s="702"/>
      <c r="AC105" s="702"/>
    </row>
    <row r="106" ht="15.75" customHeight="1">
      <c r="A106" s="1055" t="s">
        <v>734</v>
      </c>
      <c r="B106" s="1056">
        <v>2.0</v>
      </c>
      <c r="C106" s="1057" t="s">
        <v>1552</v>
      </c>
      <c r="D106" s="1004" t="s">
        <v>1554</v>
      </c>
      <c r="E106" s="1058"/>
      <c r="F106" s="1059" t="s">
        <v>746</v>
      </c>
      <c r="G106" s="927"/>
      <c r="H106" s="747"/>
      <c r="I106" s="702"/>
      <c r="J106" s="702"/>
      <c r="K106" s="702"/>
      <c r="L106" s="702"/>
      <c r="M106" s="702"/>
      <c r="N106" s="702"/>
      <c r="O106" s="702"/>
      <c r="P106" s="702"/>
      <c r="Q106" s="702"/>
      <c r="R106" s="702"/>
      <c r="S106" s="747"/>
      <c r="T106" s="747"/>
      <c r="U106" s="747"/>
      <c r="V106" s="702"/>
      <c r="W106" s="702"/>
      <c r="X106" s="702"/>
      <c r="Y106" s="702"/>
      <c r="Z106" s="702"/>
      <c r="AA106" s="702"/>
      <c r="AB106" s="702"/>
      <c r="AC106" s="702"/>
    </row>
    <row r="107" ht="15.75" customHeight="1">
      <c r="A107" s="1061" t="s">
        <v>389</v>
      </c>
      <c r="B107" s="1062">
        <v>2.0</v>
      </c>
      <c r="C107" s="1065" t="s">
        <v>1559</v>
      </c>
      <c r="D107" s="1004" t="s">
        <v>1560</v>
      </c>
      <c r="E107" s="515" t="s">
        <v>1561</v>
      </c>
      <c r="F107" s="515" t="s">
        <v>1563</v>
      </c>
      <c r="G107" s="150" t="s">
        <v>749</v>
      </c>
      <c r="H107" s="747"/>
      <c r="I107" s="702"/>
      <c r="J107" s="702"/>
      <c r="K107" s="702"/>
      <c r="L107" s="702"/>
      <c r="M107" s="702"/>
      <c r="N107" s="702"/>
      <c r="O107" s="702"/>
      <c r="P107" s="702"/>
      <c r="Q107" s="702"/>
      <c r="R107" s="702"/>
      <c r="S107" s="747"/>
      <c r="T107" s="747"/>
      <c r="U107" s="747"/>
      <c r="V107" s="702"/>
      <c r="W107" s="702"/>
      <c r="X107" s="702"/>
      <c r="Y107" s="702"/>
      <c r="Z107" s="702"/>
      <c r="AA107" s="702"/>
      <c r="AB107" s="702"/>
      <c r="AC107" s="702"/>
    </row>
    <row r="108" ht="15.75" customHeight="1">
      <c r="A108" s="1061" t="s">
        <v>390</v>
      </c>
      <c r="B108" s="1062">
        <v>2.0</v>
      </c>
      <c r="C108" s="1065" t="s">
        <v>1566</v>
      </c>
      <c r="D108" s="1075" t="s">
        <v>1567</v>
      </c>
      <c r="E108" s="515" t="s">
        <v>1568</v>
      </c>
      <c r="F108" s="515" t="s">
        <v>1569</v>
      </c>
      <c r="G108" s="150" t="s">
        <v>749</v>
      </c>
      <c r="H108" s="747"/>
      <c r="I108" s="702"/>
      <c r="J108" s="702"/>
      <c r="K108" s="702"/>
      <c r="L108" s="702"/>
      <c r="M108" s="702"/>
      <c r="N108" s="702"/>
      <c r="O108" s="702"/>
      <c r="P108" s="702"/>
      <c r="Q108" s="702"/>
      <c r="R108" s="702"/>
      <c r="S108" s="747"/>
      <c r="T108" s="747"/>
      <c r="U108" s="747"/>
      <c r="V108" s="702"/>
      <c r="W108" s="702"/>
      <c r="X108" s="702"/>
      <c r="Y108" s="702"/>
      <c r="Z108" s="702"/>
      <c r="AA108" s="702"/>
      <c r="AB108" s="702"/>
      <c r="AC108" s="702"/>
    </row>
    <row r="109" ht="15.75" customHeight="1">
      <c r="A109" s="77" t="s">
        <v>700</v>
      </c>
      <c r="B109" s="79">
        <v>2.0</v>
      </c>
      <c r="C109" s="1047" t="s">
        <v>1575</v>
      </c>
      <c r="D109" s="1079" t="s">
        <v>1576</v>
      </c>
      <c r="E109" s="1008" t="s">
        <v>1578</v>
      </c>
      <c r="F109" s="1008" t="s">
        <v>1584</v>
      </c>
      <c r="G109" s="1014"/>
      <c r="H109" s="747"/>
      <c r="I109" s="702"/>
      <c r="J109" s="702"/>
      <c r="K109" s="702"/>
      <c r="L109" s="702"/>
      <c r="M109" s="702"/>
      <c r="N109" s="702"/>
      <c r="O109" s="702"/>
      <c r="P109" s="702"/>
      <c r="Q109" s="702"/>
      <c r="R109" s="702"/>
      <c r="S109" s="747"/>
      <c r="T109" s="747"/>
      <c r="U109" s="747"/>
      <c r="V109" s="702"/>
      <c r="W109" s="702"/>
      <c r="X109" s="702"/>
      <c r="Y109" s="702"/>
      <c r="Z109" s="702"/>
      <c r="AA109" s="702"/>
      <c r="AB109" s="702"/>
      <c r="AC109" s="702"/>
    </row>
    <row r="110" ht="15.75" customHeight="1">
      <c r="A110" s="77" t="s">
        <v>718</v>
      </c>
      <c r="B110" s="79">
        <v>1.0</v>
      </c>
      <c r="C110" s="1012" t="s">
        <v>1590</v>
      </c>
      <c r="D110" s="1004" t="s">
        <v>1590</v>
      </c>
      <c r="E110" s="1085" t="s">
        <v>1592</v>
      </c>
      <c r="F110" s="1085" t="s">
        <v>1593</v>
      </c>
      <c r="G110" s="927"/>
      <c r="H110" s="747"/>
      <c r="I110" s="702"/>
      <c r="J110" s="702"/>
      <c r="K110" s="702"/>
      <c r="L110" s="702"/>
      <c r="M110" s="702"/>
      <c r="N110" s="702"/>
      <c r="O110" s="702"/>
      <c r="P110" s="702"/>
      <c r="Q110" s="702"/>
      <c r="R110" s="702"/>
      <c r="S110" s="747"/>
      <c r="T110" s="747"/>
      <c r="U110" s="747"/>
      <c r="V110" s="702"/>
      <c r="W110" s="702"/>
      <c r="X110" s="702"/>
      <c r="Y110" s="702"/>
      <c r="Z110" s="702"/>
      <c r="AA110" s="702"/>
      <c r="AB110" s="702"/>
      <c r="AC110" s="702"/>
    </row>
    <row r="111" ht="15.75" customHeight="1">
      <c r="A111" s="77" t="s">
        <v>734</v>
      </c>
      <c r="B111" s="79">
        <v>7.0</v>
      </c>
      <c r="C111" s="1012" t="s">
        <v>1552</v>
      </c>
      <c r="D111" s="1004" t="s">
        <v>1594</v>
      </c>
      <c r="E111" s="1092"/>
      <c r="F111" s="1094" t="s">
        <v>1595</v>
      </c>
      <c r="G111" s="927"/>
      <c r="H111" s="747"/>
      <c r="I111" s="702"/>
      <c r="J111" s="702"/>
      <c r="K111" s="702"/>
      <c r="L111" s="702"/>
      <c r="M111" s="702"/>
      <c r="N111" s="702"/>
      <c r="O111" s="702"/>
      <c r="P111" s="702"/>
      <c r="Q111" s="702"/>
      <c r="R111" s="702"/>
      <c r="S111" s="747"/>
      <c r="T111" s="747"/>
      <c r="U111" s="747"/>
      <c r="V111" s="702"/>
      <c r="W111" s="702"/>
      <c r="X111" s="702"/>
      <c r="Y111" s="702"/>
      <c r="Z111" s="702"/>
      <c r="AA111" s="702"/>
      <c r="AB111" s="702"/>
      <c r="AC111" s="702"/>
    </row>
    <row r="112" ht="15.75" customHeight="1">
      <c r="A112" s="77" t="s">
        <v>726</v>
      </c>
      <c r="B112" s="79">
        <v>4.0</v>
      </c>
      <c r="C112" s="1012" t="s">
        <v>1603</v>
      </c>
      <c r="D112" s="1004" t="s">
        <v>1604</v>
      </c>
      <c r="E112" s="1094" t="s">
        <v>1607</v>
      </c>
      <c r="F112" s="1059" t="s">
        <v>727</v>
      </c>
      <c r="G112" s="927"/>
      <c r="H112" s="747"/>
      <c r="I112" s="702"/>
      <c r="J112" s="702"/>
      <c r="K112" s="702"/>
      <c r="L112" s="702"/>
      <c r="M112" s="702"/>
      <c r="N112" s="702"/>
      <c r="O112" s="702"/>
      <c r="P112" s="702"/>
      <c r="Q112" s="702"/>
      <c r="R112" s="702"/>
      <c r="S112" s="747"/>
      <c r="T112" s="747"/>
      <c r="U112" s="747"/>
      <c r="V112" s="702"/>
      <c r="W112" s="702"/>
      <c r="X112" s="702"/>
      <c r="Y112" s="702"/>
      <c r="Z112" s="702"/>
      <c r="AA112" s="702"/>
      <c r="AB112" s="702"/>
      <c r="AC112" s="702"/>
    </row>
    <row r="113" ht="15.75" customHeight="1">
      <c r="A113" s="77" t="s">
        <v>729</v>
      </c>
      <c r="B113" s="79">
        <v>2.0</v>
      </c>
      <c r="C113" s="1012" t="s">
        <v>1614</v>
      </c>
      <c r="D113" s="1004" t="s">
        <v>1616</v>
      </c>
      <c r="E113" s="1105" t="s">
        <v>730</v>
      </c>
      <c r="F113" s="1105" t="s">
        <v>730</v>
      </c>
      <c r="G113" s="927"/>
      <c r="H113" s="747"/>
      <c r="I113" s="702"/>
      <c r="J113" s="702"/>
      <c r="K113" s="702"/>
      <c r="L113" s="702"/>
      <c r="M113" s="702"/>
      <c r="N113" s="702"/>
      <c r="O113" s="702"/>
      <c r="P113" s="702"/>
      <c r="Q113" s="702"/>
      <c r="R113" s="702"/>
      <c r="S113" s="747"/>
      <c r="T113" s="747"/>
      <c r="U113" s="747"/>
      <c r="V113" s="702"/>
      <c r="W113" s="702"/>
      <c r="X113" s="702"/>
      <c r="Y113" s="702"/>
      <c r="Z113" s="702"/>
      <c r="AA113" s="702"/>
      <c r="AB113" s="702"/>
      <c r="AC113" s="702"/>
    </row>
    <row r="114" ht="15.75" customHeight="1">
      <c r="A114" s="77" t="s">
        <v>1622</v>
      </c>
      <c r="B114" s="79">
        <v>4.0</v>
      </c>
      <c r="C114" s="1012" t="s">
        <v>1623</v>
      </c>
      <c r="D114" s="1004" t="s">
        <v>1625</v>
      </c>
      <c r="E114" s="1105" t="s">
        <v>1626</v>
      </c>
      <c r="F114" s="1110" t="s">
        <v>1628</v>
      </c>
      <c r="G114" s="927"/>
      <c r="H114" s="747"/>
      <c r="I114" s="702"/>
      <c r="J114" s="702"/>
      <c r="K114" s="702"/>
      <c r="L114" s="702"/>
      <c r="M114" s="702"/>
      <c r="N114" s="702"/>
      <c r="O114" s="702"/>
      <c r="P114" s="702"/>
      <c r="Q114" s="702"/>
      <c r="R114" s="702"/>
      <c r="S114" s="747"/>
      <c r="T114" s="747"/>
      <c r="U114" s="747"/>
      <c r="V114" s="702"/>
      <c r="W114" s="702"/>
      <c r="X114" s="702"/>
      <c r="Y114" s="702"/>
      <c r="Z114" s="702"/>
      <c r="AA114" s="702"/>
      <c r="AB114" s="702"/>
      <c r="AC114" s="702"/>
    </row>
    <row r="115" ht="15.75" customHeight="1">
      <c r="A115" s="77" t="s">
        <v>731</v>
      </c>
      <c r="B115" s="79">
        <v>3.0</v>
      </c>
      <c r="C115" s="1012" t="s">
        <v>1633</v>
      </c>
      <c r="D115" s="1004" t="s">
        <v>1634</v>
      </c>
      <c r="E115" s="1110" t="s">
        <v>1635</v>
      </c>
      <c r="F115" s="1110" t="s">
        <v>1640</v>
      </c>
      <c r="G115" s="927"/>
      <c r="H115" s="747"/>
      <c r="I115" s="702"/>
      <c r="J115" s="702"/>
      <c r="K115" s="702"/>
      <c r="L115" s="702"/>
      <c r="M115" s="702"/>
      <c r="N115" s="702"/>
      <c r="O115" s="702"/>
      <c r="P115" s="702"/>
      <c r="Q115" s="702"/>
      <c r="R115" s="702"/>
      <c r="S115" s="747"/>
      <c r="T115" s="747"/>
      <c r="U115" s="747"/>
      <c r="V115" s="702"/>
      <c r="W115" s="702"/>
      <c r="X115" s="702"/>
      <c r="Y115" s="702"/>
      <c r="Z115" s="702"/>
      <c r="AA115" s="702"/>
      <c r="AB115" s="702"/>
      <c r="AC115" s="702"/>
    </row>
    <row r="116" ht="15.75" customHeight="1">
      <c r="A116" s="77" t="s">
        <v>650</v>
      </c>
      <c r="B116" s="79">
        <v>7.0</v>
      </c>
      <c r="C116" s="1012" t="s">
        <v>1647</v>
      </c>
      <c r="D116" s="1004" t="s">
        <v>1648</v>
      </c>
      <c r="E116" s="1008" t="s">
        <v>1649</v>
      </c>
      <c r="F116" s="1008" t="s">
        <v>1653</v>
      </c>
      <c r="G116" s="1014"/>
      <c r="H116" s="747"/>
      <c r="I116" s="702"/>
      <c r="J116" s="702"/>
      <c r="K116" s="702"/>
      <c r="L116" s="702"/>
      <c r="M116" s="702"/>
      <c r="N116" s="702"/>
      <c r="O116" s="702"/>
      <c r="P116" s="702"/>
      <c r="Q116" s="702"/>
      <c r="R116" s="702"/>
      <c r="S116" s="747"/>
      <c r="T116" s="747"/>
      <c r="U116" s="747"/>
      <c r="V116" s="702"/>
      <c r="W116" s="702"/>
      <c r="X116" s="702"/>
      <c r="Y116" s="702"/>
      <c r="Z116" s="702"/>
      <c r="AA116" s="702"/>
      <c r="AB116" s="702"/>
      <c r="AC116" s="702"/>
    </row>
    <row r="117" ht="15.75" customHeight="1">
      <c r="A117" s="95" t="s">
        <v>663</v>
      </c>
      <c r="B117" s="96">
        <v>6.0</v>
      </c>
      <c r="C117" s="1004" t="s">
        <v>1658</v>
      </c>
      <c r="D117" s="1004" t="s">
        <v>1659</v>
      </c>
      <c r="E117" s="1008" t="s">
        <v>1660</v>
      </c>
      <c r="F117" s="1008" t="s">
        <v>1666</v>
      </c>
      <c r="G117" s="1118" t="s">
        <v>669</v>
      </c>
      <c r="H117" s="747"/>
      <c r="I117" s="702"/>
      <c r="J117" s="702"/>
      <c r="K117" s="702"/>
      <c r="L117" s="702"/>
      <c r="M117" s="702"/>
      <c r="N117" s="702"/>
      <c r="O117" s="702"/>
      <c r="P117" s="702"/>
      <c r="Q117" s="702"/>
      <c r="R117" s="702"/>
      <c r="S117" s="747"/>
      <c r="T117" s="747"/>
      <c r="U117" s="747"/>
      <c r="V117" s="702"/>
      <c r="W117" s="702"/>
      <c r="X117" s="702"/>
      <c r="Y117" s="702"/>
      <c r="Z117" s="702"/>
      <c r="AA117" s="702"/>
      <c r="AB117" s="702"/>
      <c r="AC117" s="702"/>
    </row>
    <row r="118" ht="15.75" customHeight="1">
      <c r="A118" s="1120" t="s">
        <v>753</v>
      </c>
      <c r="B118" s="96">
        <v>2.0</v>
      </c>
      <c r="C118" s="1004" t="s">
        <v>1678</v>
      </c>
      <c r="D118" s="1004" t="s">
        <v>1680</v>
      </c>
      <c r="E118" s="1008" t="s">
        <v>1682</v>
      </c>
      <c r="F118" s="515" t="s">
        <v>1685</v>
      </c>
      <c r="G118" s="1000"/>
      <c r="H118" s="747"/>
      <c r="I118" s="702"/>
      <c r="J118" s="702"/>
      <c r="K118" s="702"/>
      <c r="L118" s="702"/>
      <c r="M118" s="702"/>
      <c r="N118" s="702"/>
      <c r="O118" s="702"/>
      <c r="P118" s="702"/>
      <c r="Q118" s="702"/>
      <c r="R118" s="702"/>
      <c r="S118" s="747"/>
      <c r="T118" s="747"/>
      <c r="U118" s="747"/>
      <c r="V118" s="702"/>
      <c r="W118" s="702"/>
      <c r="X118" s="702"/>
      <c r="Y118" s="702"/>
      <c r="Z118" s="702"/>
      <c r="AA118" s="702"/>
      <c r="AB118" s="702"/>
      <c r="AC118" s="702"/>
    </row>
    <row r="119" ht="15.75" customHeight="1">
      <c r="A119" s="95" t="s">
        <v>672</v>
      </c>
      <c r="B119" s="96">
        <v>7.0</v>
      </c>
      <c r="C119" s="1004" t="s">
        <v>1694</v>
      </c>
      <c r="D119" s="1004" t="s">
        <v>1695</v>
      </c>
      <c r="E119" s="1008" t="s">
        <v>1696</v>
      </c>
      <c r="F119" s="1008" t="s">
        <v>1701</v>
      </c>
      <c r="G119" s="1000"/>
      <c r="H119" s="747"/>
      <c r="I119" s="702"/>
      <c r="J119" s="702"/>
      <c r="K119" s="702"/>
      <c r="L119" s="702"/>
      <c r="M119" s="702"/>
      <c r="N119" s="702"/>
      <c r="O119" s="702"/>
      <c r="P119" s="702"/>
      <c r="Q119" s="702"/>
      <c r="R119" s="702"/>
      <c r="S119" s="747"/>
      <c r="T119" s="747"/>
      <c r="U119" s="747"/>
      <c r="V119" s="702"/>
      <c r="W119" s="702"/>
      <c r="X119" s="702"/>
      <c r="Y119" s="702"/>
      <c r="Z119" s="702"/>
      <c r="AA119" s="702"/>
      <c r="AB119" s="702"/>
      <c r="AC119" s="702"/>
    </row>
    <row r="120" ht="15.75" customHeight="1">
      <c r="A120" s="95" t="s">
        <v>677</v>
      </c>
      <c r="B120" s="96">
        <v>7.0</v>
      </c>
      <c r="C120" s="1004" t="s">
        <v>1704</v>
      </c>
      <c r="D120" s="1004" t="s">
        <v>1706</v>
      </c>
      <c r="E120" s="1008" t="s">
        <v>1707</v>
      </c>
      <c r="F120" s="1008" t="s">
        <v>1714</v>
      </c>
      <c r="G120" s="1000"/>
      <c r="H120" s="747"/>
      <c r="I120" s="702"/>
      <c r="J120" s="702"/>
      <c r="K120" s="702"/>
      <c r="L120" s="702"/>
      <c r="M120" s="702"/>
      <c r="N120" s="702"/>
      <c r="O120" s="702"/>
      <c r="P120" s="702"/>
      <c r="Q120" s="702"/>
      <c r="R120" s="702"/>
      <c r="S120" s="747"/>
      <c r="T120" s="747"/>
      <c r="U120" s="747"/>
      <c r="V120" s="702"/>
      <c r="W120" s="702"/>
      <c r="X120" s="702"/>
      <c r="Y120" s="702"/>
      <c r="Z120" s="702"/>
      <c r="AA120" s="702"/>
      <c r="AB120" s="702"/>
      <c r="AC120" s="702"/>
    </row>
    <row r="121" ht="15.75" customHeight="1">
      <c r="A121" s="77" t="s">
        <v>682</v>
      </c>
      <c r="B121" s="79">
        <v>4.0</v>
      </c>
      <c r="C121" s="1012" t="s">
        <v>1721</v>
      </c>
      <c r="D121" s="1004" t="s">
        <v>1722</v>
      </c>
      <c r="E121" s="1054" t="s">
        <v>1723</v>
      </c>
      <c r="F121" s="1054" t="s">
        <v>1729</v>
      </c>
      <c r="G121" s="797"/>
      <c r="H121" s="747"/>
      <c r="I121" s="702"/>
      <c r="J121" s="702"/>
      <c r="K121" s="702"/>
      <c r="L121" s="702"/>
      <c r="M121" s="702"/>
      <c r="N121" s="702"/>
      <c r="O121" s="702"/>
      <c r="P121" s="702"/>
      <c r="Q121" s="702"/>
      <c r="R121" s="702"/>
      <c r="S121" s="747"/>
      <c r="T121" s="747"/>
      <c r="U121" s="747"/>
      <c r="V121" s="702"/>
      <c r="W121" s="702"/>
      <c r="X121" s="702"/>
      <c r="Y121" s="702"/>
      <c r="Z121" s="702"/>
      <c r="AA121" s="702"/>
      <c r="AB121" s="702"/>
      <c r="AC121" s="702"/>
    </row>
    <row r="122" ht="15.75" customHeight="1">
      <c r="A122" s="150" t="s">
        <v>762</v>
      </c>
      <c r="B122" s="1136"/>
      <c r="C122" s="1137"/>
      <c r="D122" s="1029" t="s">
        <v>1734</v>
      </c>
      <c r="E122" s="1136"/>
      <c r="F122" s="1136"/>
      <c r="G122" s="1136"/>
      <c r="H122" s="747"/>
      <c r="I122" s="702"/>
      <c r="J122" s="702"/>
      <c r="K122" s="702"/>
      <c r="L122" s="702"/>
      <c r="M122" s="702"/>
      <c r="N122" s="702"/>
      <c r="O122" s="702"/>
      <c r="P122" s="702"/>
      <c r="Q122" s="702"/>
      <c r="R122" s="702"/>
      <c r="S122" s="747"/>
      <c r="T122" s="747"/>
      <c r="U122" s="747"/>
      <c r="V122" s="702"/>
      <c r="W122" s="702"/>
      <c r="X122" s="702"/>
      <c r="Y122" s="702"/>
      <c r="Z122" s="702"/>
      <c r="AA122" s="702"/>
      <c r="AB122" s="702"/>
      <c r="AC122" s="702"/>
    </row>
    <row r="123" ht="15.75" customHeight="1">
      <c r="A123" s="1139" t="s">
        <v>1738</v>
      </c>
      <c r="B123" s="1140"/>
      <c r="C123" s="1140"/>
      <c r="D123" s="1142" t="s">
        <v>1740</v>
      </c>
      <c r="E123" s="747"/>
      <c r="F123" s="748"/>
      <c r="G123" s="748"/>
      <c r="H123" s="748"/>
      <c r="I123" s="702"/>
      <c r="J123" s="702"/>
      <c r="K123" s="702"/>
      <c r="L123" s="702"/>
      <c r="M123" s="702"/>
      <c r="N123" s="702"/>
      <c r="O123" s="702"/>
      <c r="P123" s="702"/>
      <c r="Q123" s="702"/>
      <c r="R123" s="702"/>
      <c r="S123" s="747"/>
      <c r="T123" s="747"/>
      <c r="U123" s="747"/>
      <c r="V123" s="702"/>
      <c r="W123" s="702"/>
      <c r="X123" s="702"/>
      <c r="Y123" s="702"/>
      <c r="Z123" s="702"/>
      <c r="AA123" s="702"/>
      <c r="AB123" s="702"/>
      <c r="AC123" s="702"/>
    </row>
    <row r="124" ht="15.75" customHeight="1">
      <c r="A124" s="748"/>
      <c r="B124" s="702"/>
      <c r="C124" s="702"/>
      <c r="D124" s="702"/>
      <c r="E124" s="747"/>
      <c r="F124" s="747"/>
      <c r="G124" s="747"/>
      <c r="H124" s="747"/>
      <c r="I124" s="747"/>
      <c r="J124" s="747"/>
      <c r="K124" s="747"/>
      <c r="L124" s="747"/>
      <c r="M124" s="747"/>
      <c r="N124" s="747"/>
      <c r="O124" s="747"/>
      <c r="P124" s="702"/>
      <c r="Q124" s="702"/>
      <c r="R124" s="702"/>
      <c r="S124" s="747"/>
      <c r="T124" s="747"/>
      <c r="U124" s="747"/>
      <c r="V124" s="702"/>
      <c r="W124" s="702"/>
      <c r="X124" s="702"/>
      <c r="Y124" s="702"/>
      <c r="Z124" s="702"/>
      <c r="AA124" s="702"/>
      <c r="AB124" s="702"/>
      <c r="AC124" s="702"/>
    </row>
    <row r="125" ht="15.75" customHeight="1">
      <c r="A125" s="1143" t="s">
        <v>1749</v>
      </c>
      <c r="B125" s="759"/>
      <c r="C125" s="759"/>
      <c r="D125" s="759"/>
      <c r="E125" s="759"/>
      <c r="F125" s="759"/>
      <c r="G125" s="759"/>
      <c r="H125" s="759"/>
      <c r="I125" s="747"/>
      <c r="J125" s="1144" t="s">
        <v>782</v>
      </c>
      <c r="K125" s="1144" t="s">
        <v>1753</v>
      </c>
      <c r="L125" s="1144" t="s">
        <v>1754</v>
      </c>
      <c r="M125" s="1144" t="s">
        <v>1756</v>
      </c>
      <c r="N125" s="1144" t="s">
        <v>1758</v>
      </c>
      <c r="O125" s="747"/>
      <c r="P125" s="702"/>
      <c r="Q125" s="702"/>
      <c r="R125" s="702"/>
      <c r="S125" s="747"/>
      <c r="T125" s="747"/>
      <c r="U125" s="747"/>
      <c r="V125" s="702"/>
      <c r="W125" s="702"/>
      <c r="X125" s="702"/>
      <c r="Y125" s="702"/>
      <c r="Z125" s="702"/>
      <c r="AA125" s="702"/>
      <c r="AB125" s="702"/>
      <c r="AC125" s="702"/>
    </row>
    <row r="126" ht="15.75" customHeight="1">
      <c r="A126" s="1147" t="s">
        <v>782</v>
      </c>
      <c r="B126" s="1147" t="s">
        <v>1115</v>
      </c>
      <c r="C126" s="1147" t="s">
        <v>785</v>
      </c>
      <c r="D126" s="1147" t="s">
        <v>1763</v>
      </c>
      <c r="E126" s="1147" t="s">
        <v>1764</v>
      </c>
      <c r="F126" s="1147" t="s">
        <v>788</v>
      </c>
      <c r="G126" s="1147" t="s">
        <v>1767</v>
      </c>
      <c r="H126" s="1147" t="s">
        <v>1768</v>
      </c>
      <c r="I126" s="747"/>
      <c r="J126" s="1148" t="s">
        <v>1011</v>
      </c>
      <c r="K126" s="1150">
        <v>24.0</v>
      </c>
      <c r="L126" s="1150">
        <v>3.0</v>
      </c>
      <c r="M126" s="1148">
        <v>27.0</v>
      </c>
      <c r="N126" s="1150" t="s">
        <v>1105</v>
      </c>
      <c r="O126" s="747"/>
      <c r="P126" s="747"/>
      <c r="Q126" s="747"/>
      <c r="R126" s="747"/>
      <c r="S126" s="747"/>
      <c r="T126" s="747"/>
      <c r="U126" s="747"/>
      <c r="V126" s="702"/>
      <c r="W126" s="702"/>
      <c r="X126" s="702"/>
      <c r="Y126" s="702"/>
      <c r="Z126" s="702"/>
      <c r="AA126" s="702"/>
      <c r="AB126" s="702"/>
      <c r="AC126" s="702"/>
    </row>
    <row r="127" ht="40.5" customHeight="1">
      <c r="A127" s="1148" t="s">
        <v>1011</v>
      </c>
      <c r="B127" s="1150">
        <v>27.0</v>
      </c>
      <c r="C127" s="1150" t="s">
        <v>1772</v>
      </c>
      <c r="D127" s="1150" t="s">
        <v>1775</v>
      </c>
      <c r="E127" s="1153">
        <v>0.8</v>
      </c>
      <c r="F127" s="1150">
        <v>22.0</v>
      </c>
      <c r="G127" s="1148" t="s">
        <v>1777</v>
      </c>
      <c r="H127" s="1150" t="s">
        <v>1778</v>
      </c>
      <c r="I127" s="747"/>
      <c r="J127" s="1148" t="s">
        <v>1015</v>
      </c>
      <c r="K127" s="1150">
        <v>0.0</v>
      </c>
      <c r="L127" s="1150">
        <v>3.0</v>
      </c>
      <c r="M127" s="1148">
        <v>3.0</v>
      </c>
      <c r="N127" s="1150" t="s">
        <v>1781</v>
      </c>
      <c r="O127" s="747"/>
      <c r="P127" s="747"/>
      <c r="Q127" s="747"/>
      <c r="R127" s="747"/>
      <c r="S127" s="747"/>
      <c r="T127" s="747"/>
      <c r="U127" s="747"/>
      <c r="V127" s="702"/>
      <c r="W127" s="702"/>
      <c r="X127" s="702"/>
      <c r="Y127" s="702"/>
      <c r="Z127" s="702"/>
      <c r="AA127" s="702"/>
      <c r="AB127" s="702"/>
      <c r="AC127" s="702"/>
    </row>
    <row r="128" ht="46.5" customHeight="1">
      <c r="A128" s="1148" t="s">
        <v>1783</v>
      </c>
      <c r="B128" s="1150">
        <v>22.0</v>
      </c>
      <c r="C128" s="1150" t="s">
        <v>1784</v>
      </c>
      <c r="D128" s="1150" t="s">
        <v>1318</v>
      </c>
      <c r="E128" s="1153">
        <v>0.7</v>
      </c>
      <c r="F128" s="1150">
        <v>15.0</v>
      </c>
      <c r="G128" s="1148" t="s">
        <v>1788</v>
      </c>
      <c r="H128" s="1150" t="s">
        <v>1789</v>
      </c>
      <c r="I128" s="747"/>
      <c r="J128" s="1148" t="s">
        <v>1026</v>
      </c>
      <c r="K128" s="1150">
        <v>16.0</v>
      </c>
      <c r="L128" s="1150">
        <v>6.0</v>
      </c>
      <c r="M128" s="1148">
        <v>22.0</v>
      </c>
      <c r="N128" s="1150" t="s">
        <v>1101</v>
      </c>
      <c r="O128" s="747"/>
      <c r="P128" s="747"/>
      <c r="Q128" s="747"/>
      <c r="R128" s="747"/>
      <c r="S128" s="747"/>
      <c r="T128" s="747"/>
      <c r="U128" s="747"/>
      <c r="V128" s="702"/>
      <c r="W128" s="702"/>
      <c r="X128" s="702"/>
      <c r="Y128" s="702"/>
      <c r="Z128" s="702"/>
      <c r="AA128" s="702"/>
      <c r="AB128" s="702"/>
      <c r="AC128" s="702"/>
    </row>
    <row r="129" ht="45.75" customHeight="1">
      <c r="A129" s="1148" t="s">
        <v>1793</v>
      </c>
      <c r="B129" s="1150">
        <v>13.0</v>
      </c>
      <c r="C129" s="1150" t="s">
        <v>1784</v>
      </c>
      <c r="D129" s="1150" t="s">
        <v>1794</v>
      </c>
      <c r="E129" s="1153">
        <v>0.7</v>
      </c>
      <c r="F129" s="1150">
        <v>9.0</v>
      </c>
      <c r="G129" s="1148" t="s">
        <v>1795</v>
      </c>
      <c r="H129" s="1150" t="s">
        <v>1797</v>
      </c>
      <c r="I129" s="747"/>
      <c r="J129" s="1148" t="s">
        <v>1041</v>
      </c>
      <c r="K129" s="1150">
        <v>10.0</v>
      </c>
      <c r="L129" s="1150">
        <v>3.0</v>
      </c>
      <c r="M129" s="1148">
        <v>13.0</v>
      </c>
      <c r="N129" s="1150" t="s">
        <v>1110</v>
      </c>
      <c r="O129" s="747"/>
      <c r="P129" s="747"/>
      <c r="Q129" s="747"/>
      <c r="R129" s="747"/>
      <c r="S129" s="747"/>
      <c r="T129" s="747"/>
      <c r="U129" s="747"/>
      <c r="V129" s="702"/>
      <c r="W129" s="702"/>
      <c r="X129" s="702"/>
      <c r="Y129" s="702"/>
      <c r="Z129" s="702"/>
      <c r="AA129" s="702"/>
      <c r="AB129" s="702"/>
      <c r="AC129" s="702"/>
    </row>
    <row r="130" ht="15.75" customHeight="1">
      <c r="A130" s="1148" t="s">
        <v>1801</v>
      </c>
      <c r="B130" s="1150">
        <v>20.0</v>
      </c>
      <c r="C130" s="1150" t="s">
        <v>1803</v>
      </c>
      <c r="D130" s="1150">
        <v>2.0</v>
      </c>
      <c r="E130" s="1153">
        <v>0.4</v>
      </c>
      <c r="F130" s="1150">
        <v>8.0</v>
      </c>
      <c r="G130" s="1148" t="s">
        <v>1804</v>
      </c>
      <c r="H130" s="1150" t="s">
        <v>1806</v>
      </c>
      <c r="I130" s="747"/>
      <c r="J130" s="1148" t="s">
        <v>1801</v>
      </c>
      <c r="K130" s="1150">
        <v>20.0</v>
      </c>
      <c r="L130" s="1150">
        <v>0.0</v>
      </c>
      <c r="M130" s="1148">
        <v>20.0</v>
      </c>
      <c r="N130" s="1150" t="s">
        <v>1809</v>
      </c>
      <c r="O130" s="747"/>
      <c r="P130" s="747"/>
      <c r="Q130" s="747"/>
      <c r="R130" s="747"/>
      <c r="S130" s="747"/>
      <c r="T130" s="747"/>
      <c r="U130" s="747"/>
      <c r="V130" s="702"/>
      <c r="W130" s="702"/>
      <c r="X130" s="702"/>
      <c r="Y130" s="702"/>
      <c r="Z130" s="702"/>
      <c r="AA130" s="702"/>
      <c r="AB130" s="702"/>
      <c r="AC130" s="702"/>
    </row>
    <row r="131" ht="15.75" customHeight="1">
      <c r="A131" s="1148" t="s">
        <v>1813</v>
      </c>
      <c r="B131" s="1150">
        <v>15.0</v>
      </c>
      <c r="C131" s="1150" t="s">
        <v>1814</v>
      </c>
      <c r="D131" s="1150" t="s">
        <v>1815</v>
      </c>
      <c r="E131" s="1153">
        <v>0.6</v>
      </c>
      <c r="F131" s="1150">
        <v>9.0</v>
      </c>
      <c r="G131" s="1148" t="s">
        <v>1817</v>
      </c>
      <c r="H131" s="1150" t="s">
        <v>1818</v>
      </c>
      <c r="I131" s="747"/>
      <c r="J131" s="1148" t="s">
        <v>1820</v>
      </c>
      <c r="K131" s="1150" t="s">
        <v>1821</v>
      </c>
      <c r="L131" s="1150">
        <v>0.0</v>
      </c>
      <c r="M131" s="1148">
        <v>15.0</v>
      </c>
      <c r="N131" s="1150" t="s">
        <v>1097</v>
      </c>
      <c r="O131" s="747"/>
      <c r="P131" s="747"/>
      <c r="Q131" s="747"/>
      <c r="R131" s="747"/>
      <c r="S131" s="747"/>
      <c r="T131" s="747"/>
      <c r="U131" s="747"/>
      <c r="V131" s="702"/>
      <c r="W131" s="702"/>
      <c r="X131" s="702"/>
      <c r="Y131" s="702"/>
      <c r="Z131" s="702"/>
      <c r="AA131" s="702"/>
      <c r="AB131" s="702"/>
      <c r="AC131" s="702"/>
    </row>
    <row r="132" ht="15.75" customHeight="1">
      <c r="A132" s="1148" t="s">
        <v>76</v>
      </c>
      <c r="B132" s="1150">
        <v>7.0</v>
      </c>
      <c r="C132" s="1150" t="s">
        <v>1825</v>
      </c>
      <c r="D132" s="1150">
        <v>4.0</v>
      </c>
      <c r="E132" s="1153">
        <v>1.0</v>
      </c>
      <c r="F132" s="1150">
        <v>7.0</v>
      </c>
      <c r="G132" s="1148" t="s">
        <v>1829</v>
      </c>
      <c r="H132" s="1150" t="s">
        <v>1830</v>
      </c>
      <c r="I132" s="747"/>
      <c r="J132" s="1148" t="s">
        <v>1831</v>
      </c>
      <c r="K132" s="1150">
        <v>0.0</v>
      </c>
      <c r="L132" s="1150">
        <v>5.0</v>
      </c>
      <c r="M132" s="1148">
        <v>5.0</v>
      </c>
      <c r="N132" s="1150" t="s">
        <v>1781</v>
      </c>
      <c r="O132" s="747"/>
      <c r="P132" s="747"/>
      <c r="Q132" s="747"/>
      <c r="R132" s="747"/>
      <c r="S132" s="747"/>
      <c r="T132" s="747"/>
      <c r="U132" s="747"/>
      <c r="V132" s="702"/>
      <c r="W132" s="702"/>
      <c r="X132" s="702"/>
      <c r="Y132" s="702"/>
      <c r="Z132" s="702"/>
      <c r="AA132" s="702"/>
      <c r="AB132" s="702"/>
      <c r="AC132" s="702"/>
    </row>
    <row r="133" ht="15.75" customHeight="1">
      <c r="A133" s="1148" t="s">
        <v>1060</v>
      </c>
      <c r="B133" s="1150">
        <v>6.0</v>
      </c>
      <c r="C133" s="1150" t="s">
        <v>1833</v>
      </c>
      <c r="D133" s="1150" t="s">
        <v>1834</v>
      </c>
      <c r="E133" s="1153">
        <v>0.8</v>
      </c>
      <c r="F133" s="1150">
        <v>5.0</v>
      </c>
      <c r="G133" s="1148" t="s">
        <v>1836</v>
      </c>
      <c r="H133" s="1150" t="s">
        <v>1837</v>
      </c>
      <c r="I133" s="747"/>
      <c r="J133" s="1148" t="s">
        <v>1060</v>
      </c>
      <c r="K133" s="1150">
        <v>0.0</v>
      </c>
      <c r="L133" s="1150">
        <v>6.0</v>
      </c>
      <c r="M133" s="1148">
        <v>6.0</v>
      </c>
      <c r="N133" s="1150" t="s">
        <v>1781</v>
      </c>
      <c r="O133" s="747"/>
      <c r="P133" s="747"/>
      <c r="Q133" s="747"/>
      <c r="R133" s="747"/>
      <c r="S133" s="747"/>
      <c r="T133" s="747"/>
      <c r="U133" s="747"/>
      <c r="V133" s="702"/>
      <c r="W133" s="702"/>
      <c r="X133" s="702"/>
      <c r="Y133" s="702"/>
      <c r="Z133" s="702"/>
      <c r="AA133" s="702"/>
      <c r="AB133" s="702"/>
      <c r="AC133" s="702"/>
    </row>
    <row r="134" ht="15.75" customHeight="1">
      <c r="A134" s="1148" t="s">
        <v>1831</v>
      </c>
      <c r="B134" s="1150">
        <v>5.0</v>
      </c>
      <c r="C134" s="1150" t="s">
        <v>1842</v>
      </c>
      <c r="D134" s="1150" t="s">
        <v>1843</v>
      </c>
      <c r="E134" s="1153">
        <v>1.0</v>
      </c>
      <c r="F134" s="1150">
        <v>5.0</v>
      </c>
      <c r="G134" s="1148" t="s">
        <v>1845</v>
      </c>
      <c r="H134" s="1150" t="s">
        <v>1846</v>
      </c>
      <c r="I134" s="747"/>
      <c r="J134" s="1148" t="s">
        <v>1070</v>
      </c>
      <c r="K134" s="1150">
        <v>0.0</v>
      </c>
      <c r="L134" s="1150">
        <v>7.0</v>
      </c>
      <c r="M134" s="1148">
        <v>7.0</v>
      </c>
      <c r="N134" s="1150" t="s">
        <v>1781</v>
      </c>
      <c r="O134" s="747"/>
      <c r="P134" s="747"/>
      <c r="Q134" s="747"/>
      <c r="R134" s="747"/>
      <c r="S134" s="747"/>
      <c r="T134" s="747"/>
      <c r="U134" s="747"/>
      <c r="V134" s="702"/>
      <c r="W134" s="702"/>
      <c r="X134" s="702"/>
      <c r="Y134" s="702"/>
      <c r="Z134" s="702"/>
      <c r="AA134" s="702"/>
      <c r="AB134" s="702"/>
      <c r="AC134" s="702"/>
    </row>
    <row r="135" ht="15.75" customHeight="1">
      <c r="A135" s="1148" t="s">
        <v>1851</v>
      </c>
      <c r="B135" s="1150">
        <v>5.0</v>
      </c>
      <c r="C135" s="1150" t="s">
        <v>1852</v>
      </c>
      <c r="D135" s="1150" t="s">
        <v>1149</v>
      </c>
      <c r="E135" s="1153">
        <v>1.0</v>
      </c>
      <c r="F135" s="1150">
        <v>5.0</v>
      </c>
      <c r="G135" s="1148" t="s">
        <v>1854</v>
      </c>
      <c r="H135" s="1150" t="s">
        <v>1855</v>
      </c>
      <c r="I135" s="747"/>
      <c r="J135" s="1148" t="s">
        <v>1856</v>
      </c>
      <c r="K135" s="1150">
        <v>0.0</v>
      </c>
      <c r="L135" s="1150">
        <v>5.0</v>
      </c>
      <c r="M135" s="1148">
        <v>5.0</v>
      </c>
      <c r="N135" s="1150" t="s">
        <v>1781</v>
      </c>
      <c r="O135" s="747"/>
      <c r="P135" s="747"/>
      <c r="Q135" s="747"/>
      <c r="R135" s="747"/>
      <c r="S135" s="747"/>
      <c r="T135" s="747"/>
      <c r="U135" s="747"/>
      <c r="V135" s="702"/>
      <c r="W135" s="702"/>
      <c r="X135" s="702"/>
      <c r="Y135" s="702"/>
      <c r="Z135" s="702"/>
      <c r="AA135" s="702"/>
      <c r="AB135" s="702"/>
      <c r="AC135" s="702"/>
    </row>
    <row r="136" ht="15.75" customHeight="1">
      <c r="A136" s="1168" t="s">
        <v>1015</v>
      </c>
      <c r="B136" s="1169">
        <v>3.0</v>
      </c>
      <c r="C136" s="1169" t="s">
        <v>1858</v>
      </c>
      <c r="D136" s="1169" t="s">
        <v>1859</v>
      </c>
      <c r="E136" s="1171">
        <v>1.0</v>
      </c>
      <c r="F136" s="1169">
        <v>3.0</v>
      </c>
      <c r="G136" s="1168" t="s">
        <v>1854</v>
      </c>
      <c r="H136" s="1169" t="s">
        <v>1855</v>
      </c>
      <c r="I136" s="747"/>
      <c r="J136" s="1148" t="s">
        <v>1860</v>
      </c>
      <c r="K136" s="1148">
        <v>85.0</v>
      </c>
      <c r="L136" s="1148">
        <v>38.0</v>
      </c>
      <c r="M136" s="1148">
        <v>123.0</v>
      </c>
      <c r="N136" s="1150" t="s">
        <v>1085</v>
      </c>
      <c r="O136" s="747"/>
      <c r="P136" s="747"/>
      <c r="Q136" s="747"/>
      <c r="R136" s="747"/>
      <c r="S136" s="747"/>
      <c r="T136" s="747"/>
      <c r="U136" s="747"/>
      <c r="V136" s="702"/>
      <c r="W136" s="702"/>
      <c r="X136" s="702"/>
      <c r="Y136" s="702"/>
      <c r="Z136" s="702"/>
      <c r="AA136" s="702"/>
      <c r="AB136" s="702"/>
      <c r="AC136" s="702"/>
    </row>
    <row r="137" ht="15.75" customHeight="1">
      <c r="A137" s="1148" t="s">
        <v>1860</v>
      </c>
      <c r="B137" s="1148">
        <v>123.0</v>
      </c>
      <c r="C137" s="1148" t="s">
        <v>1861</v>
      </c>
      <c r="D137" s="1148" t="s">
        <v>1085</v>
      </c>
      <c r="E137" s="1148" t="s">
        <v>1085</v>
      </c>
      <c r="F137" s="1148">
        <v>88.0</v>
      </c>
      <c r="G137" s="1148" t="s">
        <v>1862</v>
      </c>
      <c r="H137" s="1148" t="s">
        <v>1863</v>
      </c>
      <c r="I137" s="747"/>
      <c r="J137" s="748"/>
      <c r="K137" s="748"/>
      <c r="L137" s="748"/>
      <c r="M137" s="748"/>
      <c r="N137" s="748"/>
      <c r="O137" s="747"/>
      <c r="P137" s="747"/>
      <c r="Q137" s="747"/>
      <c r="R137" s="747"/>
      <c r="S137" s="747"/>
      <c r="T137" s="747"/>
      <c r="U137" s="747"/>
      <c r="V137" s="702"/>
      <c r="W137" s="702"/>
      <c r="X137" s="702"/>
      <c r="Y137" s="702"/>
      <c r="Z137" s="702"/>
      <c r="AA137" s="702"/>
      <c r="AB137" s="702"/>
      <c r="AC137" s="702"/>
    </row>
    <row r="138" ht="15.75" customHeight="1">
      <c r="A138" s="748"/>
      <c r="B138" s="748"/>
      <c r="C138" s="748"/>
      <c r="D138" s="748"/>
      <c r="E138" s="748"/>
      <c r="F138" s="748"/>
      <c r="G138" s="748"/>
      <c r="H138" s="748"/>
      <c r="I138" s="702"/>
      <c r="J138" s="702"/>
      <c r="K138" s="702"/>
      <c r="L138" s="702"/>
      <c r="M138" s="702"/>
      <c r="N138" s="702"/>
      <c r="O138" s="702"/>
      <c r="P138" s="702"/>
      <c r="Q138" s="702"/>
      <c r="R138" s="702"/>
      <c r="S138" s="702"/>
      <c r="T138" s="702"/>
      <c r="U138" s="702"/>
      <c r="V138" s="702"/>
      <c r="W138" s="702"/>
      <c r="X138" s="702"/>
      <c r="Y138" s="702"/>
      <c r="Z138" s="702"/>
      <c r="AA138" s="702"/>
      <c r="AB138" s="702"/>
      <c r="AC138" s="702"/>
    </row>
    <row r="139" ht="15.75" customHeight="1">
      <c r="A139" s="702"/>
      <c r="B139" s="702"/>
      <c r="C139" s="702"/>
      <c r="D139" s="702"/>
      <c r="E139" s="702"/>
      <c r="F139" s="702"/>
      <c r="G139" s="702"/>
      <c r="H139" s="702"/>
      <c r="I139" s="702"/>
      <c r="J139" s="702"/>
      <c r="K139" s="702"/>
      <c r="L139" s="702"/>
      <c r="M139" s="702"/>
      <c r="N139" s="702"/>
      <c r="O139" s="702"/>
      <c r="P139" s="702"/>
      <c r="Q139" s="702"/>
      <c r="R139" s="702"/>
      <c r="S139" s="702"/>
      <c r="T139" s="702"/>
      <c r="U139" s="702"/>
      <c r="V139" s="702"/>
      <c r="W139" s="702"/>
      <c r="X139" s="702"/>
      <c r="Y139" s="702"/>
      <c r="Z139" s="702"/>
      <c r="AA139" s="702"/>
      <c r="AB139" s="702"/>
      <c r="AC139" s="702"/>
    </row>
    <row r="140" ht="15.75" customHeight="1">
      <c r="A140" s="1172" t="s">
        <v>68</v>
      </c>
      <c r="B140" s="1172" t="s">
        <v>533</v>
      </c>
      <c r="C140" s="1172" t="s">
        <v>1866</v>
      </c>
      <c r="D140" s="1172" t="s">
        <v>1867</v>
      </c>
      <c r="E140" s="1172" t="s">
        <v>1868</v>
      </c>
      <c r="F140" s="1172" t="s">
        <v>1869</v>
      </c>
      <c r="G140" s="1172" t="s">
        <v>1870</v>
      </c>
      <c r="H140" s="1172" t="s">
        <v>1871</v>
      </c>
      <c r="I140" s="1172" t="s">
        <v>1872</v>
      </c>
      <c r="J140" s="1172" t="s">
        <v>1873</v>
      </c>
      <c r="K140" s="1172" t="s">
        <v>1874</v>
      </c>
      <c r="L140" s="1172" t="s">
        <v>1875</v>
      </c>
      <c r="M140" s="1172" t="s">
        <v>1876</v>
      </c>
      <c r="N140" s="1172" t="s">
        <v>1877</v>
      </c>
      <c r="O140" s="1172" t="s">
        <v>1878</v>
      </c>
      <c r="P140" s="1172" t="s">
        <v>1879</v>
      </c>
      <c r="Q140" s="1172" t="s">
        <v>1880</v>
      </c>
      <c r="R140" s="1172" t="s">
        <v>1881</v>
      </c>
      <c r="S140" s="1172" t="s">
        <v>1882</v>
      </c>
      <c r="T140" s="1172" t="s">
        <v>1883</v>
      </c>
      <c r="U140" s="1172" t="s">
        <v>790</v>
      </c>
      <c r="V140" s="702"/>
      <c r="W140" s="702"/>
      <c r="X140" s="702"/>
      <c r="Y140" s="702"/>
      <c r="Z140" s="702"/>
      <c r="AA140" s="702"/>
      <c r="AB140" s="702"/>
      <c r="AC140" s="702"/>
    </row>
    <row r="141" ht="15.75" customHeight="1">
      <c r="A141" s="775" t="s">
        <v>1793</v>
      </c>
      <c r="B141" s="1175">
        <v>0.0</v>
      </c>
      <c r="C141" s="1175">
        <v>0.0</v>
      </c>
      <c r="D141" s="1175">
        <v>0.0</v>
      </c>
      <c r="E141" s="1175">
        <v>10.0</v>
      </c>
      <c r="F141" s="1175">
        <v>1.0</v>
      </c>
      <c r="G141" s="1175">
        <v>1.0</v>
      </c>
      <c r="H141" s="707">
        <v>0.0</v>
      </c>
      <c r="I141" s="707">
        <v>0.0</v>
      </c>
      <c r="J141" s="707">
        <v>0.0</v>
      </c>
      <c r="K141" s="707" t="s">
        <v>1269</v>
      </c>
      <c r="L141" s="707">
        <v>4.0</v>
      </c>
      <c r="M141" s="707" t="s">
        <v>1886</v>
      </c>
      <c r="N141" s="1178">
        <v>0.0</v>
      </c>
      <c r="O141" s="1178">
        <v>0.0</v>
      </c>
      <c r="P141" s="1178">
        <v>0.0</v>
      </c>
      <c r="Q141" s="1178">
        <v>0.7</v>
      </c>
      <c r="R141" s="1178">
        <v>1.0</v>
      </c>
      <c r="S141" s="1178">
        <v>1.0</v>
      </c>
      <c r="T141" s="1179">
        <v>45.0</v>
      </c>
      <c r="U141" s="707" t="s">
        <v>1887</v>
      </c>
      <c r="V141" s="702"/>
      <c r="W141" s="702"/>
      <c r="X141" s="702"/>
      <c r="Y141" s="702"/>
      <c r="Z141" s="702"/>
      <c r="AA141" s="702"/>
      <c r="AB141" s="702"/>
      <c r="AC141" s="702"/>
    </row>
    <row r="142" ht="15.75" customHeight="1">
      <c r="A142" s="775" t="s">
        <v>1783</v>
      </c>
      <c r="B142" s="1175">
        <v>2.0</v>
      </c>
      <c r="C142" s="1175">
        <v>2.0</v>
      </c>
      <c r="D142" s="1175">
        <v>1.0</v>
      </c>
      <c r="E142" s="1175">
        <v>16.0</v>
      </c>
      <c r="F142" s="1175">
        <v>1.0</v>
      </c>
      <c r="G142" s="1175">
        <v>0.0</v>
      </c>
      <c r="H142" s="707">
        <v>5.0</v>
      </c>
      <c r="I142" s="707" t="s">
        <v>1892</v>
      </c>
      <c r="J142" s="707">
        <v>0.0</v>
      </c>
      <c r="K142" s="707" t="s">
        <v>1893</v>
      </c>
      <c r="L142" s="707">
        <v>4.0</v>
      </c>
      <c r="M142" s="707">
        <v>0.0</v>
      </c>
      <c r="N142" s="1178">
        <v>0.7</v>
      </c>
      <c r="O142" s="1178">
        <v>1.0</v>
      </c>
      <c r="P142" s="1178">
        <v>0.0</v>
      </c>
      <c r="Q142" s="1178">
        <v>0.7</v>
      </c>
      <c r="R142" s="1178">
        <v>1.0</v>
      </c>
      <c r="S142" s="1178">
        <v>0.0</v>
      </c>
      <c r="T142" s="1179">
        <v>75.0</v>
      </c>
      <c r="U142" s="707" t="s">
        <v>1894</v>
      </c>
      <c r="V142" s="702"/>
      <c r="W142" s="702"/>
      <c r="X142" s="702"/>
      <c r="Y142" s="702"/>
      <c r="Z142" s="702"/>
      <c r="AA142" s="702"/>
      <c r="AB142" s="702"/>
      <c r="AC142" s="702"/>
    </row>
    <row r="143" ht="15.75" customHeight="1">
      <c r="A143" s="775" t="s">
        <v>1011</v>
      </c>
      <c r="B143" s="1175">
        <v>0.0</v>
      </c>
      <c r="C143" s="1175">
        <v>0.0</v>
      </c>
      <c r="D143" s="1175">
        <v>0.0</v>
      </c>
      <c r="E143" s="1175">
        <v>24.0</v>
      </c>
      <c r="F143" s="1175">
        <v>1.0</v>
      </c>
      <c r="G143" s="1175">
        <v>1.0</v>
      </c>
      <c r="H143" s="707">
        <v>0.0</v>
      </c>
      <c r="I143" s="707">
        <v>0.0</v>
      </c>
      <c r="J143" s="707">
        <v>0.0</v>
      </c>
      <c r="K143" s="707" t="s">
        <v>1896</v>
      </c>
      <c r="L143" s="707">
        <v>4.0</v>
      </c>
      <c r="M143" s="707" t="s">
        <v>1897</v>
      </c>
      <c r="N143" s="1178">
        <v>0.0</v>
      </c>
      <c r="O143" s="1178">
        <v>0.0</v>
      </c>
      <c r="P143" s="1178">
        <v>0.0</v>
      </c>
      <c r="Q143" s="1178">
        <v>0.8</v>
      </c>
      <c r="R143" s="1178">
        <v>1.0</v>
      </c>
      <c r="S143" s="1178">
        <v>1.0</v>
      </c>
      <c r="T143" s="1179">
        <v>180.0</v>
      </c>
      <c r="U143" s="707">
        <v>27.0</v>
      </c>
      <c r="V143" s="702"/>
      <c r="W143" s="702"/>
      <c r="X143" s="702"/>
      <c r="Y143" s="702"/>
      <c r="Z143" s="702"/>
      <c r="AA143" s="702"/>
      <c r="AB143" s="702"/>
      <c r="AC143" s="702"/>
    </row>
    <row r="144" ht="15.75" customHeight="1">
      <c r="A144" s="775" t="s">
        <v>1898</v>
      </c>
      <c r="B144" s="1175">
        <v>0.0</v>
      </c>
      <c r="C144" s="1175">
        <v>0.0</v>
      </c>
      <c r="D144" s="1175">
        <v>0.0</v>
      </c>
      <c r="E144" s="1175">
        <v>13.0</v>
      </c>
      <c r="F144" s="1175">
        <v>0.0</v>
      </c>
      <c r="G144" s="1175">
        <v>0.0</v>
      </c>
      <c r="H144" s="707">
        <v>0.0</v>
      </c>
      <c r="I144" s="707">
        <v>0.0</v>
      </c>
      <c r="J144" s="707">
        <v>0.0</v>
      </c>
      <c r="K144" s="707" t="s">
        <v>1901</v>
      </c>
      <c r="L144" s="707">
        <v>0.0</v>
      </c>
      <c r="M144" s="707">
        <v>0.0</v>
      </c>
      <c r="N144" s="1178">
        <v>0.0</v>
      </c>
      <c r="O144" s="1178">
        <v>0.0</v>
      </c>
      <c r="P144" s="1178">
        <v>0.0</v>
      </c>
      <c r="Q144" s="1178">
        <v>0.6</v>
      </c>
      <c r="R144" s="1178">
        <v>0.0</v>
      </c>
      <c r="S144" s="1178">
        <v>0.0</v>
      </c>
      <c r="T144" s="1179">
        <v>22.0</v>
      </c>
      <c r="U144" s="707" t="s">
        <v>1904</v>
      </c>
      <c r="V144" s="702"/>
      <c r="W144" s="702"/>
      <c r="X144" s="702"/>
      <c r="Y144" s="702"/>
      <c r="Z144" s="702"/>
      <c r="AA144" s="702"/>
      <c r="AB144" s="702"/>
      <c r="AC144" s="702"/>
    </row>
    <row r="145" ht="15.75" customHeight="1">
      <c r="A145" s="706" t="s">
        <v>1841</v>
      </c>
      <c r="B145" s="707">
        <v>0.0</v>
      </c>
      <c r="C145" s="707">
        <v>0.0</v>
      </c>
      <c r="D145" s="707">
        <v>0.0</v>
      </c>
      <c r="E145" s="707">
        <v>20.0</v>
      </c>
      <c r="F145" s="707">
        <v>0.0</v>
      </c>
      <c r="G145" s="707">
        <v>0.0</v>
      </c>
      <c r="H145" s="707">
        <v>0.0</v>
      </c>
      <c r="I145" s="707">
        <v>0.0</v>
      </c>
      <c r="J145" s="707">
        <v>0.0</v>
      </c>
      <c r="K145" s="707">
        <v>2.0</v>
      </c>
      <c r="L145" s="707">
        <v>0.0</v>
      </c>
      <c r="M145" s="707">
        <v>0.0</v>
      </c>
      <c r="N145" s="1178">
        <v>0.0</v>
      </c>
      <c r="O145" s="1178">
        <v>0.0</v>
      </c>
      <c r="P145" s="1178">
        <v>0.0</v>
      </c>
      <c r="Q145" s="1178">
        <v>0.4</v>
      </c>
      <c r="R145" s="1178">
        <v>0.0</v>
      </c>
      <c r="S145" s="1178">
        <v>0.0</v>
      </c>
      <c r="T145" s="1179">
        <v>16.0</v>
      </c>
      <c r="U145" s="707" t="s">
        <v>1911</v>
      </c>
      <c r="V145" s="702"/>
      <c r="W145" s="702"/>
      <c r="X145" s="702"/>
      <c r="Y145" s="702"/>
      <c r="Z145" s="702"/>
      <c r="AA145" s="702"/>
      <c r="AB145" s="702"/>
      <c r="AC145" s="702"/>
    </row>
    <row r="146" ht="15.75" customHeight="1">
      <c r="A146" s="706" t="s">
        <v>1913</v>
      </c>
      <c r="B146" s="707">
        <v>0.0</v>
      </c>
      <c r="C146" s="707">
        <v>0.0</v>
      </c>
      <c r="D146" s="1179">
        <v>2.0</v>
      </c>
      <c r="E146" s="707">
        <v>0.0</v>
      </c>
      <c r="F146" s="707">
        <v>0.0</v>
      </c>
      <c r="G146" s="707">
        <v>0.0</v>
      </c>
      <c r="H146" s="707">
        <v>0.0</v>
      </c>
      <c r="I146" s="707">
        <v>0.0</v>
      </c>
      <c r="J146" s="707">
        <v>5.0</v>
      </c>
      <c r="K146" s="707">
        <v>0.0</v>
      </c>
      <c r="L146" s="707">
        <v>0.0</v>
      </c>
      <c r="M146" s="707">
        <v>0.0</v>
      </c>
      <c r="N146" s="1178">
        <v>0.0</v>
      </c>
      <c r="O146" s="1178">
        <v>0.0</v>
      </c>
      <c r="P146" s="1178">
        <v>0.3</v>
      </c>
      <c r="Q146" s="1178">
        <v>0.0</v>
      </c>
      <c r="R146" s="1178">
        <v>0.0</v>
      </c>
      <c r="S146" s="1178">
        <v>0.0</v>
      </c>
      <c r="T146" s="1179">
        <v>3.0</v>
      </c>
      <c r="U146" s="707" t="s">
        <v>1916</v>
      </c>
      <c r="V146" s="702"/>
      <c r="W146" s="702"/>
      <c r="X146" s="702"/>
      <c r="Y146" s="702"/>
      <c r="Z146" s="702"/>
      <c r="AA146" s="702"/>
      <c r="AB146" s="702"/>
      <c r="AC146" s="702"/>
    </row>
    <row r="147" ht="15.75" customHeight="1">
      <c r="A147" s="775" t="s">
        <v>1831</v>
      </c>
      <c r="B147" s="1175">
        <v>1.0</v>
      </c>
      <c r="C147" s="1175">
        <v>1.0</v>
      </c>
      <c r="D147" s="1175">
        <v>1.0</v>
      </c>
      <c r="E147" s="1175">
        <v>0.0</v>
      </c>
      <c r="F147" s="1175">
        <v>1.0</v>
      </c>
      <c r="G147" s="1175">
        <v>1.0</v>
      </c>
      <c r="H147" s="707">
        <v>3.0</v>
      </c>
      <c r="I147" s="707" t="s">
        <v>1892</v>
      </c>
      <c r="J147" s="707">
        <v>0.0</v>
      </c>
      <c r="K147" s="707">
        <v>0.0</v>
      </c>
      <c r="L147" s="707">
        <v>1.0</v>
      </c>
      <c r="M147" s="707" t="s">
        <v>1919</v>
      </c>
      <c r="N147" s="1178">
        <v>0.5</v>
      </c>
      <c r="O147" s="1178">
        <v>1.0</v>
      </c>
      <c r="P147" s="1178">
        <v>0.0</v>
      </c>
      <c r="Q147" s="1178">
        <v>0.0</v>
      </c>
      <c r="R147" s="1178">
        <v>1.0</v>
      </c>
      <c r="S147" s="1178">
        <v>1.0</v>
      </c>
      <c r="T147" s="1179" t="s">
        <v>1920</v>
      </c>
      <c r="U147" s="707" t="s">
        <v>1922</v>
      </c>
      <c r="V147" s="702"/>
      <c r="W147" s="702"/>
      <c r="X147" s="702"/>
      <c r="Y147" s="702"/>
      <c r="Z147" s="702"/>
      <c r="AA147" s="702"/>
      <c r="AB147" s="702"/>
      <c r="AC147" s="702"/>
    </row>
    <row r="148" ht="15.75" customHeight="1">
      <c r="A148" s="775" t="s">
        <v>1060</v>
      </c>
      <c r="B148" s="1175">
        <v>2.0</v>
      </c>
      <c r="C148" s="1175">
        <v>2.0</v>
      </c>
      <c r="D148" s="1175">
        <v>0.0</v>
      </c>
      <c r="E148" s="1175">
        <v>0.0</v>
      </c>
      <c r="F148" s="1175">
        <v>1.0</v>
      </c>
      <c r="G148" s="1175">
        <v>1.0</v>
      </c>
      <c r="H148" s="707">
        <v>4.0</v>
      </c>
      <c r="I148" s="707" t="s">
        <v>1892</v>
      </c>
      <c r="J148" s="707">
        <v>0.0</v>
      </c>
      <c r="K148" s="707">
        <v>0.0</v>
      </c>
      <c r="L148" s="707">
        <v>1.0</v>
      </c>
      <c r="M148" s="707" t="s">
        <v>1925</v>
      </c>
      <c r="N148" s="1178">
        <v>0.5</v>
      </c>
      <c r="O148" s="1178">
        <v>1.0</v>
      </c>
      <c r="P148" s="1178">
        <v>0.0</v>
      </c>
      <c r="Q148" s="1178">
        <v>0.0</v>
      </c>
      <c r="R148" s="1178">
        <v>1.0</v>
      </c>
      <c r="S148" s="1178">
        <v>1.0</v>
      </c>
      <c r="T148" s="1179">
        <v>10.0</v>
      </c>
      <c r="U148" s="707" t="s">
        <v>1927</v>
      </c>
      <c r="V148" s="702"/>
      <c r="W148" s="702"/>
      <c r="X148" s="702"/>
      <c r="Y148" s="702"/>
      <c r="Z148" s="702"/>
      <c r="AA148" s="702"/>
      <c r="AB148" s="702"/>
      <c r="AC148" s="702"/>
    </row>
    <row r="149" ht="15.75" customHeight="1">
      <c r="A149" s="775" t="s">
        <v>1930</v>
      </c>
      <c r="B149" s="1175">
        <v>2.0</v>
      </c>
      <c r="C149" s="1175">
        <v>2.0</v>
      </c>
      <c r="D149" s="1175">
        <v>0.0</v>
      </c>
      <c r="E149" s="1175">
        <v>0.0</v>
      </c>
      <c r="F149" s="1175">
        <v>0.0</v>
      </c>
      <c r="G149" s="1175">
        <v>3.0</v>
      </c>
      <c r="H149" s="707">
        <v>4.0</v>
      </c>
      <c r="I149" s="707" t="s">
        <v>1892</v>
      </c>
      <c r="J149" s="707">
        <v>0.0</v>
      </c>
      <c r="K149" s="707">
        <v>0.0</v>
      </c>
      <c r="L149" s="707">
        <v>0.0</v>
      </c>
      <c r="M149" s="707" t="s">
        <v>1934</v>
      </c>
      <c r="N149" s="1178">
        <v>1.0</v>
      </c>
      <c r="O149" s="1178">
        <v>1.0</v>
      </c>
      <c r="P149" s="1178">
        <v>0.0</v>
      </c>
      <c r="Q149" s="1178">
        <v>0.0</v>
      </c>
      <c r="R149" s="1178">
        <v>0.0</v>
      </c>
      <c r="S149" s="1178">
        <v>1.0</v>
      </c>
      <c r="T149" s="1179">
        <v>28.0</v>
      </c>
      <c r="U149" s="707" t="s">
        <v>1936</v>
      </c>
      <c r="V149" s="702"/>
      <c r="W149" s="702"/>
      <c r="X149" s="702"/>
      <c r="Y149" s="702"/>
      <c r="Z149" s="702"/>
      <c r="AA149" s="702"/>
      <c r="AB149" s="702"/>
      <c r="AC149" s="702"/>
    </row>
    <row r="150" ht="15.75" customHeight="1">
      <c r="A150" s="775" t="s">
        <v>1937</v>
      </c>
      <c r="B150" s="1175">
        <v>0.0</v>
      </c>
      <c r="C150" s="1175">
        <v>0.0</v>
      </c>
      <c r="D150" s="1175">
        <v>0.0</v>
      </c>
      <c r="E150" s="1175">
        <v>0.0</v>
      </c>
      <c r="F150" s="1175">
        <v>1.0</v>
      </c>
      <c r="G150" s="1175">
        <v>4.0</v>
      </c>
      <c r="H150" s="707">
        <v>0.0</v>
      </c>
      <c r="I150" s="707">
        <v>0.0</v>
      </c>
      <c r="J150" s="707">
        <v>0.0</v>
      </c>
      <c r="K150" s="707">
        <v>0.0</v>
      </c>
      <c r="L150" s="707" t="s">
        <v>1149</v>
      </c>
      <c r="M150" s="707" t="s">
        <v>1149</v>
      </c>
      <c r="N150" s="1178">
        <v>0.0</v>
      </c>
      <c r="O150" s="1178">
        <v>0.0</v>
      </c>
      <c r="P150" s="1178">
        <v>0.0</v>
      </c>
      <c r="Q150" s="1178">
        <v>0.0</v>
      </c>
      <c r="R150" s="1178">
        <v>1.0</v>
      </c>
      <c r="S150" s="1178">
        <v>1.0</v>
      </c>
      <c r="T150" s="1179" t="s">
        <v>1897</v>
      </c>
      <c r="U150" s="707" t="s">
        <v>1941</v>
      </c>
      <c r="V150" s="702"/>
      <c r="W150" s="702"/>
      <c r="X150" s="702"/>
      <c r="Y150" s="702"/>
      <c r="Z150" s="702"/>
      <c r="AA150" s="702"/>
      <c r="AB150" s="702"/>
      <c r="AC150" s="702"/>
    </row>
    <row r="151" ht="15.75" customHeight="1">
      <c r="A151" s="1188" t="s">
        <v>1015</v>
      </c>
      <c r="B151" s="1175">
        <v>0.0</v>
      </c>
      <c r="C151" s="1175">
        <v>0.0</v>
      </c>
      <c r="D151" s="1175">
        <v>0.0</v>
      </c>
      <c r="E151" s="1175">
        <v>0.0</v>
      </c>
      <c r="F151" s="1175">
        <v>0.0</v>
      </c>
      <c r="G151" s="1175">
        <v>3.0</v>
      </c>
      <c r="H151" s="707">
        <v>0.0</v>
      </c>
      <c r="I151" s="707">
        <v>0.0</v>
      </c>
      <c r="J151" s="707">
        <v>0.0</v>
      </c>
      <c r="K151" s="707">
        <v>0.0</v>
      </c>
      <c r="L151" s="707">
        <v>0.0</v>
      </c>
      <c r="M151" s="707" t="s">
        <v>1859</v>
      </c>
      <c r="N151" s="1178">
        <v>0.0</v>
      </c>
      <c r="O151" s="1178">
        <v>0.0</v>
      </c>
      <c r="P151" s="1178">
        <v>0.0</v>
      </c>
      <c r="Q151" s="1178">
        <v>0.0</v>
      </c>
      <c r="R151" s="1178">
        <v>0.0</v>
      </c>
      <c r="S151" s="1178">
        <v>1.0</v>
      </c>
      <c r="T151" s="1179" t="s">
        <v>1897</v>
      </c>
      <c r="U151" s="707" t="s">
        <v>1941</v>
      </c>
      <c r="V151" s="702"/>
      <c r="W151" s="702"/>
      <c r="X151" s="702"/>
      <c r="Y151" s="702"/>
      <c r="Z151" s="702"/>
      <c r="AA151" s="702"/>
      <c r="AB151" s="702"/>
      <c r="AC151" s="702"/>
    </row>
    <row r="152" ht="15.75" customHeight="1">
      <c r="A152" s="1189" t="s">
        <v>1860</v>
      </c>
      <c r="B152" s="1190">
        <v>7.0</v>
      </c>
      <c r="C152" s="1190">
        <v>7.0</v>
      </c>
      <c r="D152" s="1190">
        <v>2.0</v>
      </c>
      <c r="E152" s="1190">
        <v>83.0</v>
      </c>
      <c r="F152" s="1190">
        <v>6.0</v>
      </c>
      <c r="G152" s="1190">
        <v>14.0</v>
      </c>
      <c r="H152" s="1191" t="s">
        <v>1085</v>
      </c>
      <c r="I152" s="1191" t="s">
        <v>1085</v>
      </c>
      <c r="J152" s="1191" t="s">
        <v>1085</v>
      </c>
      <c r="K152" s="1191" t="s">
        <v>1085</v>
      </c>
      <c r="L152" s="1191" t="s">
        <v>1085</v>
      </c>
      <c r="M152" s="1191" t="s">
        <v>1085</v>
      </c>
      <c r="N152" s="1191" t="s">
        <v>1085</v>
      </c>
      <c r="O152" s="1191" t="s">
        <v>1085</v>
      </c>
      <c r="P152" s="1191" t="s">
        <v>1085</v>
      </c>
      <c r="Q152" s="1191" t="s">
        <v>1085</v>
      </c>
      <c r="R152" s="1191" t="s">
        <v>1085</v>
      </c>
      <c r="S152" s="1191" t="s">
        <v>1085</v>
      </c>
      <c r="T152" s="1192" t="s">
        <v>1949</v>
      </c>
      <c r="U152" s="1192" t="s">
        <v>1951</v>
      </c>
      <c r="V152" s="702"/>
      <c r="W152" s="702"/>
      <c r="X152" s="702"/>
      <c r="Y152" s="702"/>
      <c r="Z152" s="702"/>
      <c r="AA152" s="702"/>
      <c r="AB152" s="702"/>
      <c r="AC152" s="702"/>
    </row>
    <row r="153" ht="15.75" customHeight="1">
      <c r="A153" s="747"/>
      <c r="B153" s="747"/>
      <c r="C153" s="747"/>
      <c r="D153" s="747"/>
      <c r="E153" s="747"/>
      <c r="F153" s="747"/>
      <c r="G153" s="747"/>
      <c r="H153" s="748"/>
      <c r="I153" s="748"/>
      <c r="J153" s="748"/>
      <c r="K153" s="748"/>
      <c r="L153" s="748"/>
      <c r="M153" s="748"/>
      <c r="N153" s="748"/>
      <c r="O153" s="748"/>
      <c r="P153" s="748"/>
      <c r="Q153" s="748"/>
      <c r="R153" s="748"/>
      <c r="S153" s="748"/>
      <c r="T153" s="748"/>
      <c r="U153" s="748"/>
      <c r="V153" s="702"/>
      <c r="W153" s="702"/>
      <c r="X153" s="702"/>
      <c r="Y153" s="702"/>
      <c r="Z153" s="702"/>
      <c r="AA153" s="702"/>
      <c r="AB153" s="702"/>
      <c r="AC153" s="702"/>
    </row>
    <row r="154" ht="15.75" customHeight="1">
      <c r="A154" s="702"/>
      <c r="B154" s="702"/>
      <c r="C154" s="702"/>
      <c r="D154" s="702"/>
      <c r="E154" s="702"/>
      <c r="F154" s="702"/>
      <c r="G154" s="702"/>
      <c r="H154" s="702"/>
      <c r="I154" s="702"/>
      <c r="J154" s="702"/>
      <c r="K154" s="702"/>
      <c r="L154" s="702"/>
      <c r="M154" s="702"/>
      <c r="N154" s="702"/>
      <c r="O154" s="702"/>
      <c r="P154" s="702"/>
      <c r="Q154" s="702"/>
      <c r="R154" s="702"/>
      <c r="S154" s="702"/>
      <c r="T154" s="702"/>
      <c r="U154" s="702"/>
      <c r="V154" s="702"/>
      <c r="W154" s="702"/>
      <c r="X154" s="702"/>
      <c r="Y154" s="702"/>
      <c r="Z154" s="702"/>
      <c r="AA154" s="702"/>
      <c r="AB154" s="702"/>
      <c r="AC154" s="702"/>
    </row>
    <row r="155" ht="15.75" customHeight="1">
      <c r="A155" s="702"/>
      <c r="B155" s="702"/>
      <c r="C155" s="702"/>
      <c r="D155" s="702"/>
      <c r="E155" s="702"/>
      <c r="F155" s="702"/>
      <c r="G155" s="702"/>
      <c r="H155" s="702"/>
      <c r="I155" s="702"/>
      <c r="J155" s="702"/>
      <c r="K155" s="702"/>
      <c r="L155" s="702"/>
      <c r="M155" s="702"/>
      <c r="N155" s="702"/>
      <c r="O155" s="702"/>
      <c r="P155" s="702"/>
      <c r="Q155" s="702"/>
      <c r="R155" s="702"/>
      <c r="S155" s="702"/>
      <c r="T155" s="702"/>
      <c r="U155" s="702"/>
      <c r="V155" s="702"/>
      <c r="W155" s="702"/>
      <c r="X155" s="702"/>
      <c r="Y155" s="702"/>
      <c r="Z155" s="702"/>
      <c r="AA155" s="702"/>
      <c r="AB155" s="702"/>
      <c r="AC155" s="702"/>
    </row>
    <row r="156" ht="15.75" customHeight="1">
      <c r="A156" s="702"/>
      <c r="B156" s="702"/>
      <c r="C156" s="702"/>
      <c r="D156" s="702"/>
      <c r="E156" s="702"/>
      <c r="F156" s="702"/>
      <c r="G156" s="702"/>
      <c r="H156" s="702"/>
      <c r="I156" s="702"/>
      <c r="J156" s="702"/>
      <c r="K156" s="702"/>
      <c r="L156" s="702"/>
      <c r="M156" s="702"/>
      <c r="N156" s="702"/>
      <c r="O156" s="702"/>
      <c r="P156" s="702"/>
      <c r="Q156" s="702"/>
      <c r="R156" s="702"/>
      <c r="S156" s="702"/>
      <c r="T156" s="702"/>
      <c r="U156" s="702"/>
      <c r="V156" s="702"/>
      <c r="W156" s="702"/>
      <c r="X156" s="702"/>
      <c r="Y156" s="702"/>
      <c r="Z156" s="702"/>
      <c r="AA156" s="702"/>
      <c r="AB156" s="702"/>
      <c r="AC156" s="702"/>
    </row>
    <row r="157" ht="15.75" customHeight="1">
      <c r="A157" s="702"/>
      <c r="B157" s="702"/>
      <c r="C157" s="702"/>
      <c r="D157" s="702"/>
      <c r="E157" s="702"/>
      <c r="F157" s="702"/>
      <c r="G157" s="702"/>
      <c r="H157" s="702"/>
      <c r="I157" s="702"/>
      <c r="J157" s="702"/>
      <c r="K157" s="702"/>
      <c r="L157" s="702"/>
      <c r="M157" s="702"/>
      <c r="N157" s="702"/>
      <c r="O157" s="702"/>
      <c r="P157" s="702"/>
      <c r="Q157" s="702"/>
      <c r="R157" s="702"/>
      <c r="S157" s="702"/>
      <c r="T157" s="702"/>
      <c r="U157" s="702"/>
      <c r="V157" s="702"/>
      <c r="W157" s="702"/>
      <c r="X157" s="702"/>
      <c r="Y157" s="702"/>
      <c r="Z157" s="702"/>
      <c r="AA157" s="702"/>
      <c r="AB157" s="702"/>
      <c r="AC157" s="702"/>
    </row>
    <row r="158" ht="15.75" customHeight="1">
      <c r="A158" s="702"/>
      <c r="B158" s="702"/>
      <c r="C158" s="702"/>
      <c r="D158" s="702"/>
      <c r="E158" s="702"/>
      <c r="F158" s="702"/>
      <c r="G158" s="702"/>
      <c r="H158" s="702"/>
      <c r="I158" s="702"/>
      <c r="J158" s="702"/>
      <c r="K158" s="702"/>
      <c r="L158" s="702"/>
      <c r="M158" s="702"/>
      <c r="N158" s="702"/>
      <c r="O158" s="702"/>
      <c r="P158" s="702"/>
      <c r="Q158" s="702"/>
      <c r="R158" s="702"/>
      <c r="S158" s="702"/>
      <c r="T158" s="702"/>
      <c r="U158" s="702"/>
      <c r="V158" s="702"/>
      <c r="W158" s="702"/>
      <c r="X158" s="702"/>
      <c r="Y158" s="702"/>
      <c r="Z158" s="702"/>
      <c r="AA158" s="702"/>
      <c r="AB158" s="702"/>
      <c r="AC158" s="702"/>
    </row>
    <row r="159" ht="15.75" customHeight="1">
      <c r="A159" s="702"/>
      <c r="B159" s="702"/>
      <c r="C159" s="702"/>
      <c r="D159" s="702"/>
      <c r="E159" s="702"/>
      <c r="F159" s="702"/>
      <c r="G159" s="702"/>
      <c r="H159" s="702"/>
      <c r="I159" s="702"/>
      <c r="J159" s="702"/>
      <c r="K159" s="702"/>
      <c r="L159" s="702"/>
      <c r="M159" s="702"/>
      <c r="N159" s="702"/>
      <c r="O159" s="702"/>
      <c r="P159" s="702"/>
      <c r="Q159" s="702"/>
      <c r="R159" s="702"/>
      <c r="S159" s="702"/>
      <c r="T159" s="702"/>
      <c r="U159" s="702"/>
      <c r="V159" s="702"/>
      <c r="W159" s="702"/>
      <c r="X159" s="702"/>
      <c r="Y159" s="702"/>
      <c r="Z159" s="702"/>
      <c r="AA159" s="702"/>
      <c r="AB159" s="702"/>
      <c r="AC159" s="702"/>
    </row>
    <row r="160" ht="15.75" customHeight="1">
      <c r="A160" s="702"/>
      <c r="B160" s="702"/>
      <c r="C160" s="702"/>
      <c r="D160" s="702"/>
      <c r="E160" s="702"/>
      <c r="F160" s="702"/>
      <c r="G160" s="702"/>
      <c r="H160" s="702"/>
      <c r="I160" s="702"/>
      <c r="J160" s="702"/>
      <c r="K160" s="702"/>
      <c r="L160" s="702"/>
      <c r="M160" s="702"/>
      <c r="N160" s="702"/>
      <c r="O160" s="702"/>
      <c r="P160" s="702"/>
      <c r="Q160" s="702"/>
      <c r="R160" s="702"/>
      <c r="S160" s="702"/>
      <c r="T160" s="702"/>
      <c r="U160" s="702"/>
      <c r="V160" s="702"/>
      <c r="W160" s="702"/>
      <c r="X160" s="702"/>
      <c r="Y160" s="702"/>
      <c r="Z160" s="702"/>
      <c r="AA160" s="702"/>
      <c r="AB160" s="702"/>
      <c r="AC160" s="702"/>
    </row>
    <row r="161" ht="15.75" customHeight="1">
      <c r="A161" s="702"/>
      <c r="B161" s="702"/>
      <c r="C161" s="702"/>
      <c r="D161" s="702"/>
      <c r="E161" s="702"/>
      <c r="F161" s="702"/>
      <c r="G161" s="702"/>
      <c r="H161" s="702"/>
      <c r="I161" s="702"/>
      <c r="J161" s="702"/>
      <c r="K161" s="702"/>
      <c r="L161" s="702"/>
      <c r="M161" s="702"/>
      <c r="N161" s="702"/>
      <c r="O161" s="702"/>
      <c r="P161" s="702"/>
      <c r="Q161" s="702"/>
      <c r="R161" s="702"/>
      <c r="S161" s="702"/>
      <c r="T161" s="702"/>
      <c r="U161" s="702"/>
      <c r="V161" s="702"/>
      <c r="W161" s="702"/>
      <c r="X161" s="702"/>
      <c r="Y161" s="702"/>
      <c r="Z161" s="702"/>
      <c r="AA161" s="702"/>
      <c r="AB161" s="702"/>
      <c r="AC161" s="702"/>
    </row>
    <row r="162" ht="15.75" customHeight="1">
      <c r="A162" s="702"/>
      <c r="B162" s="702"/>
      <c r="C162" s="702"/>
      <c r="D162" s="702"/>
      <c r="E162" s="702"/>
      <c r="F162" s="702"/>
      <c r="G162" s="702"/>
      <c r="H162" s="702"/>
      <c r="I162" s="702"/>
      <c r="J162" s="702"/>
      <c r="K162" s="702"/>
      <c r="L162" s="702"/>
      <c r="M162" s="702"/>
      <c r="N162" s="702"/>
      <c r="O162" s="702"/>
      <c r="P162" s="702"/>
      <c r="Q162" s="702"/>
      <c r="R162" s="702"/>
      <c r="S162" s="702"/>
      <c r="T162" s="702"/>
      <c r="U162" s="702"/>
      <c r="V162" s="702"/>
      <c r="W162" s="702"/>
      <c r="X162" s="702"/>
      <c r="Y162" s="702"/>
      <c r="Z162" s="702"/>
      <c r="AA162" s="702"/>
      <c r="AB162" s="702"/>
      <c r="AC162" s="702"/>
    </row>
    <row r="163" ht="15.75" customHeight="1">
      <c r="A163" s="702"/>
      <c r="B163" s="702"/>
      <c r="C163" s="702"/>
      <c r="D163" s="702"/>
      <c r="E163" s="702"/>
      <c r="F163" s="702"/>
      <c r="G163" s="702"/>
      <c r="H163" s="702"/>
      <c r="I163" s="702"/>
      <c r="J163" s="702"/>
      <c r="K163" s="702"/>
      <c r="L163" s="702"/>
      <c r="M163" s="702"/>
      <c r="N163" s="702"/>
      <c r="O163" s="702"/>
      <c r="P163" s="702"/>
      <c r="Q163" s="702"/>
      <c r="R163" s="702"/>
      <c r="S163" s="702"/>
      <c r="T163" s="702"/>
      <c r="U163" s="702"/>
      <c r="V163" s="702"/>
      <c r="W163" s="702"/>
      <c r="X163" s="702"/>
      <c r="Y163" s="702"/>
      <c r="Z163" s="702"/>
      <c r="AA163" s="702"/>
      <c r="AB163" s="702"/>
      <c r="AC163" s="702"/>
    </row>
    <row r="164" ht="15.75" customHeight="1">
      <c r="A164" s="702"/>
      <c r="B164" s="702"/>
      <c r="C164" s="702"/>
      <c r="D164" s="702"/>
      <c r="E164" s="702"/>
      <c r="F164" s="702"/>
      <c r="G164" s="702"/>
      <c r="H164" s="702"/>
      <c r="I164" s="702"/>
      <c r="J164" s="702"/>
      <c r="K164" s="702"/>
      <c r="L164" s="702"/>
      <c r="M164" s="702"/>
      <c r="N164" s="702"/>
      <c r="O164" s="702"/>
      <c r="P164" s="702"/>
      <c r="Q164" s="702"/>
      <c r="R164" s="702"/>
      <c r="S164" s="702"/>
      <c r="T164" s="702"/>
      <c r="U164" s="702"/>
      <c r="V164" s="702"/>
      <c r="W164" s="702"/>
      <c r="X164" s="702"/>
      <c r="Y164" s="702"/>
      <c r="Z164" s="702"/>
      <c r="AA164" s="702"/>
      <c r="AB164" s="702"/>
      <c r="AC164" s="702"/>
    </row>
    <row r="165" ht="15.75" customHeight="1">
      <c r="A165" s="702"/>
      <c r="B165" s="702"/>
      <c r="C165" s="702"/>
      <c r="D165" s="702"/>
      <c r="E165" s="702"/>
      <c r="F165" s="702"/>
      <c r="G165" s="702"/>
      <c r="H165" s="702"/>
      <c r="I165" s="702"/>
      <c r="J165" s="702"/>
      <c r="K165" s="702"/>
      <c r="L165" s="702"/>
      <c r="M165" s="702"/>
      <c r="N165" s="702"/>
      <c r="O165" s="702"/>
      <c r="P165" s="702"/>
      <c r="Q165" s="702"/>
      <c r="R165" s="702"/>
      <c r="S165" s="702"/>
      <c r="T165" s="702"/>
      <c r="U165" s="702"/>
      <c r="V165" s="702"/>
      <c r="W165" s="702"/>
      <c r="X165" s="702"/>
      <c r="Y165" s="702"/>
      <c r="Z165" s="702"/>
      <c r="AA165" s="702"/>
      <c r="AB165" s="702"/>
      <c r="AC165" s="702"/>
    </row>
    <row r="166" ht="15.75" customHeight="1">
      <c r="A166" s="702"/>
      <c r="B166" s="702"/>
      <c r="C166" s="702"/>
      <c r="D166" s="702"/>
      <c r="E166" s="702"/>
      <c r="F166" s="702"/>
      <c r="G166" s="702"/>
      <c r="H166" s="702"/>
      <c r="I166" s="702"/>
      <c r="J166" s="702"/>
      <c r="K166" s="702"/>
      <c r="L166" s="702"/>
      <c r="M166" s="702"/>
      <c r="N166" s="702"/>
      <c r="O166" s="702"/>
      <c r="P166" s="702"/>
      <c r="Q166" s="702"/>
      <c r="R166" s="702"/>
      <c r="S166" s="702"/>
      <c r="T166" s="702"/>
      <c r="U166" s="702"/>
      <c r="V166" s="702"/>
      <c r="W166" s="702"/>
      <c r="X166" s="702"/>
      <c r="Y166" s="702"/>
      <c r="Z166" s="702"/>
      <c r="AA166" s="702"/>
      <c r="AB166" s="702"/>
      <c r="AC166" s="702"/>
    </row>
    <row r="167" ht="15.75" customHeight="1">
      <c r="A167" s="702"/>
      <c r="B167" s="702"/>
      <c r="C167" s="702"/>
      <c r="D167" s="702"/>
      <c r="E167" s="702"/>
      <c r="F167" s="702"/>
      <c r="G167" s="702"/>
      <c r="H167" s="702"/>
      <c r="I167" s="702"/>
      <c r="J167" s="702"/>
      <c r="K167" s="702"/>
      <c r="L167" s="702"/>
      <c r="M167" s="702"/>
      <c r="N167" s="702"/>
      <c r="O167" s="702"/>
      <c r="P167" s="702"/>
      <c r="Q167" s="702"/>
      <c r="R167" s="702"/>
      <c r="S167" s="702"/>
      <c r="T167" s="702"/>
      <c r="U167" s="702"/>
      <c r="V167" s="702"/>
      <c r="W167" s="702"/>
      <c r="X167" s="702"/>
      <c r="Y167" s="702"/>
      <c r="Z167" s="702"/>
      <c r="AA167" s="702"/>
      <c r="AB167" s="702"/>
      <c r="AC167" s="702"/>
    </row>
    <row r="168" ht="15.75" customHeight="1">
      <c r="A168" s="702"/>
      <c r="B168" s="702"/>
      <c r="C168" s="702"/>
      <c r="D168" s="702"/>
      <c r="E168" s="702"/>
      <c r="F168" s="702"/>
      <c r="G168" s="702"/>
      <c r="H168" s="702"/>
      <c r="I168" s="702"/>
      <c r="J168" s="702"/>
      <c r="K168" s="702"/>
      <c r="L168" s="702"/>
      <c r="M168" s="702"/>
      <c r="N168" s="702"/>
      <c r="O168" s="702"/>
      <c r="P168" s="702"/>
      <c r="Q168" s="702"/>
      <c r="R168" s="702"/>
      <c r="S168" s="702"/>
      <c r="T168" s="702"/>
      <c r="U168" s="702"/>
      <c r="V168" s="702"/>
      <c r="W168" s="702"/>
      <c r="X168" s="702"/>
      <c r="Y168" s="702"/>
      <c r="Z168" s="702"/>
      <c r="AA168" s="702"/>
      <c r="AB168" s="702"/>
      <c r="AC168" s="702"/>
    </row>
    <row r="169" ht="15.75" customHeight="1">
      <c r="A169" s="702"/>
      <c r="B169" s="702"/>
      <c r="C169" s="702"/>
      <c r="D169" s="702"/>
      <c r="E169" s="702"/>
      <c r="F169" s="702"/>
      <c r="G169" s="702"/>
      <c r="H169" s="702"/>
      <c r="I169" s="702"/>
      <c r="J169" s="702"/>
      <c r="K169" s="702"/>
      <c r="L169" s="702"/>
      <c r="M169" s="702"/>
      <c r="N169" s="702"/>
      <c r="O169" s="702"/>
      <c r="P169" s="702"/>
      <c r="Q169" s="702"/>
      <c r="R169" s="702"/>
      <c r="S169" s="702"/>
      <c r="T169" s="702"/>
      <c r="U169" s="702"/>
      <c r="V169" s="702"/>
      <c r="W169" s="702"/>
      <c r="X169" s="702"/>
      <c r="Y169" s="702"/>
      <c r="Z169" s="702"/>
      <c r="AA169" s="702"/>
      <c r="AB169" s="702"/>
      <c r="AC169" s="702"/>
    </row>
    <row r="170" ht="15.75" customHeight="1">
      <c r="A170" s="702"/>
      <c r="B170" s="702"/>
      <c r="C170" s="702"/>
      <c r="D170" s="702"/>
      <c r="E170" s="702"/>
      <c r="F170" s="702"/>
      <c r="G170" s="702"/>
      <c r="H170" s="702"/>
      <c r="I170" s="702"/>
      <c r="J170" s="702"/>
      <c r="K170" s="702"/>
      <c r="L170" s="702"/>
      <c r="M170" s="702"/>
      <c r="N170" s="702"/>
      <c r="O170" s="702"/>
      <c r="P170" s="702"/>
      <c r="Q170" s="702"/>
      <c r="R170" s="702"/>
      <c r="S170" s="702"/>
      <c r="T170" s="702"/>
      <c r="U170" s="702"/>
      <c r="V170" s="702"/>
      <c r="W170" s="702"/>
      <c r="X170" s="702"/>
      <c r="Y170" s="702"/>
      <c r="Z170" s="702"/>
      <c r="AA170" s="702"/>
      <c r="AB170" s="702"/>
      <c r="AC170" s="702"/>
    </row>
    <row r="171" ht="15.75" customHeight="1">
      <c r="A171" s="702"/>
      <c r="B171" s="702"/>
      <c r="C171" s="702"/>
      <c r="D171" s="702"/>
      <c r="E171" s="702"/>
      <c r="F171" s="702"/>
      <c r="G171" s="702"/>
      <c r="H171" s="702"/>
      <c r="I171" s="702"/>
      <c r="J171" s="702"/>
      <c r="K171" s="702"/>
      <c r="L171" s="702"/>
      <c r="M171" s="702"/>
      <c r="N171" s="702"/>
      <c r="O171" s="702"/>
      <c r="P171" s="702"/>
      <c r="Q171" s="702"/>
      <c r="R171" s="702"/>
      <c r="S171" s="702"/>
      <c r="T171" s="702"/>
      <c r="U171" s="702"/>
      <c r="V171" s="702"/>
      <c r="W171" s="702"/>
      <c r="X171" s="702"/>
      <c r="Y171" s="702"/>
      <c r="Z171" s="702"/>
      <c r="AA171" s="702"/>
      <c r="AB171" s="702"/>
      <c r="AC171" s="702"/>
    </row>
    <row r="172" ht="15.75" customHeight="1">
      <c r="A172" s="702"/>
      <c r="B172" s="702"/>
      <c r="C172" s="702"/>
      <c r="D172" s="702"/>
      <c r="E172" s="702"/>
      <c r="F172" s="702"/>
      <c r="G172" s="702"/>
      <c r="H172" s="702"/>
      <c r="I172" s="702"/>
      <c r="J172" s="702"/>
      <c r="K172" s="702"/>
      <c r="L172" s="702"/>
      <c r="M172" s="702"/>
      <c r="N172" s="702"/>
      <c r="O172" s="702"/>
      <c r="P172" s="702"/>
      <c r="Q172" s="702"/>
      <c r="R172" s="702"/>
      <c r="S172" s="702"/>
      <c r="T172" s="702"/>
      <c r="U172" s="702"/>
      <c r="V172" s="702"/>
      <c r="W172" s="702"/>
      <c r="X172" s="702"/>
      <c r="Y172" s="702"/>
      <c r="Z172" s="702"/>
      <c r="AA172" s="702"/>
      <c r="AB172" s="702"/>
      <c r="AC172" s="702"/>
    </row>
    <row r="173" ht="15.75" customHeight="1">
      <c r="A173" s="702"/>
      <c r="B173" s="702"/>
      <c r="C173" s="702"/>
      <c r="D173" s="702"/>
      <c r="E173" s="702"/>
      <c r="F173" s="702"/>
      <c r="G173" s="702"/>
      <c r="H173" s="702"/>
      <c r="I173" s="702"/>
      <c r="J173" s="702"/>
      <c r="K173" s="702"/>
      <c r="L173" s="702"/>
      <c r="M173" s="702"/>
      <c r="N173" s="702"/>
      <c r="O173" s="702"/>
      <c r="P173" s="702"/>
      <c r="Q173" s="702"/>
      <c r="R173" s="702"/>
      <c r="S173" s="702"/>
      <c r="T173" s="702"/>
      <c r="U173" s="702"/>
      <c r="V173" s="702"/>
      <c r="W173" s="702"/>
      <c r="X173" s="702"/>
      <c r="Y173" s="702"/>
      <c r="Z173" s="702"/>
      <c r="AA173" s="702"/>
      <c r="AB173" s="702"/>
      <c r="AC173" s="702"/>
    </row>
    <row r="174" ht="15.75" customHeight="1">
      <c r="A174" s="702"/>
      <c r="B174" s="702"/>
      <c r="C174" s="702"/>
      <c r="D174" s="702"/>
      <c r="E174" s="702"/>
      <c r="F174" s="702"/>
      <c r="G174" s="702"/>
      <c r="H174" s="702"/>
      <c r="I174" s="702"/>
      <c r="J174" s="702"/>
      <c r="K174" s="702"/>
      <c r="L174" s="702"/>
      <c r="M174" s="702"/>
      <c r="N174" s="702"/>
      <c r="O174" s="702"/>
      <c r="P174" s="702"/>
      <c r="Q174" s="702"/>
      <c r="R174" s="702"/>
      <c r="S174" s="702"/>
      <c r="T174" s="702"/>
      <c r="U174" s="702"/>
      <c r="V174" s="702"/>
      <c r="W174" s="702"/>
      <c r="X174" s="702"/>
      <c r="Y174" s="702"/>
      <c r="Z174" s="702"/>
      <c r="AA174" s="702"/>
      <c r="AB174" s="702"/>
      <c r="AC174" s="702"/>
    </row>
    <row r="175" ht="15.75" customHeight="1">
      <c r="A175" s="702"/>
      <c r="B175" s="702"/>
      <c r="C175" s="702"/>
      <c r="D175" s="702"/>
      <c r="E175" s="702"/>
      <c r="F175" s="702"/>
      <c r="G175" s="702"/>
      <c r="H175" s="702"/>
      <c r="I175" s="702"/>
      <c r="J175" s="702"/>
      <c r="K175" s="702"/>
      <c r="L175" s="702"/>
      <c r="M175" s="702"/>
      <c r="N175" s="702"/>
      <c r="O175" s="702"/>
      <c r="P175" s="702"/>
      <c r="Q175" s="702"/>
      <c r="R175" s="702"/>
      <c r="S175" s="702"/>
      <c r="T175" s="702"/>
      <c r="U175" s="702"/>
      <c r="V175" s="702"/>
      <c r="W175" s="702"/>
      <c r="X175" s="702"/>
      <c r="Y175" s="702"/>
      <c r="Z175" s="702"/>
      <c r="AA175" s="702"/>
      <c r="AB175" s="702"/>
      <c r="AC175" s="702"/>
    </row>
    <row r="176" ht="15.75" customHeight="1">
      <c r="A176" s="702"/>
      <c r="B176" s="702"/>
      <c r="C176" s="702"/>
      <c r="D176" s="702"/>
      <c r="E176" s="702"/>
      <c r="F176" s="702"/>
      <c r="G176" s="702"/>
      <c r="H176" s="702"/>
      <c r="I176" s="702"/>
      <c r="J176" s="702"/>
      <c r="K176" s="702"/>
      <c r="L176" s="702"/>
      <c r="M176" s="702"/>
      <c r="N176" s="702"/>
      <c r="O176" s="702"/>
      <c r="P176" s="702"/>
      <c r="Q176" s="702"/>
      <c r="R176" s="702"/>
      <c r="S176" s="702"/>
      <c r="T176" s="702"/>
      <c r="U176" s="702"/>
      <c r="V176" s="702"/>
      <c r="W176" s="702"/>
      <c r="X176" s="702"/>
      <c r="Y176" s="702"/>
      <c r="Z176" s="702"/>
      <c r="AA176" s="702"/>
      <c r="AB176" s="702"/>
      <c r="AC176" s="702"/>
    </row>
    <row r="177" ht="15.75" customHeight="1">
      <c r="A177" s="702"/>
      <c r="B177" s="702"/>
      <c r="C177" s="702"/>
      <c r="D177" s="702"/>
      <c r="E177" s="702"/>
      <c r="F177" s="702"/>
      <c r="G177" s="702"/>
      <c r="H177" s="702"/>
      <c r="I177" s="702"/>
      <c r="J177" s="702"/>
      <c r="K177" s="702"/>
      <c r="L177" s="702"/>
      <c r="M177" s="702"/>
      <c r="N177" s="702"/>
      <c r="O177" s="702"/>
      <c r="P177" s="702"/>
      <c r="Q177" s="702"/>
      <c r="R177" s="702"/>
      <c r="S177" s="702"/>
      <c r="T177" s="702"/>
      <c r="U177" s="702"/>
      <c r="V177" s="702"/>
      <c r="W177" s="702"/>
      <c r="X177" s="702"/>
      <c r="Y177" s="702"/>
      <c r="Z177" s="702"/>
      <c r="AA177" s="702"/>
      <c r="AB177" s="702"/>
      <c r="AC177" s="702"/>
    </row>
    <row r="178" ht="15.75" customHeight="1">
      <c r="A178" s="702"/>
      <c r="B178" s="702"/>
      <c r="C178" s="702"/>
      <c r="D178" s="702"/>
      <c r="E178" s="702"/>
      <c r="F178" s="702"/>
      <c r="G178" s="702"/>
      <c r="H178" s="702"/>
      <c r="I178" s="702"/>
      <c r="J178" s="702"/>
      <c r="K178" s="702"/>
      <c r="L178" s="702"/>
      <c r="M178" s="702"/>
      <c r="N178" s="702"/>
      <c r="O178" s="702"/>
      <c r="P178" s="702"/>
      <c r="Q178" s="702"/>
      <c r="R178" s="702"/>
      <c r="S178" s="702"/>
      <c r="T178" s="702"/>
      <c r="U178" s="702"/>
      <c r="V178" s="702"/>
      <c r="W178" s="702"/>
      <c r="X178" s="702"/>
      <c r="Y178" s="702"/>
      <c r="Z178" s="702"/>
      <c r="AA178" s="702"/>
      <c r="AB178" s="702"/>
      <c r="AC178" s="702"/>
    </row>
    <row r="179" ht="15.75" customHeight="1">
      <c r="A179" s="702"/>
      <c r="B179" s="702"/>
      <c r="C179" s="702"/>
      <c r="D179" s="702"/>
      <c r="E179" s="702"/>
      <c r="F179" s="702"/>
      <c r="G179" s="702"/>
      <c r="H179" s="702"/>
      <c r="I179" s="702"/>
      <c r="J179" s="702"/>
      <c r="K179" s="702"/>
      <c r="L179" s="702"/>
      <c r="M179" s="702"/>
      <c r="N179" s="702"/>
      <c r="O179" s="702"/>
      <c r="P179" s="702"/>
      <c r="Q179" s="702"/>
      <c r="R179" s="702"/>
      <c r="S179" s="702"/>
      <c r="T179" s="702"/>
      <c r="U179" s="702"/>
      <c r="V179" s="702"/>
      <c r="W179" s="702"/>
      <c r="X179" s="702"/>
      <c r="Y179" s="702"/>
      <c r="Z179" s="702"/>
      <c r="AA179" s="702"/>
      <c r="AB179" s="702"/>
      <c r="AC179" s="702"/>
    </row>
    <row r="180" ht="15.75" customHeight="1">
      <c r="A180" s="702"/>
      <c r="B180" s="702"/>
      <c r="C180" s="702"/>
      <c r="D180" s="702"/>
      <c r="E180" s="702"/>
      <c r="F180" s="702"/>
      <c r="G180" s="702"/>
      <c r="H180" s="702"/>
      <c r="I180" s="702"/>
      <c r="J180" s="702"/>
      <c r="K180" s="702"/>
      <c r="L180" s="702"/>
      <c r="M180" s="702"/>
      <c r="N180" s="702"/>
      <c r="O180" s="702"/>
      <c r="P180" s="702"/>
      <c r="Q180" s="702"/>
      <c r="R180" s="702"/>
      <c r="S180" s="702"/>
      <c r="T180" s="702"/>
      <c r="U180" s="702"/>
      <c r="V180" s="702"/>
      <c r="W180" s="702"/>
      <c r="X180" s="702"/>
      <c r="Y180" s="702"/>
      <c r="Z180" s="702"/>
      <c r="AA180" s="702"/>
      <c r="AB180" s="702"/>
      <c r="AC180" s="702"/>
    </row>
    <row r="181" ht="15.75" customHeight="1">
      <c r="A181" s="702"/>
      <c r="B181" s="702"/>
      <c r="C181" s="702"/>
      <c r="D181" s="702"/>
      <c r="E181" s="702"/>
      <c r="F181" s="702"/>
      <c r="G181" s="702"/>
      <c r="H181" s="702"/>
      <c r="I181" s="702"/>
      <c r="J181" s="702"/>
      <c r="K181" s="702"/>
      <c r="L181" s="702"/>
      <c r="M181" s="702"/>
      <c r="N181" s="702"/>
      <c r="O181" s="702"/>
      <c r="P181" s="702"/>
      <c r="Q181" s="702"/>
      <c r="R181" s="702"/>
      <c r="S181" s="702"/>
      <c r="T181" s="702"/>
      <c r="U181" s="702"/>
      <c r="V181" s="702"/>
      <c r="W181" s="702"/>
      <c r="X181" s="702"/>
      <c r="Y181" s="702"/>
      <c r="Z181" s="702"/>
      <c r="AA181" s="702"/>
      <c r="AB181" s="702"/>
      <c r="AC181" s="702"/>
    </row>
    <row r="182" ht="15.75" customHeight="1">
      <c r="A182" s="702"/>
      <c r="B182" s="702"/>
      <c r="C182" s="702"/>
      <c r="D182" s="702"/>
      <c r="E182" s="702"/>
      <c r="F182" s="702"/>
      <c r="G182" s="702"/>
      <c r="H182" s="702"/>
      <c r="I182" s="702"/>
      <c r="J182" s="702"/>
      <c r="K182" s="702"/>
      <c r="L182" s="702"/>
      <c r="M182" s="702"/>
      <c r="N182" s="702"/>
      <c r="O182" s="702"/>
      <c r="P182" s="702"/>
      <c r="Q182" s="702"/>
      <c r="R182" s="702"/>
      <c r="S182" s="702"/>
      <c r="T182" s="702"/>
      <c r="U182" s="702"/>
      <c r="V182" s="702"/>
      <c r="W182" s="702"/>
      <c r="X182" s="702"/>
      <c r="Y182" s="702"/>
      <c r="Z182" s="702"/>
      <c r="AA182" s="702"/>
      <c r="AB182" s="702"/>
      <c r="AC182" s="702"/>
    </row>
    <row r="183" ht="15.75" customHeight="1">
      <c r="A183" s="702"/>
      <c r="B183" s="702"/>
      <c r="C183" s="702"/>
      <c r="D183" s="702"/>
      <c r="E183" s="702"/>
      <c r="F183" s="702"/>
      <c r="G183" s="702"/>
      <c r="H183" s="702"/>
      <c r="I183" s="702"/>
      <c r="J183" s="702"/>
      <c r="K183" s="702"/>
      <c r="L183" s="702"/>
      <c r="M183" s="702"/>
      <c r="N183" s="702"/>
      <c r="O183" s="702"/>
      <c r="P183" s="702"/>
      <c r="Q183" s="702"/>
      <c r="R183" s="702"/>
      <c r="S183" s="702"/>
      <c r="T183" s="702"/>
      <c r="U183" s="702"/>
      <c r="V183" s="702"/>
      <c r="W183" s="702"/>
      <c r="X183" s="702"/>
      <c r="Y183" s="702"/>
      <c r="Z183" s="702"/>
      <c r="AA183" s="702"/>
      <c r="AB183" s="702"/>
      <c r="AC183" s="702"/>
    </row>
    <row r="184" ht="15.75" customHeight="1">
      <c r="A184" s="702"/>
      <c r="B184" s="702"/>
      <c r="C184" s="702"/>
      <c r="D184" s="702"/>
      <c r="E184" s="702"/>
      <c r="F184" s="702"/>
      <c r="G184" s="702"/>
      <c r="H184" s="702"/>
      <c r="I184" s="702"/>
      <c r="J184" s="702"/>
      <c r="K184" s="702"/>
      <c r="L184" s="702"/>
      <c r="M184" s="702"/>
      <c r="N184" s="702"/>
      <c r="O184" s="702"/>
      <c r="P184" s="702"/>
      <c r="Q184" s="702"/>
      <c r="R184" s="702"/>
      <c r="S184" s="702"/>
      <c r="T184" s="702"/>
      <c r="U184" s="702"/>
      <c r="V184" s="702"/>
      <c r="W184" s="702"/>
      <c r="X184" s="702"/>
      <c r="Y184" s="702"/>
      <c r="Z184" s="702"/>
      <c r="AA184" s="702"/>
      <c r="AB184" s="702"/>
      <c r="AC184" s="702"/>
    </row>
    <row r="185" ht="15.75" customHeight="1">
      <c r="A185" s="702"/>
      <c r="B185" s="702"/>
      <c r="C185" s="702"/>
      <c r="D185" s="702"/>
      <c r="E185" s="702"/>
      <c r="F185" s="702"/>
      <c r="G185" s="702"/>
      <c r="H185" s="702"/>
      <c r="I185" s="702"/>
      <c r="J185" s="702"/>
      <c r="K185" s="702"/>
      <c r="L185" s="702"/>
      <c r="M185" s="702"/>
      <c r="N185" s="702"/>
      <c r="O185" s="702"/>
      <c r="P185" s="702"/>
      <c r="Q185" s="702"/>
      <c r="R185" s="702"/>
      <c r="S185" s="702"/>
      <c r="T185" s="702"/>
      <c r="U185" s="702"/>
      <c r="V185" s="702"/>
      <c r="W185" s="702"/>
      <c r="X185" s="702"/>
      <c r="Y185" s="702"/>
      <c r="Z185" s="702"/>
      <c r="AA185" s="702"/>
      <c r="AB185" s="702"/>
      <c r="AC185" s="702"/>
    </row>
    <row r="186" ht="15.75" customHeight="1">
      <c r="A186" s="702"/>
      <c r="B186" s="702"/>
      <c r="C186" s="702"/>
      <c r="D186" s="702"/>
      <c r="E186" s="702"/>
      <c r="F186" s="702"/>
      <c r="G186" s="702"/>
      <c r="H186" s="702"/>
      <c r="I186" s="702"/>
      <c r="J186" s="702"/>
      <c r="K186" s="702"/>
      <c r="L186" s="702"/>
      <c r="M186" s="702"/>
      <c r="N186" s="702"/>
      <c r="O186" s="702"/>
      <c r="P186" s="702"/>
      <c r="Q186" s="702"/>
      <c r="R186" s="702"/>
      <c r="S186" s="702"/>
      <c r="T186" s="702"/>
      <c r="U186" s="702"/>
      <c r="V186" s="702"/>
      <c r="W186" s="702"/>
      <c r="X186" s="702"/>
      <c r="Y186" s="702"/>
      <c r="Z186" s="702"/>
      <c r="AA186" s="702"/>
      <c r="AB186" s="702"/>
      <c r="AC186" s="702"/>
    </row>
    <row r="187" ht="15.75" customHeight="1">
      <c r="A187" s="702"/>
      <c r="B187" s="702"/>
      <c r="C187" s="702"/>
      <c r="D187" s="702"/>
      <c r="E187" s="702"/>
      <c r="F187" s="702"/>
      <c r="G187" s="702"/>
      <c r="H187" s="702"/>
      <c r="I187" s="702"/>
      <c r="J187" s="702"/>
      <c r="K187" s="702"/>
      <c r="L187" s="702"/>
      <c r="M187" s="702"/>
      <c r="N187" s="702"/>
      <c r="O187" s="702"/>
      <c r="P187" s="702"/>
      <c r="Q187" s="702"/>
      <c r="R187" s="702"/>
      <c r="S187" s="702"/>
      <c r="T187" s="702"/>
      <c r="U187" s="702"/>
      <c r="V187" s="702"/>
      <c r="W187" s="702"/>
      <c r="X187" s="702"/>
      <c r="Y187" s="702"/>
      <c r="Z187" s="702"/>
      <c r="AA187" s="702"/>
      <c r="AB187" s="702"/>
      <c r="AC187" s="702"/>
    </row>
    <row r="188" ht="15.75" customHeight="1">
      <c r="A188" s="702"/>
      <c r="B188" s="702"/>
      <c r="C188" s="702"/>
      <c r="D188" s="702"/>
      <c r="E188" s="702"/>
      <c r="F188" s="702"/>
      <c r="G188" s="702"/>
      <c r="H188" s="702"/>
      <c r="I188" s="702"/>
      <c r="J188" s="702"/>
      <c r="K188" s="702"/>
      <c r="L188" s="702"/>
      <c r="M188" s="702"/>
      <c r="N188" s="702"/>
      <c r="O188" s="702"/>
      <c r="P188" s="702"/>
      <c r="Q188" s="702"/>
      <c r="R188" s="702"/>
      <c r="S188" s="702"/>
      <c r="T188" s="702"/>
      <c r="U188" s="702"/>
      <c r="V188" s="702"/>
      <c r="W188" s="702"/>
      <c r="X188" s="702"/>
      <c r="Y188" s="702"/>
      <c r="Z188" s="702"/>
      <c r="AA188" s="702"/>
      <c r="AB188" s="702"/>
      <c r="AC188" s="702"/>
    </row>
    <row r="189" ht="15.75" customHeight="1">
      <c r="A189" s="702"/>
      <c r="B189" s="702"/>
      <c r="C189" s="702"/>
      <c r="D189" s="702"/>
      <c r="E189" s="702"/>
      <c r="F189" s="702"/>
      <c r="G189" s="702"/>
      <c r="H189" s="702"/>
      <c r="I189" s="702"/>
      <c r="J189" s="702"/>
      <c r="K189" s="702"/>
      <c r="L189" s="702"/>
      <c r="M189" s="702"/>
      <c r="N189" s="702"/>
      <c r="O189" s="702"/>
      <c r="P189" s="702"/>
      <c r="Q189" s="702"/>
      <c r="R189" s="702"/>
      <c r="S189" s="702"/>
      <c r="T189" s="702"/>
      <c r="U189" s="702"/>
      <c r="V189" s="702"/>
      <c r="W189" s="702"/>
      <c r="X189" s="702"/>
      <c r="Y189" s="702"/>
      <c r="Z189" s="702"/>
      <c r="AA189" s="702"/>
      <c r="AB189" s="702"/>
      <c r="AC189" s="702"/>
    </row>
    <row r="190" ht="15.75" customHeight="1">
      <c r="A190" s="702"/>
      <c r="B190" s="702"/>
      <c r="C190" s="702"/>
      <c r="D190" s="702"/>
      <c r="E190" s="702"/>
      <c r="F190" s="702"/>
      <c r="G190" s="702"/>
      <c r="H190" s="702"/>
      <c r="I190" s="702"/>
      <c r="J190" s="702"/>
      <c r="K190" s="702"/>
      <c r="L190" s="702"/>
      <c r="M190" s="702"/>
      <c r="N190" s="702"/>
      <c r="O190" s="702"/>
      <c r="P190" s="702"/>
      <c r="Q190" s="702"/>
      <c r="R190" s="702"/>
      <c r="S190" s="702"/>
      <c r="T190" s="702"/>
      <c r="U190" s="702"/>
      <c r="V190" s="702"/>
      <c r="W190" s="702"/>
      <c r="X190" s="702"/>
      <c r="Y190" s="702"/>
      <c r="Z190" s="702"/>
      <c r="AA190" s="702"/>
      <c r="AB190" s="702"/>
      <c r="AC190" s="702"/>
    </row>
    <row r="191" ht="15.75" customHeight="1">
      <c r="A191" s="702"/>
      <c r="B191" s="702"/>
      <c r="C191" s="702"/>
      <c r="D191" s="702"/>
      <c r="E191" s="702"/>
      <c r="F191" s="702"/>
      <c r="G191" s="702"/>
      <c r="H191" s="702"/>
      <c r="I191" s="702"/>
      <c r="J191" s="702"/>
      <c r="K191" s="702"/>
      <c r="L191" s="702"/>
      <c r="M191" s="702"/>
      <c r="N191" s="702"/>
      <c r="O191" s="702"/>
      <c r="P191" s="702"/>
      <c r="Q191" s="702"/>
      <c r="R191" s="702"/>
      <c r="S191" s="702"/>
      <c r="T191" s="702"/>
      <c r="U191" s="702"/>
      <c r="V191" s="702"/>
      <c r="W191" s="702"/>
      <c r="X191" s="702"/>
      <c r="Y191" s="702"/>
      <c r="Z191" s="702"/>
      <c r="AA191" s="702"/>
      <c r="AB191" s="702"/>
      <c r="AC191" s="702"/>
    </row>
    <row r="192" ht="15.75" customHeight="1">
      <c r="A192" s="702"/>
      <c r="B192" s="702"/>
      <c r="C192" s="702"/>
      <c r="D192" s="702"/>
      <c r="E192" s="702"/>
      <c r="F192" s="702"/>
      <c r="G192" s="702"/>
      <c r="H192" s="702"/>
      <c r="I192" s="702"/>
      <c r="J192" s="702"/>
      <c r="K192" s="702"/>
      <c r="L192" s="702"/>
      <c r="M192" s="702"/>
      <c r="N192" s="702"/>
      <c r="O192" s="702"/>
      <c r="P192" s="702"/>
      <c r="Q192" s="702"/>
      <c r="R192" s="702"/>
      <c r="S192" s="702"/>
      <c r="T192" s="702"/>
      <c r="U192" s="702"/>
      <c r="V192" s="702"/>
      <c r="W192" s="702"/>
      <c r="X192" s="702"/>
      <c r="Y192" s="702"/>
      <c r="Z192" s="702"/>
      <c r="AA192" s="702"/>
      <c r="AB192" s="702"/>
      <c r="AC192" s="702"/>
    </row>
    <row r="193" ht="15.75" customHeight="1">
      <c r="A193" s="702"/>
      <c r="B193" s="702"/>
      <c r="C193" s="702"/>
      <c r="D193" s="702"/>
      <c r="E193" s="702"/>
      <c r="F193" s="702"/>
      <c r="G193" s="702"/>
      <c r="H193" s="702"/>
      <c r="I193" s="702"/>
      <c r="J193" s="702"/>
      <c r="K193" s="702"/>
      <c r="L193" s="702"/>
      <c r="M193" s="702"/>
      <c r="N193" s="702"/>
      <c r="O193" s="702"/>
      <c r="P193" s="702"/>
      <c r="Q193" s="702"/>
      <c r="R193" s="702"/>
      <c r="S193" s="702"/>
      <c r="T193" s="702"/>
      <c r="U193" s="702"/>
      <c r="V193" s="702"/>
      <c r="W193" s="702"/>
      <c r="X193" s="702"/>
      <c r="Y193" s="702"/>
      <c r="Z193" s="702"/>
      <c r="AA193" s="702"/>
      <c r="AB193" s="702"/>
      <c r="AC193" s="702"/>
    </row>
    <row r="194" ht="15.75" customHeight="1">
      <c r="A194" s="702"/>
      <c r="B194" s="702"/>
      <c r="C194" s="702"/>
      <c r="D194" s="702"/>
      <c r="E194" s="702"/>
      <c r="F194" s="702"/>
      <c r="G194" s="702"/>
      <c r="H194" s="702"/>
      <c r="I194" s="702"/>
      <c r="J194" s="702"/>
      <c r="K194" s="702"/>
      <c r="L194" s="702"/>
      <c r="M194" s="702"/>
      <c r="N194" s="702"/>
      <c r="O194" s="702"/>
      <c r="P194" s="702"/>
      <c r="Q194" s="702"/>
      <c r="R194" s="702"/>
      <c r="S194" s="702"/>
      <c r="T194" s="702"/>
      <c r="U194" s="702"/>
      <c r="V194" s="702"/>
      <c r="W194" s="702"/>
      <c r="X194" s="702"/>
      <c r="Y194" s="702"/>
      <c r="Z194" s="702"/>
      <c r="AA194" s="702"/>
      <c r="AB194" s="702"/>
      <c r="AC194" s="702"/>
    </row>
    <row r="195" ht="15.75" customHeight="1">
      <c r="A195" s="702"/>
      <c r="B195" s="702"/>
      <c r="C195" s="702"/>
      <c r="D195" s="702"/>
      <c r="E195" s="702"/>
      <c r="F195" s="702"/>
      <c r="G195" s="702"/>
      <c r="H195" s="702"/>
      <c r="I195" s="702"/>
      <c r="J195" s="702"/>
      <c r="K195" s="702"/>
      <c r="L195" s="702"/>
      <c r="M195" s="702"/>
      <c r="N195" s="702"/>
      <c r="O195" s="702"/>
      <c r="P195" s="702"/>
      <c r="Q195" s="702"/>
      <c r="R195" s="702"/>
      <c r="S195" s="702"/>
      <c r="T195" s="702"/>
      <c r="U195" s="702"/>
      <c r="V195" s="702"/>
      <c r="W195" s="702"/>
      <c r="X195" s="702"/>
      <c r="Y195" s="702"/>
      <c r="Z195" s="702"/>
      <c r="AA195" s="702"/>
      <c r="AB195" s="702"/>
      <c r="AC195" s="702"/>
    </row>
    <row r="196" ht="15.75" customHeight="1">
      <c r="A196" s="702"/>
      <c r="B196" s="702"/>
      <c r="C196" s="702"/>
      <c r="D196" s="702"/>
      <c r="E196" s="702"/>
      <c r="F196" s="702"/>
      <c r="G196" s="702"/>
      <c r="H196" s="702"/>
      <c r="I196" s="702"/>
      <c r="J196" s="702"/>
      <c r="K196" s="702"/>
      <c r="L196" s="702"/>
      <c r="M196" s="702"/>
      <c r="N196" s="702"/>
      <c r="O196" s="702"/>
      <c r="P196" s="702"/>
      <c r="Q196" s="702"/>
      <c r="R196" s="702"/>
      <c r="S196" s="702"/>
      <c r="T196" s="702"/>
      <c r="U196" s="702"/>
      <c r="V196" s="702"/>
      <c r="W196" s="702"/>
      <c r="X196" s="702"/>
      <c r="Y196" s="702"/>
      <c r="Z196" s="702"/>
      <c r="AA196" s="702"/>
      <c r="AB196" s="702"/>
      <c r="AC196" s="702"/>
    </row>
    <row r="197" ht="15.75" customHeight="1">
      <c r="A197" s="702"/>
      <c r="B197" s="702"/>
      <c r="C197" s="702"/>
      <c r="D197" s="702"/>
      <c r="E197" s="702"/>
      <c r="F197" s="702"/>
      <c r="G197" s="702"/>
      <c r="H197" s="702"/>
      <c r="I197" s="702"/>
      <c r="J197" s="702"/>
      <c r="K197" s="702"/>
      <c r="L197" s="702"/>
      <c r="M197" s="702"/>
      <c r="N197" s="702"/>
      <c r="O197" s="702"/>
      <c r="P197" s="702"/>
      <c r="Q197" s="702"/>
      <c r="R197" s="702"/>
      <c r="S197" s="702"/>
      <c r="T197" s="702"/>
      <c r="U197" s="702"/>
      <c r="V197" s="702"/>
      <c r="W197" s="702"/>
      <c r="X197" s="702"/>
      <c r="Y197" s="702"/>
      <c r="Z197" s="702"/>
      <c r="AA197" s="702"/>
      <c r="AB197" s="702"/>
      <c r="AC197" s="702"/>
    </row>
    <row r="198" ht="15.75" customHeight="1">
      <c r="A198" s="702"/>
      <c r="B198" s="702"/>
      <c r="C198" s="702"/>
      <c r="D198" s="702"/>
      <c r="E198" s="702"/>
      <c r="F198" s="702"/>
      <c r="G198" s="702"/>
      <c r="H198" s="702"/>
      <c r="I198" s="702"/>
      <c r="J198" s="702"/>
      <c r="K198" s="702"/>
      <c r="L198" s="702"/>
      <c r="M198" s="702"/>
      <c r="N198" s="702"/>
      <c r="O198" s="702"/>
      <c r="P198" s="702"/>
      <c r="Q198" s="702"/>
      <c r="R198" s="702"/>
      <c r="S198" s="702"/>
      <c r="T198" s="702"/>
      <c r="U198" s="702"/>
      <c r="V198" s="702"/>
      <c r="W198" s="702"/>
      <c r="X198" s="702"/>
      <c r="Y198" s="702"/>
      <c r="Z198" s="702"/>
      <c r="AA198" s="702"/>
      <c r="AB198" s="702"/>
      <c r="AC198" s="702"/>
    </row>
    <row r="199" ht="15.75" customHeight="1">
      <c r="A199" s="702"/>
      <c r="B199" s="702"/>
      <c r="C199" s="702"/>
      <c r="D199" s="702"/>
      <c r="E199" s="702"/>
      <c r="F199" s="702"/>
      <c r="G199" s="702"/>
      <c r="H199" s="702"/>
      <c r="I199" s="702"/>
      <c r="J199" s="702"/>
      <c r="K199" s="702"/>
      <c r="L199" s="702"/>
      <c r="M199" s="702"/>
      <c r="N199" s="702"/>
      <c r="O199" s="702"/>
      <c r="P199" s="702"/>
      <c r="Q199" s="702"/>
      <c r="R199" s="702"/>
      <c r="S199" s="702"/>
      <c r="T199" s="702"/>
      <c r="U199" s="702"/>
      <c r="V199" s="702"/>
      <c r="W199" s="702"/>
      <c r="X199" s="702"/>
      <c r="Y199" s="702"/>
      <c r="Z199" s="702"/>
      <c r="AA199" s="702"/>
      <c r="AB199" s="702"/>
      <c r="AC199" s="702"/>
    </row>
    <row r="200" ht="15.75" customHeight="1">
      <c r="A200" s="702"/>
      <c r="B200" s="702"/>
      <c r="C200" s="702"/>
      <c r="D200" s="702"/>
      <c r="E200" s="702"/>
      <c r="F200" s="702"/>
      <c r="G200" s="702"/>
      <c r="H200" s="702"/>
      <c r="I200" s="702"/>
      <c r="J200" s="702"/>
      <c r="K200" s="702"/>
      <c r="L200" s="702"/>
      <c r="M200" s="702"/>
      <c r="N200" s="702"/>
      <c r="O200" s="702"/>
      <c r="P200" s="702"/>
      <c r="Q200" s="702"/>
      <c r="R200" s="702"/>
      <c r="S200" s="702"/>
      <c r="T200" s="702"/>
      <c r="U200" s="702"/>
      <c r="V200" s="702"/>
      <c r="W200" s="702"/>
      <c r="X200" s="702"/>
      <c r="Y200" s="702"/>
      <c r="Z200" s="702"/>
      <c r="AA200" s="702"/>
      <c r="AB200" s="702"/>
      <c r="AC200" s="702"/>
    </row>
    <row r="201" ht="15.75" customHeight="1">
      <c r="A201" s="702"/>
      <c r="B201" s="702"/>
      <c r="C201" s="702"/>
      <c r="D201" s="702"/>
      <c r="E201" s="702"/>
      <c r="F201" s="702"/>
      <c r="G201" s="702"/>
      <c r="H201" s="702"/>
      <c r="I201" s="702"/>
      <c r="J201" s="702"/>
      <c r="K201" s="702"/>
      <c r="L201" s="702"/>
      <c r="M201" s="702"/>
      <c r="N201" s="702"/>
      <c r="O201" s="702"/>
      <c r="P201" s="702"/>
      <c r="Q201" s="702"/>
      <c r="R201" s="702"/>
      <c r="S201" s="702"/>
      <c r="T201" s="702"/>
      <c r="U201" s="702"/>
      <c r="V201" s="702"/>
      <c r="W201" s="702"/>
      <c r="X201" s="702"/>
      <c r="Y201" s="702"/>
      <c r="Z201" s="702"/>
      <c r="AA201" s="702"/>
      <c r="AB201" s="702"/>
      <c r="AC201" s="702"/>
    </row>
    <row r="202" ht="15.75" customHeight="1">
      <c r="A202" s="702"/>
      <c r="B202" s="702"/>
      <c r="C202" s="702"/>
      <c r="D202" s="702"/>
      <c r="E202" s="702"/>
      <c r="F202" s="702"/>
      <c r="G202" s="702"/>
      <c r="H202" s="702"/>
      <c r="I202" s="702"/>
      <c r="J202" s="702"/>
      <c r="K202" s="702"/>
      <c r="L202" s="702"/>
      <c r="M202" s="702"/>
      <c r="N202" s="702"/>
      <c r="O202" s="702"/>
      <c r="P202" s="702"/>
      <c r="Q202" s="702"/>
      <c r="R202" s="702"/>
      <c r="S202" s="702"/>
      <c r="T202" s="702"/>
      <c r="U202" s="702"/>
      <c r="V202" s="702"/>
      <c r="W202" s="702"/>
      <c r="X202" s="702"/>
      <c r="Y202" s="702"/>
      <c r="Z202" s="702"/>
      <c r="AA202" s="702"/>
      <c r="AB202" s="702"/>
      <c r="AC202" s="702"/>
    </row>
    <row r="203" ht="15.75" customHeight="1">
      <c r="A203" s="702"/>
      <c r="B203" s="702"/>
      <c r="C203" s="702"/>
      <c r="D203" s="702"/>
      <c r="E203" s="702"/>
      <c r="F203" s="702"/>
      <c r="G203" s="702"/>
      <c r="H203" s="702"/>
      <c r="I203" s="702"/>
      <c r="J203" s="702"/>
      <c r="K203" s="702"/>
      <c r="L203" s="702"/>
      <c r="M203" s="702"/>
      <c r="N203" s="702"/>
      <c r="O203" s="702"/>
      <c r="P203" s="702"/>
      <c r="Q203" s="702"/>
      <c r="R203" s="702"/>
      <c r="S203" s="702"/>
      <c r="T203" s="702"/>
      <c r="U203" s="702"/>
      <c r="V203" s="702"/>
      <c r="W203" s="702"/>
      <c r="X203" s="702"/>
      <c r="Y203" s="702"/>
      <c r="Z203" s="702"/>
      <c r="AA203" s="702"/>
      <c r="AB203" s="702"/>
      <c r="AC203" s="702"/>
    </row>
    <row r="204" ht="15.75" customHeight="1">
      <c r="A204" s="702"/>
      <c r="B204" s="702"/>
      <c r="C204" s="702"/>
      <c r="D204" s="702"/>
      <c r="E204" s="702"/>
      <c r="F204" s="702"/>
      <c r="G204" s="702"/>
      <c r="H204" s="702"/>
      <c r="I204" s="702"/>
      <c r="J204" s="702"/>
      <c r="K204" s="702"/>
      <c r="L204" s="702"/>
      <c r="M204" s="702"/>
      <c r="N204" s="702"/>
      <c r="O204" s="702"/>
      <c r="P204" s="702"/>
      <c r="Q204" s="702"/>
      <c r="R204" s="702"/>
      <c r="S204" s="702"/>
      <c r="T204" s="702"/>
      <c r="U204" s="702"/>
      <c r="V204" s="702"/>
      <c r="W204" s="702"/>
      <c r="X204" s="702"/>
      <c r="Y204" s="702"/>
      <c r="Z204" s="702"/>
      <c r="AA204" s="702"/>
      <c r="AB204" s="702"/>
      <c r="AC204" s="702"/>
    </row>
    <row r="205" ht="15.75" customHeight="1">
      <c r="A205" s="702"/>
      <c r="B205" s="702"/>
      <c r="C205" s="702"/>
      <c r="D205" s="702"/>
      <c r="E205" s="702"/>
      <c r="F205" s="702"/>
      <c r="G205" s="702"/>
      <c r="H205" s="702"/>
      <c r="I205" s="702"/>
      <c r="J205" s="702"/>
      <c r="K205" s="702"/>
      <c r="L205" s="702"/>
      <c r="M205" s="702"/>
      <c r="N205" s="702"/>
      <c r="O205" s="702"/>
      <c r="P205" s="702"/>
      <c r="Q205" s="702"/>
      <c r="R205" s="702"/>
      <c r="S205" s="702"/>
      <c r="T205" s="702"/>
      <c r="U205" s="702"/>
      <c r="V205" s="702"/>
      <c r="W205" s="702"/>
      <c r="X205" s="702"/>
      <c r="Y205" s="702"/>
      <c r="Z205" s="702"/>
      <c r="AA205" s="702"/>
      <c r="AB205" s="702"/>
      <c r="AC205" s="702"/>
    </row>
    <row r="206" ht="15.75" customHeight="1">
      <c r="A206" s="702"/>
      <c r="B206" s="702"/>
      <c r="C206" s="702"/>
      <c r="D206" s="702"/>
      <c r="E206" s="702"/>
      <c r="F206" s="702"/>
      <c r="G206" s="702"/>
      <c r="H206" s="702"/>
      <c r="I206" s="702"/>
      <c r="J206" s="702"/>
      <c r="K206" s="702"/>
      <c r="L206" s="702"/>
      <c r="M206" s="702"/>
      <c r="N206" s="702"/>
      <c r="O206" s="702"/>
      <c r="P206" s="702"/>
      <c r="Q206" s="702"/>
      <c r="R206" s="702"/>
      <c r="S206" s="702"/>
      <c r="T206" s="702"/>
      <c r="U206" s="702"/>
      <c r="V206" s="702"/>
      <c r="W206" s="702"/>
      <c r="X206" s="702"/>
      <c r="Y206" s="702"/>
      <c r="Z206" s="702"/>
      <c r="AA206" s="702"/>
      <c r="AB206" s="702"/>
      <c r="AC206" s="702"/>
    </row>
    <row r="207" ht="15.75" customHeight="1">
      <c r="A207" s="702"/>
      <c r="B207" s="702"/>
      <c r="C207" s="702"/>
      <c r="D207" s="702"/>
      <c r="E207" s="702"/>
      <c r="F207" s="702"/>
      <c r="G207" s="702"/>
      <c r="H207" s="702"/>
      <c r="I207" s="702"/>
      <c r="J207" s="702"/>
      <c r="K207" s="702"/>
      <c r="L207" s="702"/>
      <c r="M207" s="702"/>
      <c r="N207" s="702"/>
      <c r="O207" s="702"/>
      <c r="P207" s="702"/>
      <c r="Q207" s="702"/>
      <c r="R207" s="702"/>
      <c r="S207" s="702"/>
      <c r="T207" s="702"/>
      <c r="U207" s="702"/>
      <c r="V207" s="702"/>
      <c r="W207" s="702"/>
      <c r="X207" s="702"/>
      <c r="Y207" s="702"/>
      <c r="Z207" s="702"/>
      <c r="AA207" s="702"/>
      <c r="AB207" s="702"/>
      <c r="AC207" s="702"/>
    </row>
    <row r="208" ht="15.75" customHeight="1">
      <c r="A208" s="702"/>
      <c r="B208" s="702"/>
      <c r="C208" s="702"/>
      <c r="D208" s="702"/>
      <c r="E208" s="702"/>
      <c r="F208" s="702"/>
      <c r="G208" s="702"/>
      <c r="H208" s="702"/>
      <c r="I208" s="702"/>
      <c r="J208" s="702"/>
      <c r="K208" s="702"/>
      <c r="L208" s="702"/>
      <c r="M208" s="702"/>
      <c r="N208" s="702"/>
      <c r="O208" s="702"/>
      <c r="P208" s="702"/>
      <c r="Q208" s="702"/>
      <c r="R208" s="702"/>
      <c r="S208" s="702"/>
      <c r="T208" s="702"/>
      <c r="U208" s="702"/>
      <c r="V208" s="702"/>
      <c r="W208" s="702"/>
      <c r="X208" s="702"/>
      <c r="Y208" s="702"/>
      <c r="Z208" s="702"/>
      <c r="AA208" s="702"/>
      <c r="AB208" s="702"/>
      <c r="AC208" s="702"/>
    </row>
    <row r="209" ht="15.75" customHeight="1">
      <c r="A209" s="702"/>
      <c r="B209" s="702"/>
      <c r="C209" s="702"/>
      <c r="D209" s="702"/>
      <c r="E209" s="702"/>
      <c r="F209" s="702"/>
      <c r="G209" s="702"/>
      <c r="H209" s="702"/>
      <c r="I209" s="702"/>
      <c r="J209" s="702"/>
      <c r="K209" s="702"/>
      <c r="L209" s="702"/>
      <c r="M209" s="702"/>
      <c r="N209" s="702"/>
      <c r="O209" s="702"/>
      <c r="P209" s="702"/>
      <c r="Q209" s="702"/>
      <c r="R209" s="702"/>
      <c r="S209" s="702"/>
      <c r="T209" s="702"/>
      <c r="U209" s="702"/>
      <c r="V209" s="702"/>
      <c r="W209" s="702"/>
      <c r="X209" s="702"/>
      <c r="Y209" s="702"/>
      <c r="Z209" s="702"/>
      <c r="AA209" s="702"/>
      <c r="AB209" s="702"/>
      <c r="AC209" s="702"/>
    </row>
    <row r="210" ht="15.75" customHeight="1">
      <c r="A210" s="702"/>
      <c r="B210" s="702"/>
      <c r="C210" s="702"/>
      <c r="D210" s="702"/>
      <c r="E210" s="702"/>
      <c r="F210" s="702"/>
      <c r="G210" s="702"/>
      <c r="H210" s="702"/>
      <c r="I210" s="702"/>
      <c r="J210" s="702"/>
      <c r="K210" s="702"/>
      <c r="L210" s="702"/>
      <c r="M210" s="702"/>
      <c r="N210" s="702"/>
      <c r="O210" s="702"/>
      <c r="P210" s="702"/>
      <c r="Q210" s="702"/>
      <c r="R210" s="702"/>
      <c r="S210" s="702"/>
      <c r="T210" s="702"/>
      <c r="U210" s="702"/>
      <c r="V210" s="702"/>
      <c r="W210" s="702"/>
      <c r="X210" s="702"/>
      <c r="Y210" s="702"/>
      <c r="Z210" s="702"/>
      <c r="AA210" s="702"/>
      <c r="AB210" s="702"/>
      <c r="AC210" s="702"/>
    </row>
    <row r="211" ht="15.75" customHeight="1">
      <c r="A211" s="702"/>
      <c r="B211" s="702"/>
      <c r="C211" s="702"/>
      <c r="D211" s="702"/>
      <c r="E211" s="702"/>
      <c r="F211" s="702"/>
      <c r="G211" s="702"/>
      <c r="H211" s="702"/>
      <c r="I211" s="702"/>
      <c r="J211" s="702"/>
      <c r="K211" s="702"/>
      <c r="L211" s="702"/>
      <c r="M211" s="702"/>
      <c r="N211" s="702"/>
      <c r="O211" s="702"/>
      <c r="P211" s="702"/>
      <c r="Q211" s="702"/>
      <c r="R211" s="702"/>
      <c r="S211" s="702"/>
      <c r="T211" s="702"/>
      <c r="U211" s="702"/>
      <c r="V211" s="702"/>
      <c r="W211" s="702"/>
      <c r="X211" s="702"/>
      <c r="Y211" s="702"/>
      <c r="Z211" s="702"/>
      <c r="AA211" s="702"/>
      <c r="AB211" s="702"/>
      <c r="AC211" s="702"/>
    </row>
    <row r="212" ht="15.75" customHeight="1">
      <c r="A212" s="702"/>
      <c r="B212" s="702"/>
      <c r="C212" s="702"/>
      <c r="D212" s="702"/>
      <c r="E212" s="702"/>
      <c r="F212" s="702"/>
      <c r="G212" s="702"/>
      <c r="H212" s="702"/>
      <c r="I212" s="702"/>
      <c r="J212" s="702"/>
      <c r="K212" s="702"/>
      <c r="L212" s="702"/>
      <c r="M212" s="702"/>
      <c r="N212" s="702"/>
      <c r="O212" s="702"/>
      <c r="P212" s="702"/>
      <c r="Q212" s="702"/>
      <c r="R212" s="702"/>
      <c r="S212" s="702"/>
      <c r="T212" s="702"/>
      <c r="U212" s="702"/>
      <c r="V212" s="702"/>
      <c r="W212" s="702"/>
      <c r="X212" s="702"/>
      <c r="Y212" s="702"/>
      <c r="Z212" s="702"/>
      <c r="AA212" s="702"/>
      <c r="AB212" s="702"/>
      <c r="AC212" s="702"/>
    </row>
    <row r="213" ht="15.75" customHeight="1">
      <c r="A213" s="702"/>
      <c r="B213" s="702"/>
      <c r="C213" s="702"/>
      <c r="D213" s="702"/>
      <c r="E213" s="702"/>
      <c r="F213" s="702"/>
      <c r="G213" s="702"/>
      <c r="H213" s="702"/>
      <c r="I213" s="702"/>
      <c r="J213" s="702"/>
      <c r="K213" s="702"/>
      <c r="L213" s="702"/>
      <c r="M213" s="702"/>
      <c r="N213" s="702"/>
      <c r="O213" s="702"/>
      <c r="P213" s="702"/>
      <c r="Q213" s="702"/>
      <c r="R213" s="702"/>
      <c r="S213" s="702"/>
      <c r="T213" s="702"/>
      <c r="U213" s="702"/>
      <c r="V213" s="702"/>
      <c r="W213" s="702"/>
      <c r="X213" s="702"/>
      <c r="Y213" s="702"/>
      <c r="Z213" s="702"/>
      <c r="AA213" s="702"/>
      <c r="AB213" s="702"/>
      <c r="AC213" s="702"/>
    </row>
    <row r="214" ht="15.75" customHeight="1">
      <c r="A214" s="702"/>
      <c r="B214" s="702"/>
      <c r="C214" s="702"/>
      <c r="D214" s="702"/>
      <c r="E214" s="702"/>
      <c r="F214" s="702"/>
      <c r="G214" s="702"/>
      <c r="H214" s="702"/>
      <c r="I214" s="702"/>
      <c r="J214" s="702"/>
      <c r="K214" s="702"/>
      <c r="L214" s="702"/>
      <c r="M214" s="702"/>
      <c r="N214" s="702"/>
      <c r="O214" s="702"/>
      <c r="P214" s="702"/>
      <c r="Q214" s="702"/>
      <c r="R214" s="702"/>
      <c r="S214" s="702"/>
      <c r="T214" s="702"/>
      <c r="U214" s="702"/>
      <c r="V214" s="702"/>
      <c r="W214" s="702"/>
      <c r="X214" s="702"/>
      <c r="Y214" s="702"/>
      <c r="Z214" s="702"/>
      <c r="AA214" s="702"/>
      <c r="AB214" s="702"/>
      <c r="AC214" s="702"/>
    </row>
    <row r="215" ht="15.75" customHeight="1">
      <c r="A215" s="702"/>
      <c r="B215" s="702"/>
      <c r="C215" s="702"/>
      <c r="D215" s="702"/>
      <c r="E215" s="702"/>
      <c r="F215" s="702"/>
      <c r="G215" s="702"/>
      <c r="H215" s="702"/>
      <c r="I215" s="702"/>
      <c r="J215" s="702"/>
      <c r="K215" s="702"/>
      <c r="L215" s="702"/>
      <c r="M215" s="702"/>
      <c r="N215" s="702"/>
      <c r="O215" s="702"/>
      <c r="P215" s="702"/>
      <c r="Q215" s="702"/>
      <c r="R215" s="702"/>
      <c r="S215" s="702"/>
      <c r="T215" s="702"/>
      <c r="U215" s="702"/>
      <c r="V215" s="702"/>
      <c r="W215" s="702"/>
      <c r="X215" s="702"/>
      <c r="Y215" s="702"/>
      <c r="Z215" s="702"/>
      <c r="AA215" s="702"/>
      <c r="AB215" s="702"/>
      <c r="AC215" s="702"/>
    </row>
    <row r="216" ht="15.75" customHeight="1">
      <c r="A216" s="702"/>
      <c r="B216" s="702"/>
      <c r="C216" s="702"/>
      <c r="D216" s="702"/>
      <c r="E216" s="702"/>
      <c r="F216" s="702"/>
      <c r="G216" s="702"/>
      <c r="H216" s="702"/>
      <c r="I216" s="702"/>
      <c r="J216" s="702"/>
      <c r="K216" s="702"/>
      <c r="L216" s="702"/>
      <c r="M216" s="702"/>
      <c r="N216" s="702"/>
      <c r="O216" s="702"/>
      <c r="P216" s="702"/>
      <c r="Q216" s="702"/>
      <c r="R216" s="702"/>
      <c r="S216" s="702"/>
      <c r="T216" s="702"/>
      <c r="U216" s="702"/>
      <c r="V216" s="702"/>
      <c r="W216" s="702"/>
      <c r="X216" s="702"/>
      <c r="Y216" s="702"/>
      <c r="Z216" s="702"/>
      <c r="AA216" s="702"/>
      <c r="AB216" s="702"/>
      <c r="AC216" s="702"/>
    </row>
    <row r="217" ht="15.75" customHeight="1">
      <c r="A217" s="702"/>
      <c r="B217" s="702"/>
      <c r="C217" s="702"/>
      <c r="D217" s="702"/>
      <c r="E217" s="702"/>
      <c r="F217" s="702"/>
      <c r="G217" s="702"/>
      <c r="H217" s="702"/>
      <c r="I217" s="702"/>
      <c r="J217" s="702"/>
      <c r="K217" s="702"/>
      <c r="L217" s="702"/>
      <c r="M217" s="702"/>
      <c r="N217" s="702"/>
      <c r="O217" s="702"/>
      <c r="P217" s="702"/>
      <c r="Q217" s="702"/>
      <c r="R217" s="702"/>
      <c r="S217" s="702"/>
      <c r="T217" s="702"/>
      <c r="U217" s="702"/>
      <c r="V217" s="702"/>
      <c r="W217" s="702"/>
      <c r="X217" s="702"/>
      <c r="Y217" s="702"/>
      <c r="Z217" s="702"/>
      <c r="AA217" s="702"/>
      <c r="AB217" s="702"/>
      <c r="AC217" s="702"/>
    </row>
    <row r="218" ht="15.75" customHeight="1">
      <c r="A218" s="702"/>
      <c r="B218" s="702"/>
      <c r="C218" s="702"/>
      <c r="D218" s="702"/>
      <c r="E218" s="702"/>
      <c r="F218" s="702"/>
      <c r="G218" s="702"/>
      <c r="H218" s="702"/>
      <c r="I218" s="702"/>
      <c r="J218" s="702"/>
      <c r="K218" s="702"/>
      <c r="L218" s="702"/>
      <c r="M218" s="702"/>
      <c r="N218" s="702"/>
      <c r="O218" s="702"/>
      <c r="P218" s="702"/>
      <c r="Q218" s="702"/>
      <c r="R218" s="702"/>
      <c r="S218" s="702"/>
      <c r="T218" s="702"/>
      <c r="U218" s="702"/>
      <c r="V218" s="702"/>
      <c r="W218" s="702"/>
      <c r="X218" s="702"/>
      <c r="Y218" s="702"/>
      <c r="Z218" s="702"/>
      <c r="AA218" s="702"/>
      <c r="AB218" s="702"/>
      <c r="AC218" s="702"/>
    </row>
    <row r="219" ht="15.75" customHeight="1">
      <c r="A219" s="702"/>
      <c r="B219" s="702"/>
      <c r="C219" s="702"/>
      <c r="D219" s="702"/>
      <c r="E219" s="702"/>
      <c r="F219" s="702"/>
      <c r="G219" s="702"/>
      <c r="H219" s="702"/>
      <c r="I219" s="702"/>
      <c r="J219" s="702"/>
      <c r="K219" s="702"/>
      <c r="L219" s="702"/>
      <c r="M219" s="702"/>
      <c r="N219" s="702"/>
      <c r="O219" s="702"/>
      <c r="P219" s="702"/>
      <c r="Q219" s="702"/>
      <c r="R219" s="702"/>
      <c r="S219" s="702"/>
      <c r="T219" s="702"/>
      <c r="U219" s="702"/>
      <c r="V219" s="702"/>
      <c r="W219" s="702"/>
      <c r="X219" s="702"/>
      <c r="Y219" s="702"/>
      <c r="Z219" s="702"/>
      <c r="AA219" s="702"/>
      <c r="AB219" s="702"/>
      <c r="AC219" s="702"/>
    </row>
    <row r="220" ht="15.75" customHeight="1">
      <c r="A220" s="702"/>
      <c r="B220" s="702"/>
      <c r="C220" s="702"/>
      <c r="D220" s="702"/>
      <c r="E220" s="702"/>
      <c r="F220" s="702"/>
      <c r="G220" s="702"/>
      <c r="H220" s="702"/>
      <c r="I220" s="702"/>
      <c r="J220" s="702"/>
      <c r="K220" s="702"/>
      <c r="L220" s="702"/>
      <c r="M220" s="702"/>
      <c r="N220" s="702"/>
      <c r="O220" s="702"/>
      <c r="P220" s="702"/>
      <c r="Q220" s="702"/>
      <c r="R220" s="702"/>
      <c r="S220" s="702"/>
      <c r="T220" s="702"/>
      <c r="U220" s="702"/>
      <c r="V220" s="702"/>
      <c r="W220" s="702"/>
      <c r="X220" s="702"/>
      <c r="Y220" s="702"/>
      <c r="Z220" s="702"/>
      <c r="AA220" s="702"/>
      <c r="AB220" s="702"/>
      <c r="AC220" s="702"/>
    </row>
    <row r="221" ht="15.75" customHeight="1">
      <c r="A221" s="702"/>
      <c r="B221" s="702"/>
      <c r="C221" s="702"/>
      <c r="D221" s="702"/>
      <c r="E221" s="702"/>
      <c r="F221" s="702"/>
      <c r="G221" s="702"/>
      <c r="H221" s="702"/>
      <c r="I221" s="702"/>
      <c r="J221" s="702"/>
      <c r="K221" s="702"/>
      <c r="L221" s="702"/>
      <c r="M221" s="702"/>
      <c r="N221" s="702"/>
      <c r="O221" s="702"/>
      <c r="P221" s="702"/>
      <c r="Q221" s="702"/>
      <c r="R221" s="702"/>
      <c r="S221" s="702"/>
      <c r="T221" s="702"/>
      <c r="U221" s="702"/>
      <c r="V221" s="702"/>
      <c r="W221" s="702"/>
      <c r="X221" s="702"/>
      <c r="Y221" s="702"/>
      <c r="Z221" s="702"/>
      <c r="AA221" s="702"/>
      <c r="AB221" s="702"/>
      <c r="AC221" s="702"/>
    </row>
    <row r="222" ht="15.75" customHeight="1">
      <c r="A222" s="702"/>
      <c r="B222" s="702"/>
      <c r="C222" s="702"/>
      <c r="D222" s="702"/>
      <c r="E222" s="702"/>
      <c r="F222" s="702"/>
      <c r="G222" s="702"/>
      <c r="H222" s="702"/>
      <c r="I222" s="702"/>
      <c r="J222" s="702"/>
      <c r="K222" s="702"/>
      <c r="L222" s="702"/>
      <c r="M222" s="702"/>
      <c r="N222" s="702"/>
      <c r="O222" s="702"/>
      <c r="P222" s="702"/>
      <c r="Q222" s="702"/>
      <c r="R222" s="702"/>
      <c r="S222" s="702"/>
      <c r="T222" s="702"/>
      <c r="U222" s="702"/>
      <c r="V222" s="702"/>
      <c r="W222" s="702"/>
      <c r="X222" s="702"/>
      <c r="Y222" s="702"/>
      <c r="Z222" s="702"/>
      <c r="AA222" s="702"/>
      <c r="AB222" s="702"/>
      <c r="AC222" s="702"/>
    </row>
    <row r="223" ht="15.75" customHeight="1">
      <c r="A223" s="702"/>
      <c r="B223" s="702"/>
      <c r="C223" s="702"/>
      <c r="D223" s="702"/>
      <c r="E223" s="702"/>
      <c r="F223" s="702"/>
      <c r="G223" s="702"/>
      <c r="H223" s="702"/>
      <c r="I223" s="702"/>
      <c r="J223" s="702"/>
      <c r="K223" s="702"/>
      <c r="L223" s="702"/>
      <c r="M223" s="702"/>
      <c r="N223" s="702"/>
      <c r="O223" s="702"/>
      <c r="P223" s="702"/>
      <c r="Q223" s="702"/>
      <c r="R223" s="702"/>
      <c r="S223" s="702"/>
      <c r="T223" s="702"/>
      <c r="U223" s="702"/>
      <c r="V223" s="702"/>
      <c r="W223" s="702"/>
      <c r="X223" s="702"/>
      <c r="Y223" s="702"/>
      <c r="Z223" s="702"/>
      <c r="AA223" s="702"/>
      <c r="AB223" s="702"/>
      <c r="AC223" s="702"/>
    </row>
    <row r="224" ht="15.75" customHeight="1">
      <c r="A224" s="702"/>
      <c r="B224" s="702"/>
      <c r="C224" s="702"/>
      <c r="D224" s="702"/>
      <c r="E224" s="702"/>
      <c r="F224" s="702"/>
      <c r="G224" s="702"/>
      <c r="H224" s="702"/>
      <c r="I224" s="702"/>
      <c r="J224" s="702"/>
      <c r="K224" s="702"/>
      <c r="L224" s="702"/>
      <c r="M224" s="702"/>
      <c r="N224" s="702"/>
      <c r="O224" s="702"/>
      <c r="P224" s="702"/>
      <c r="Q224" s="702"/>
      <c r="R224" s="702"/>
      <c r="S224" s="702"/>
      <c r="T224" s="702"/>
      <c r="U224" s="702"/>
      <c r="V224" s="702"/>
      <c r="W224" s="702"/>
      <c r="X224" s="702"/>
      <c r="Y224" s="702"/>
      <c r="Z224" s="702"/>
      <c r="AA224" s="702"/>
      <c r="AB224" s="702"/>
      <c r="AC224" s="702"/>
    </row>
    <row r="225" ht="15.75" customHeight="1">
      <c r="A225" s="702"/>
      <c r="B225" s="702"/>
      <c r="C225" s="702"/>
      <c r="D225" s="702"/>
      <c r="E225" s="702"/>
      <c r="F225" s="702"/>
      <c r="G225" s="702"/>
      <c r="H225" s="702"/>
      <c r="I225" s="702"/>
      <c r="J225" s="702"/>
      <c r="K225" s="702"/>
      <c r="L225" s="702"/>
      <c r="M225" s="702"/>
      <c r="N225" s="702"/>
      <c r="O225" s="702"/>
      <c r="P225" s="702"/>
      <c r="Q225" s="702"/>
      <c r="R225" s="702"/>
      <c r="S225" s="702"/>
      <c r="T225" s="702"/>
      <c r="U225" s="702"/>
      <c r="V225" s="702"/>
      <c r="W225" s="702"/>
      <c r="X225" s="702"/>
      <c r="Y225" s="702"/>
      <c r="Z225" s="702"/>
      <c r="AA225" s="702"/>
      <c r="AB225" s="702"/>
      <c r="AC225" s="702"/>
    </row>
    <row r="226" ht="15.75" customHeight="1">
      <c r="A226" s="702"/>
      <c r="B226" s="702"/>
      <c r="C226" s="702"/>
      <c r="D226" s="702"/>
      <c r="E226" s="702"/>
      <c r="F226" s="702"/>
      <c r="G226" s="702"/>
      <c r="H226" s="702"/>
      <c r="I226" s="702"/>
      <c r="J226" s="702"/>
      <c r="K226" s="702"/>
      <c r="L226" s="702"/>
      <c r="M226" s="702"/>
      <c r="N226" s="702"/>
      <c r="O226" s="702"/>
      <c r="P226" s="702"/>
      <c r="Q226" s="702"/>
      <c r="R226" s="702"/>
      <c r="S226" s="702"/>
      <c r="T226" s="702"/>
      <c r="U226" s="702"/>
      <c r="V226" s="702"/>
      <c r="W226" s="702"/>
      <c r="X226" s="702"/>
      <c r="Y226" s="702"/>
      <c r="Z226" s="702"/>
      <c r="AA226" s="702"/>
      <c r="AB226" s="702"/>
      <c r="AC226" s="702"/>
    </row>
    <row r="227" ht="15.75" customHeight="1">
      <c r="A227" s="702"/>
      <c r="B227" s="702"/>
      <c r="C227" s="702"/>
      <c r="D227" s="702"/>
      <c r="E227" s="702"/>
      <c r="F227" s="702"/>
      <c r="G227" s="702"/>
      <c r="H227" s="702"/>
      <c r="I227" s="702"/>
      <c r="J227" s="702"/>
      <c r="K227" s="702"/>
      <c r="L227" s="702"/>
      <c r="M227" s="702"/>
      <c r="N227" s="702"/>
      <c r="O227" s="702"/>
      <c r="P227" s="702"/>
      <c r="Q227" s="702"/>
      <c r="R227" s="702"/>
      <c r="S227" s="702"/>
      <c r="T227" s="702"/>
      <c r="U227" s="702"/>
      <c r="V227" s="702"/>
      <c r="W227" s="702"/>
      <c r="X227" s="702"/>
      <c r="Y227" s="702"/>
      <c r="Z227" s="702"/>
      <c r="AA227" s="702"/>
      <c r="AB227" s="702"/>
      <c r="AC227" s="702"/>
    </row>
    <row r="228" ht="15.75" customHeight="1">
      <c r="A228" s="702"/>
      <c r="B228" s="702"/>
      <c r="C228" s="702"/>
      <c r="D228" s="702"/>
      <c r="E228" s="702"/>
      <c r="F228" s="702"/>
      <c r="G228" s="702"/>
      <c r="H228" s="702"/>
      <c r="I228" s="702"/>
      <c r="J228" s="702"/>
      <c r="K228" s="702"/>
      <c r="L228" s="702"/>
      <c r="M228" s="702"/>
      <c r="N228" s="702"/>
      <c r="O228" s="702"/>
      <c r="P228" s="702"/>
      <c r="Q228" s="702"/>
      <c r="R228" s="702"/>
      <c r="S228" s="702"/>
      <c r="T228" s="702"/>
      <c r="U228" s="702"/>
      <c r="V228" s="702"/>
      <c r="W228" s="702"/>
      <c r="X228" s="702"/>
      <c r="Y228" s="702"/>
      <c r="Z228" s="702"/>
      <c r="AA228" s="702"/>
      <c r="AB228" s="702"/>
      <c r="AC228" s="702"/>
    </row>
    <row r="229" ht="15.75" customHeight="1">
      <c r="A229" s="702"/>
      <c r="B229" s="702"/>
      <c r="C229" s="702"/>
      <c r="D229" s="702"/>
      <c r="E229" s="702"/>
      <c r="F229" s="702"/>
      <c r="G229" s="702"/>
      <c r="H229" s="702"/>
      <c r="I229" s="702"/>
      <c r="J229" s="702"/>
      <c r="K229" s="702"/>
      <c r="L229" s="702"/>
      <c r="M229" s="702"/>
      <c r="N229" s="702"/>
      <c r="O229" s="702"/>
      <c r="P229" s="702"/>
      <c r="Q229" s="702"/>
      <c r="R229" s="702"/>
      <c r="S229" s="702"/>
      <c r="T229" s="702"/>
      <c r="U229" s="702"/>
      <c r="V229" s="702"/>
      <c r="W229" s="702"/>
      <c r="X229" s="702"/>
      <c r="Y229" s="702"/>
      <c r="Z229" s="702"/>
      <c r="AA229" s="702"/>
      <c r="AB229" s="702"/>
      <c r="AC229" s="702"/>
    </row>
    <row r="230" ht="15.75" customHeight="1">
      <c r="A230" s="702"/>
      <c r="B230" s="702"/>
      <c r="C230" s="702"/>
      <c r="D230" s="702"/>
      <c r="E230" s="702"/>
      <c r="F230" s="702"/>
      <c r="G230" s="702"/>
      <c r="H230" s="702"/>
      <c r="I230" s="702"/>
      <c r="J230" s="702"/>
      <c r="K230" s="702"/>
      <c r="L230" s="702"/>
      <c r="M230" s="702"/>
      <c r="N230" s="702"/>
      <c r="O230" s="702"/>
      <c r="P230" s="702"/>
      <c r="Q230" s="702"/>
      <c r="R230" s="702"/>
      <c r="S230" s="702"/>
      <c r="T230" s="702"/>
      <c r="U230" s="702"/>
      <c r="V230" s="702"/>
      <c r="W230" s="702"/>
      <c r="X230" s="702"/>
      <c r="Y230" s="702"/>
      <c r="Z230" s="702"/>
      <c r="AA230" s="702"/>
      <c r="AB230" s="702"/>
      <c r="AC230" s="702"/>
    </row>
    <row r="231" ht="15.75" customHeight="1">
      <c r="A231" s="702"/>
      <c r="B231" s="702"/>
      <c r="C231" s="702"/>
      <c r="D231" s="702"/>
      <c r="E231" s="702"/>
      <c r="F231" s="702"/>
      <c r="G231" s="702"/>
      <c r="H231" s="702"/>
      <c r="I231" s="702"/>
      <c r="J231" s="702"/>
      <c r="K231" s="702"/>
      <c r="L231" s="702"/>
      <c r="M231" s="702"/>
      <c r="N231" s="702"/>
      <c r="O231" s="702"/>
      <c r="P231" s="702"/>
      <c r="Q231" s="702"/>
      <c r="R231" s="702"/>
      <c r="S231" s="702"/>
      <c r="T231" s="702"/>
      <c r="U231" s="702"/>
      <c r="V231" s="702"/>
      <c r="W231" s="702"/>
      <c r="X231" s="702"/>
      <c r="Y231" s="702"/>
      <c r="Z231" s="702"/>
      <c r="AA231" s="702"/>
      <c r="AB231" s="702"/>
      <c r="AC231" s="702"/>
    </row>
    <row r="232" ht="15.75" customHeight="1">
      <c r="A232" s="702"/>
      <c r="B232" s="702"/>
      <c r="C232" s="702"/>
      <c r="D232" s="702"/>
      <c r="E232" s="702"/>
      <c r="F232" s="702"/>
      <c r="G232" s="702"/>
      <c r="H232" s="702"/>
      <c r="I232" s="702"/>
      <c r="J232" s="702"/>
      <c r="K232" s="702"/>
      <c r="L232" s="702"/>
      <c r="M232" s="702"/>
      <c r="N232" s="702"/>
      <c r="O232" s="702"/>
      <c r="P232" s="702"/>
      <c r="Q232" s="702"/>
      <c r="R232" s="702"/>
      <c r="S232" s="702"/>
      <c r="T232" s="702"/>
      <c r="U232" s="702"/>
      <c r="V232" s="702"/>
      <c r="W232" s="702"/>
      <c r="X232" s="702"/>
      <c r="Y232" s="702"/>
      <c r="Z232" s="702"/>
      <c r="AA232" s="702"/>
      <c r="AB232" s="702"/>
      <c r="AC232" s="702"/>
    </row>
    <row r="233" ht="15.75" customHeight="1">
      <c r="A233" s="702"/>
      <c r="B233" s="702"/>
      <c r="C233" s="702"/>
      <c r="D233" s="702"/>
      <c r="E233" s="702"/>
      <c r="F233" s="702"/>
      <c r="G233" s="702"/>
      <c r="H233" s="702"/>
      <c r="I233" s="702"/>
      <c r="J233" s="702"/>
      <c r="K233" s="702"/>
      <c r="L233" s="702"/>
      <c r="M233" s="702"/>
      <c r="N233" s="702"/>
      <c r="O233" s="702"/>
      <c r="P233" s="702"/>
      <c r="Q233" s="702"/>
      <c r="R233" s="702"/>
      <c r="S233" s="702"/>
      <c r="T233" s="702"/>
      <c r="U233" s="702"/>
      <c r="V233" s="702"/>
      <c r="W233" s="702"/>
      <c r="X233" s="702"/>
      <c r="Y233" s="702"/>
      <c r="Z233" s="702"/>
      <c r="AA233" s="702"/>
      <c r="AB233" s="702"/>
      <c r="AC233" s="702"/>
    </row>
    <row r="234" ht="15.75" customHeight="1">
      <c r="A234" s="702"/>
      <c r="B234" s="702"/>
      <c r="C234" s="702"/>
      <c r="D234" s="702"/>
      <c r="E234" s="702"/>
      <c r="F234" s="702"/>
      <c r="G234" s="702"/>
      <c r="H234" s="702"/>
      <c r="I234" s="702"/>
      <c r="J234" s="702"/>
      <c r="K234" s="702"/>
      <c r="L234" s="702"/>
      <c r="M234" s="702"/>
      <c r="N234" s="702"/>
      <c r="O234" s="702"/>
      <c r="P234" s="702"/>
      <c r="Q234" s="702"/>
      <c r="R234" s="702"/>
      <c r="S234" s="702"/>
      <c r="T234" s="702"/>
      <c r="U234" s="702"/>
      <c r="V234" s="702"/>
      <c r="W234" s="702"/>
      <c r="X234" s="702"/>
      <c r="Y234" s="702"/>
      <c r="Z234" s="702"/>
      <c r="AA234" s="702"/>
      <c r="AB234" s="702"/>
      <c r="AC234" s="702"/>
    </row>
    <row r="235" ht="15.75" customHeight="1">
      <c r="A235" s="702"/>
      <c r="B235" s="702"/>
      <c r="C235" s="702"/>
      <c r="D235" s="702"/>
      <c r="E235" s="702"/>
      <c r="F235" s="702"/>
      <c r="G235" s="702"/>
      <c r="H235" s="702"/>
      <c r="I235" s="702"/>
      <c r="J235" s="702"/>
      <c r="K235" s="702"/>
      <c r="L235" s="702"/>
      <c r="M235" s="702"/>
      <c r="N235" s="702"/>
      <c r="O235" s="702"/>
      <c r="P235" s="702"/>
      <c r="Q235" s="702"/>
      <c r="R235" s="702"/>
      <c r="S235" s="702"/>
      <c r="T235" s="702"/>
      <c r="U235" s="702"/>
      <c r="V235" s="702"/>
      <c r="W235" s="702"/>
      <c r="X235" s="702"/>
      <c r="Y235" s="702"/>
      <c r="Z235" s="702"/>
      <c r="AA235" s="702"/>
      <c r="AB235" s="702"/>
      <c r="AC235" s="702"/>
    </row>
    <row r="236" ht="15.75" customHeight="1">
      <c r="A236" s="702"/>
      <c r="B236" s="702"/>
      <c r="C236" s="702"/>
      <c r="D236" s="702"/>
      <c r="E236" s="702"/>
      <c r="F236" s="702"/>
      <c r="G236" s="702"/>
      <c r="H236" s="702"/>
      <c r="I236" s="702"/>
      <c r="J236" s="702"/>
      <c r="K236" s="702"/>
      <c r="L236" s="702"/>
      <c r="M236" s="702"/>
      <c r="N236" s="702"/>
      <c r="O236" s="702"/>
      <c r="P236" s="702"/>
      <c r="Q236" s="702"/>
      <c r="R236" s="702"/>
      <c r="S236" s="702"/>
      <c r="T236" s="702"/>
      <c r="U236" s="702"/>
      <c r="V236" s="702"/>
      <c r="W236" s="702"/>
      <c r="X236" s="702"/>
      <c r="Y236" s="702"/>
      <c r="Z236" s="702"/>
      <c r="AA236" s="702"/>
      <c r="AB236" s="702"/>
      <c r="AC236" s="702"/>
    </row>
    <row r="237" ht="15.75" customHeight="1">
      <c r="A237" s="702"/>
      <c r="B237" s="702"/>
      <c r="C237" s="702"/>
      <c r="D237" s="702"/>
      <c r="E237" s="702"/>
      <c r="F237" s="702"/>
      <c r="G237" s="702"/>
      <c r="H237" s="702"/>
      <c r="I237" s="702"/>
      <c r="J237" s="702"/>
      <c r="K237" s="702"/>
      <c r="L237" s="702"/>
      <c r="M237" s="702"/>
      <c r="N237" s="702"/>
      <c r="O237" s="702"/>
      <c r="P237" s="702"/>
      <c r="Q237" s="702"/>
      <c r="R237" s="702"/>
      <c r="S237" s="702"/>
      <c r="T237" s="702"/>
      <c r="U237" s="702"/>
      <c r="V237" s="702"/>
      <c r="W237" s="702"/>
      <c r="X237" s="702"/>
      <c r="Y237" s="702"/>
      <c r="Z237" s="702"/>
      <c r="AA237" s="702"/>
      <c r="AB237" s="702"/>
      <c r="AC237" s="702"/>
    </row>
    <row r="238" ht="15.75" customHeight="1">
      <c r="A238" s="702"/>
      <c r="B238" s="702"/>
      <c r="C238" s="702"/>
      <c r="D238" s="702"/>
      <c r="E238" s="702"/>
      <c r="F238" s="702"/>
      <c r="G238" s="702"/>
      <c r="H238" s="702"/>
      <c r="I238" s="702"/>
      <c r="J238" s="702"/>
      <c r="K238" s="702"/>
      <c r="L238" s="702"/>
      <c r="M238" s="702"/>
      <c r="N238" s="702"/>
      <c r="O238" s="702"/>
      <c r="P238" s="702"/>
      <c r="Q238" s="702"/>
      <c r="R238" s="702"/>
      <c r="S238" s="702"/>
      <c r="T238" s="702"/>
      <c r="U238" s="702"/>
      <c r="V238" s="702"/>
      <c r="W238" s="702"/>
      <c r="X238" s="702"/>
      <c r="Y238" s="702"/>
      <c r="Z238" s="702"/>
      <c r="AA238" s="702"/>
      <c r="AB238" s="702"/>
      <c r="AC238" s="702"/>
    </row>
    <row r="239" ht="15.75" customHeight="1">
      <c r="A239" s="702"/>
      <c r="B239" s="702"/>
      <c r="C239" s="702"/>
      <c r="D239" s="702"/>
      <c r="E239" s="702"/>
      <c r="F239" s="702"/>
      <c r="G239" s="702"/>
      <c r="H239" s="702"/>
      <c r="I239" s="702"/>
      <c r="J239" s="702"/>
      <c r="K239" s="702"/>
      <c r="L239" s="702"/>
      <c r="M239" s="702"/>
      <c r="N239" s="702"/>
      <c r="O239" s="702"/>
      <c r="P239" s="702"/>
      <c r="Q239" s="702"/>
      <c r="R239" s="702"/>
      <c r="S239" s="702"/>
      <c r="T239" s="702"/>
      <c r="U239" s="702"/>
      <c r="V239" s="702"/>
      <c r="W239" s="702"/>
      <c r="X239" s="702"/>
      <c r="Y239" s="702"/>
      <c r="Z239" s="702"/>
      <c r="AA239" s="702"/>
      <c r="AB239" s="702"/>
      <c r="AC239" s="702"/>
    </row>
    <row r="240" ht="15.75" customHeight="1">
      <c r="A240" s="702"/>
      <c r="B240" s="702"/>
      <c r="C240" s="702"/>
      <c r="D240" s="702"/>
      <c r="E240" s="702"/>
      <c r="F240" s="702"/>
      <c r="G240" s="702"/>
      <c r="H240" s="702"/>
      <c r="I240" s="702"/>
      <c r="J240" s="702"/>
      <c r="K240" s="702"/>
      <c r="L240" s="702"/>
      <c r="M240" s="702"/>
      <c r="N240" s="702"/>
      <c r="O240" s="702"/>
      <c r="P240" s="702"/>
      <c r="Q240" s="702"/>
      <c r="R240" s="702"/>
      <c r="S240" s="702"/>
      <c r="T240" s="702"/>
      <c r="U240" s="702"/>
      <c r="V240" s="702"/>
      <c r="W240" s="702"/>
      <c r="X240" s="702"/>
      <c r="Y240" s="702"/>
      <c r="Z240" s="702"/>
      <c r="AA240" s="702"/>
      <c r="AB240" s="702"/>
      <c r="AC240" s="702"/>
    </row>
    <row r="241" ht="15.75" customHeight="1">
      <c r="A241" s="702"/>
      <c r="B241" s="702"/>
      <c r="C241" s="702"/>
      <c r="D241" s="702"/>
      <c r="E241" s="702"/>
      <c r="F241" s="702"/>
      <c r="G241" s="702"/>
      <c r="H241" s="702"/>
      <c r="I241" s="702"/>
      <c r="J241" s="702"/>
      <c r="K241" s="702"/>
      <c r="L241" s="702"/>
      <c r="M241" s="702"/>
      <c r="N241" s="702"/>
      <c r="O241" s="702"/>
      <c r="P241" s="702"/>
      <c r="Q241" s="702"/>
      <c r="R241" s="702"/>
      <c r="S241" s="702"/>
      <c r="T241" s="702"/>
      <c r="U241" s="702"/>
      <c r="V241" s="702"/>
      <c r="W241" s="702"/>
      <c r="X241" s="702"/>
      <c r="Y241" s="702"/>
      <c r="Z241" s="702"/>
      <c r="AA241" s="702"/>
      <c r="AB241" s="702"/>
      <c r="AC241" s="702"/>
    </row>
    <row r="242" ht="15.75" customHeight="1">
      <c r="A242" s="702"/>
      <c r="B242" s="702"/>
      <c r="C242" s="702"/>
      <c r="D242" s="702"/>
      <c r="E242" s="702"/>
      <c r="F242" s="702"/>
      <c r="G242" s="702"/>
      <c r="H242" s="702"/>
      <c r="I242" s="702"/>
      <c r="J242" s="702"/>
      <c r="K242" s="702"/>
      <c r="L242" s="702"/>
      <c r="M242" s="702"/>
      <c r="N242" s="702"/>
      <c r="O242" s="702"/>
      <c r="P242" s="702"/>
      <c r="Q242" s="702"/>
      <c r="R242" s="702"/>
      <c r="S242" s="702"/>
      <c r="T242" s="702"/>
      <c r="U242" s="702"/>
      <c r="V242" s="702"/>
      <c r="W242" s="702"/>
      <c r="X242" s="702"/>
      <c r="Y242" s="702"/>
      <c r="Z242" s="702"/>
      <c r="AA242" s="702"/>
      <c r="AB242" s="702"/>
      <c r="AC242" s="702"/>
    </row>
    <row r="243" ht="15.75" customHeight="1">
      <c r="A243" s="702"/>
      <c r="B243" s="702"/>
      <c r="C243" s="702"/>
      <c r="D243" s="702"/>
      <c r="E243" s="702"/>
      <c r="F243" s="702"/>
      <c r="G243" s="702"/>
      <c r="H243" s="702"/>
      <c r="I243" s="702"/>
      <c r="J243" s="702"/>
      <c r="K243" s="702"/>
      <c r="L243" s="702"/>
      <c r="M243" s="702"/>
      <c r="N243" s="702"/>
      <c r="O243" s="702"/>
      <c r="P243" s="702"/>
      <c r="Q243" s="702"/>
      <c r="R243" s="702"/>
      <c r="S243" s="702"/>
      <c r="T243" s="702"/>
      <c r="U243" s="702"/>
      <c r="V243" s="702"/>
      <c r="W243" s="702"/>
      <c r="X243" s="702"/>
      <c r="Y243" s="702"/>
      <c r="Z243" s="702"/>
      <c r="AA243" s="702"/>
      <c r="AB243" s="702"/>
      <c r="AC243" s="702"/>
    </row>
    <row r="244" ht="15.75" customHeight="1">
      <c r="A244" s="702"/>
      <c r="B244" s="702"/>
      <c r="C244" s="702"/>
      <c r="D244" s="702"/>
      <c r="E244" s="702"/>
      <c r="F244" s="702"/>
      <c r="G244" s="702"/>
      <c r="H244" s="702"/>
      <c r="I244" s="702"/>
      <c r="J244" s="702"/>
      <c r="K244" s="702"/>
      <c r="L244" s="702"/>
      <c r="M244" s="702"/>
      <c r="N244" s="702"/>
      <c r="O244" s="702"/>
      <c r="P244" s="702"/>
      <c r="Q244" s="702"/>
      <c r="R244" s="702"/>
      <c r="S244" s="702"/>
      <c r="T244" s="702"/>
      <c r="U244" s="702"/>
      <c r="V244" s="702"/>
      <c r="W244" s="702"/>
      <c r="X244" s="702"/>
      <c r="Y244" s="702"/>
      <c r="Z244" s="702"/>
      <c r="AA244" s="702"/>
      <c r="AB244" s="702"/>
      <c r="AC244" s="702"/>
    </row>
    <row r="245" ht="15.75" customHeight="1">
      <c r="A245" s="702"/>
      <c r="B245" s="702"/>
      <c r="C245" s="702"/>
      <c r="D245" s="702"/>
      <c r="E245" s="702"/>
      <c r="F245" s="702"/>
      <c r="G245" s="702"/>
      <c r="H245" s="702"/>
      <c r="I245" s="702"/>
      <c r="J245" s="702"/>
      <c r="K245" s="702"/>
      <c r="L245" s="702"/>
      <c r="M245" s="702"/>
      <c r="N245" s="702"/>
      <c r="O245" s="702"/>
      <c r="P245" s="702"/>
      <c r="Q245" s="702"/>
      <c r="R245" s="702"/>
      <c r="S245" s="702"/>
      <c r="T245" s="702"/>
      <c r="U245" s="702"/>
      <c r="V245" s="702"/>
      <c r="W245" s="702"/>
      <c r="X245" s="702"/>
      <c r="Y245" s="702"/>
      <c r="Z245" s="702"/>
      <c r="AA245" s="702"/>
      <c r="AB245" s="702"/>
      <c r="AC245" s="702"/>
    </row>
    <row r="246" ht="15.75" customHeight="1">
      <c r="A246" s="702"/>
      <c r="B246" s="702"/>
      <c r="C246" s="702"/>
      <c r="D246" s="702"/>
      <c r="E246" s="702"/>
      <c r="F246" s="702"/>
      <c r="G246" s="702"/>
      <c r="H246" s="702"/>
      <c r="I246" s="702"/>
      <c r="J246" s="702"/>
      <c r="K246" s="702"/>
      <c r="L246" s="702"/>
      <c r="M246" s="702"/>
      <c r="N246" s="702"/>
      <c r="O246" s="702"/>
      <c r="P246" s="702"/>
      <c r="Q246" s="702"/>
      <c r="R246" s="702"/>
      <c r="S246" s="702"/>
      <c r="T246" s="702"/>
      <c r="U246" s="702"/>
      <c r="V246" s="702"/>
      <c r="W246" s="702"/>
      <c r="X246" s="702"/>
      <c r="Y246" s="702"/>
      <c r="Z246" s="702"/>
      <c r="AA246" s="702"/>
      <c r="AB246" s="702"/>
      <c r="AC246" s="702"/>
    </row>
    <row r="247" ht="15.75" customHeight="1">
      <c r="A247" s="702"/>
      <c r="B247" s="702"/>
      <c r="C247" s="702"/>
      <c r="D247" s="702"/>
      <c r="E247" s="702"/>
      <c r="F247" s="702"/>
      <c r="G247" s="702"/>
      <c r="H247" s="702"/>
      <c r="I247" s="702"/>
      <c r="J247" s="702"/>
      <c r="K247" s="702"/>
      <c r="L247" s="702"/>
      <c r="M247" s="702"/>
      <c r="N247" s="702"/>
      <c r="O247" s="702"/>
      <c r="P247" s="702"/>
      <c r="Q247" s="702"/>
      <c r="R247" s="702"/>
      <c r="S247" s="702"/>
      <c r="T247" s="702"/>
      <c r="U247" s="702"/>
      <c r="V247" s="702"/>
      <c r="W247" s="702"/>
      <c r="X247" s="702"/>
      <c r="Y247" s="702"/>
      <c r="Z247" s="702"/>
      <c r="AA247" s="702"/>
      <c r="AB247" s="702"/>
      <c r="AC247" s="702"/>
    </row>
    <row r="248" ht="15.75" customHeight="1">
      <c r="A248" s="702"/>
      <c r="B248" s="702"/>
      <c r="C248" s="702"/>
      <c r="D248" s="702"/>
      <c r="E248" s="702"/>
      <c r="F248" s="702"/>
      <c r="G248" s="702"/>
      <c r="H248" s="702"/>
      <c r="I248" s="702"/>
      <c r="J248" s="702"/>
      <c r="K248" s="702"/>
      <c r="L248" s="702"/>
      <c r="M248" s="702"/>
      <c r="N248" s="702"/>
      <c r="O248" s="702"/>
      <c r="P248" s="702"/>
      <c r="Q248" s="702"/>
      <c r="R248" s="702"/>
      <c r="S248" s="702"/>
      <c r="T248" s="702"/>
      <c r="U248" s="702"/>
      <c r="V248" s="702"/>
      <c r="W248" s="702"/>
      <c r="X248" s="702"/>
      <c r="Y248" s="702"/>
      <c r="Z248" s="702"/>
      <c r="AA248" s="702"/>
      <c r="AB248" s="702"/>
      <c r="AC248" s="702"/>
    </row>
    <row r="249" ht="15.75" customHeight="1">
      <c r="A249" s="702"/>
      <c r="B249" s="702"/>
      <c r="C249" s="702"/>
      <c r="D249" s="702"/>
      <c r="E249" s="702"/>
      <c r="F249" s="702"/>
      <c r="G249" s="702"/>
      <c r="H249" s="702"/>
      <c r="I249" s="702"/>
      <c r="J249" s="702"/>
      <c r="K249" s="702"/>
      <c r="L249" s="702"/>
      <c r="M249" s="702"/>
      <c r="N249" s="702"/>
      <c r="O249" s="702"/>
      <c r="P249" s="702"/>
      <c r="Q249" s="702"/>
      <c r="R249" s="702"/>
      <c r="S249" s="702"/>
      <c r="T249" s="702"/>
      <c r="U249" s="702"/>
      <c r="V249" s="702"/>
      <c r="W249" s="702"/>
      <c r="X249" s="702"/>
      <c r="Y249" s="702"/>
      <c r="Z249" s="702"/>
      <c r="AA249" s="702"/>
      <c r="AB249" s="702"/>
      <c r="AC249" s="702"/>
    </row>
    <row r="250" ht="15.75" customHeight="1">
      <c r="A250" s="702"/>
      <c r="B250" s="702"/>
      <c r="C250" s="702"/>
      <c r="D250" s="702"/>
      <c r="E250" s="702"/>
      <c r="F250" s="702"/>
      <c r="G250" s="702"/>
      <c r="H250" s="702"/>
      <c r="I250" s="702"/>
      <c r="J250" s="702"/>
      <c r="K250" s="702"/>
      <c r="L250" s="702"/>
      <c r="M250" s="702"/>
      <c r="N250" s="702"/>
      <c r="O250" s="702"/>
      <c r="P250" s="702"/>
      <c r="Q250" s="702"/>
      <c r="R250" s="702"/>
      <c r="S250" s="702"/>
      <c r="T250" s="702"/>
      <c r="U250" s="702"/>
      <c r="V250" s="702"/>
      <c r="W250" s="702"/>
      <c r="X250" s="702"/>
      <c r="Y250" s="702"/>
      <c r="Z250" s="702"/>
      <c r="AA250" s="702"/>
      <c r="AB250" s="702"/>
      <c r="AC250" s="702"/>
    </row>
    <row r="251" ht="15.75" customHeight="1">
      <c r="A251" s="702"/>
      <c r="B251" s="702"/>
      <c r="C251" s="702"/>
      <c r="D251" s="702"/>
      <c r="E251" s="702"/>
      <c r="F251" s="702"/>
      <c r="G251" s="702"/>
      <c r="H251" s="702"/>
      <c r="I251" s="702"/>
      <c r="J251" s="702"/>
      <c r="K251" s="702"/>
      <c r="L251" s="702"/>
      <c r="M251" s="702"/>
      <c r="N251" s="702"/>
      <c r="O251" s="702"/>
      <c r="P251" s="702"/>
      <c r="Q251" s="702"/>
      <c r="R251" s="702"/>
      <c r="S251" s="702"/>
      <c r="T251" s="702"/>
      <c r="U251" s="702"/>
      <c r="V251" s="702"/>
      <c r="W251" s="702"/>
      <c r="X251" s="702"/>
      <c r="Y251" s="702"/>
      <c r="Z251" s="702"/>
      <c r="AA251" s="702"/>
      <c r="AB251" s="702"/>
      <c r="AC251" s="702"/>
    </row>
    <row r="252" ht="15.75" customHeight="1">
      <c r="A252" s="702"/>
      <c r="B252" s="702"/>
      <c r="C252" s="702"/>
      <c r="D252" s="702"/>
      <c r="E252" s="702"/>
      <c r="F252" s="702"/>
      <c r="G252" s="702"/>
      <c r="H252" s="702"/>
      <c r="I252" s="702"/>
      <c r="J252" s="702"/>
      <c r="K252" s="702"/>
      <c r="L252" s="702"/>
      <c r="M252" s="702"/>
      <c r="N252" s="702"/>
      <c r="O252" s="702"/>
      <c r="P252" s="702"/>
      <c r="Q252" s="702"/>
      <c r="R252" s="702"/>
      <c r="S252" s="702"/>
      <c r="T252" s="702"/>
      <c r="U252" s="702"/>
      <c r="V252" s="702"/>
      <c r="W252" s="702"/>
      <c r="X252" s="702"/>
      <c r="Y252" s="702"/>
      <c r="Z252" s="702"/>
      <c r="AA252" s="702"/>
      <c r="AB252" s="702"/>
      <c r="AC252" s="702"/>
    </row>
    <row r="253" ht="15.75" customHeight="1">
      <c r="A253" s="702"/>
      <c r="B253" s="702"/>
      <c r="C253" s="702"/>
      <c r="D253" s="702"/>
      <c r="E253" s="702"/>
      <c r="F253" s="702"/>
      <c r="G253" s="702"/>
      <c r="H253" s="702"/>
      <c r="I253" s="702"/>
      <c r="J253" s="702"/>
      <c r="K253" s="702"/>
      <c r="L253" s="702"/>
      <c r="M253" s="702"/>
      <c r="N253" s="702"/>
      <c r="O253" s="702"/>
      <c r="P253" s="702"/>
      <c r="Q253" s="702"/>
      <c r="R253" s="702"/>
      <c r="S253" s="702"/>
      <c r="T253" s="702"/>
      <c r="U253" s="702"/>
      <c r="V253" s="702"/>
      <c r="W253" s="702"/>
      <c r="X253" s="702"/>
      <c r="Y253" s="702"/>
      <c r="Z253" s="702"/>
      <c r="AA253" s="702"/>
      <c r="AB253" s="702"/>
      <c r="AC253" s="702"/>
    </row>
    <row r="254" ht="15.75" customHeight="1">
      <c r="A254" s="702"/>
      <c r="B254" s="702"/>
      <c r="C254" s="702"/>
      <c r="D254" s="702"/>
      <c r="E254" s="702"/>
      <c r="F254" s="702"/>
      <c r="G254" s="702"/>
      <c r="H254" s="702"/>
      <c r="I254" s="702"/>
      <c r="J254" s="702"/>
      <c r="K254" s="702"/>
      <c r="L254" s="702"/>
      <c r="M254" s="702"/>
      <c r="N254" s="702"/>
      <c r="O254" s="702"/>
      <c r="P254" s="702"/>
      <c r="Q254" s="702"/>
      <c r="R254" s="702"/>
      <c r="S254" s="702"/>
      <c r="T254" s="702"/>
      <c r="U254" s="702"/>
      <c r="V254" s="702"/>
      <c r="W254" s="702"/>
      <c r="X254" s="702"/>
      <c r="Y254" s="702"/>
      <c r="Z254" s="702"/>
      <c r="AA254" s="702"/>
      <c r="AB254" s="702"/>
      <c r="AC254" s="702"/>
    </row>
    <row r="255" ht="15.75" customHeight="1">
      <c r="A255" s="702"/>
      <c r="B255" s="702"/>
      <c r="C255" s="702"/>
      <c r="D255" s="702"/>
      <c r="E255" s="702"/>
      <c r="F255" s="702"/>
      <c r="G255" s="702"/>
      <c r="H255" s="702"/>
      <c r="I255" s="702"/>
      <c r="J255" s="702"/>
      <c r="K255" s="702"/>
      <c r="L255" s="702"/>
      <c r="M255" s="702"/>
      <c r="N255" s="702"/>
      <c r="O255" s="702"/>
      <c r="P255" s="702"/>
      <c r="Q255" s="702"/>
      <c r="R255" s="702"/>
      <c r="S255" s="702"/>
      <c r="T255" s="702"/>
      <c r="U255" s="702"/>
      <c r="V255" s="702"/>
      <c r="W255" s="702"/>
      <c r="X255" s="702"/>
      <c r="Y255" s="702"/>
      <c r="Z255" s="702"/>
      <c r="AA255" s="702"/>
      <c r="AB255" s="702"/>
      <c r="AC255" s="702"/>
    </row>
    <row r="256" ht="15.75" customHeight="1">
      <c r="A256" s="702"/>
      <c r="B256" s="702"/>
      <c r="C256" s="702"/>
      <c r="D256" s="702"/>
      <c r="E256" s="702"/>
      <c r="F256" s="702"/>
      <c r="G256" s="702"/>
      <c r="H256" s="702"/>
      <c r="I256" s="702"/>
      <c r="J256" s="702"/>
      <c r="K256" s="702"/>
      <c r="L256" s="702"/>
      <c r="M256" s="702"/>
      <c r="N256" s="702"/>
      <c r="O256" s="702"/>
      <c r="P256" s="702"/>
      <c r="Q256" s="702"/>
      <c r="R256" s="702"/>
      <c r="S256" s="702"/>
      <c r="T256" s="702"/>
      <c r="U256" s="702"/>
      <c r="V256" s="702"/>
      <c r="W256" s="702"/>
      <c r="X256" s="702"/>
      <c r="Y256" s="702"/>
      <c r="Z256" s="702"/>
      <c r="AA256" s="702"/>
      <c r="AB256" s="702"/>
      <c r="AC256" s="702"/>
    </row>
    <row r="257" ht="15.75" customHeight="1">
      <c r="A257" s="702"/>
      <c r="B257" s="702"/>
      <c r="C257" s="702"/>
      <c r="D257" s="702"/>
      <c r="E257" s="702"/>
      <c r="F257" s="702"/>
      <c r="G257" s="702"/>
      <c r="H257" s="702"/>
      <c r="I257" s="702"/>
      <c r="J257" s="702"/>
      <c r="K257" s="702"/>
      <c r="L257" s="702"/>
      <c r="M257" s="702"/>
      <c r="N257" s="702"/>
      <c r="O257" s="702"/>
      <c r="P257" s="702"/>
      <c r="Q257" s="702"/>
      <c r="R257" s="702"/>
      <c r="S257" s="702"/>
      <c r="T257" s="702"/>
      <c r="U257" s="702"/>
      <c r="V257" s="702"/>
      <c r="W257" s="702"/>
      <c r="X257" s="702"/>
      <c r="Y257" s="702"/>
      <c r="Z257" s="702"/>
      <c r="AA257" s="702"/>
      <c r="AB257" s="702"/>
      <c r="AC257" s="702"/>
    </row>
    <row r="258" ht="15.75" customHeight="1">
      <c r="A258" s="702"/>
      <c r="B258" s="702"/>
      <c r="C258" s="702"/>
      <c r="D258" s="702"/>
      <c r="E258" s="702"/>
      <c r="F258" s="702"/>
      <c r="G258" s="702"/>
      <c r="H258" s="702"/>
      <c r="I258" s="702"/>
      <c r="J258" s="702"/>
      <c r="K258" s="702"/>
      <c r="L258" s="702"/>
      <c r="M258" s="702"/>
      <c r="N258" s="702"/>
      <c r="O258" s="702"/>
      <c r="P258" s="702"/>
      <c r="Q258" s="702"/>
      <c r="R258" s="702"/>
      <c r="S258" s="702"/>
      <c r="T258" s="702"/>
      <c r="U258" s="702"/>
      <c r="V258" s="702"/>
      <c r="W258" s="702"/>
      <c r="X258" s="702"/>
      <c r="Y258" s="702"/>
      <c r="Z258" s="702"/>
      <c r="AA258" s="702"/>
      <c r="AB258" s="702"/>
      <c r="AC258" s="702"/>
    </row>
    <row r="259" ht="15.75" customHeight="1">
      <c r="A259" s="702"/>
      <c r="B259" s="702"/>
      <c r="C259" s="702"/>
      <c r="D259" s="702"/>
      <c r="E259" s="702"/>
      <c r="F259" s="702"/>
      <c r="G259" s="702"/>
      <c r="H259" s="702"/>
      <c r="I259" s="702"/>
      <c r="J259" s="702"/>
      <c r="K259" s="702"/>
      <c r="L259" s="702"/>
      <c r="M259" s="702"/>
      <c r="N259" s="702"/>
      <c r="O259" s="702"/>
      <c r="P259" s="702"/>
      <c r="Q259" s="702"/>
      <c r="R259" s="702"/>
      <c r="S259" s="702"/>
      <c r="T259" s="702"/>
      <c r="U259" s="702"/>
      <c r="V259" s="702"/>
      <c r="W259" s="702"/>
      <c r="X259" s="702"/>
      <c r="Y259" s="702"/>
      <c r="Z259" s="702"/>
      <c r="AA259" s="702"/>
      <c r="AB259" s="702"/>
      <c r="AC259" s="702"/>
    </row>
    <row r="260" ht="15.75" customHeight="1">
      <c r="A260" s="702"/>
      <c r="B260" s="702"/>
      <c r="C260" s="702"/>
      <c r="D260" s="702"/>
      <c r="E260" s="702"/>
      <c r="F260" s="702"/>
      <c r="G260" s="702"/>
      <c r="H260" s="702"/>
      <c r="I260" s="702"/>
      <c r="J260" s="702"/>
      <c r="K260" s="702"/>
      <c r="L260" s="702"/>
      <c r="M260" s="702"/>
      <c r="N260" s="702"/>
      <c r="O260" s="702"/>
      <c r="P260" s="702"/>
      <c r="Q260" s="702"/>
      <c r="R260" s="702"/>
      <c r="S260" s="702"/>
      <c r="T260" s="702"/>
      <c r="U260" s="702"/>
      <c r="V260" s="702"/>
      <c r="W260" s="702"/>
      <c r="X260" s="702"/>
      <c r="Y260" s="702"/>
      <c r="Z260" s="702"/>
      <c r="AA260" s="702"/>
      <c r="AB260" s="702"/>
      <c r="AC260" s="702"/>
    </row>
    <row r="261" ht="15.75" customHeight="1">
      <c r="A261" s="702"/>
      <c r="B261" s="702"/>
      <c r="C261" s="702"/>
      <c r="D261" s="702"/>
      <c r="E261" s="702"/>
      <c r="F261" s="702"/>
      <c r="G261" s="702"/>
      <c r="H261" s="702"/>
      <c r="I261" s="702"/>
      <c r="J261" s="702"/>
      <c r="K261" s="702"/>
      <c r="L261" s="702"/>
      <c r="M261" s="702"/>
      <c r="N261" s="702"/>
      <c r="O261" s="702"/>
      <c r="P261" s="702"/>
      <c r="Q261" s="702"/>
      <c r="R261" s="702"/>
      <c r="S261" s="702"/>
      <c r="T261" s="702"/>
      <c r="U261" s="702"/>
      <c r="V261" s="702"/>
      <c r="W261" s="702"/>
      <c r="X261" s="702"/>
      <c r="Y261" s="702"/>
      <c r="Z261" s="702"/>
      <c r="AA261" s="702"/>
      <c r="AB261" s="702"/>
      <c r="AC261" s="702"/>
    </row>
    <row r="262" ht="15.75" customHeight="1">
      <c r="A262" s="702"/>
      <c r="B262" s="702"/>
      <c r="C262" s="702"/>
      <c r="D262" s="702"/>
      <c r="E262" s="702"/>
      <c r="F262" s="702"/>
      <c r="G262" s="702"/>
      <c r="H262" s="702"/>
      <c r="I262" s="702"/>
      <c r="J262" s="702"/>
      <c r="K262" s="702"/>
      <c r="L262" s="702"/>
      <c r="M262" s="702"/>
      <c r="N262" s="702"/>
      <c r="O262" s="702"/>
      <c r="P262" s="702"/>
      <c r="Q262" s="702"/>
      <c r="R262" s="702"/>
      <c r="S262" s="702"/>
      <c r="T262" s="702"/>
      <c r="U262" s="702"/>
      <c r="V262" s="702"/>
      <c r="W262" s="702"/>
      <c r="X262" s="702"/>
      <c r="Y262" s="702"/>
      <c r="Z262" s="702"/>
      <c r="AA262" s="702"/>
      <c r="AB262" s="702"/>
      <c r="AC262" s="702"/>
    </row>
    <row r="263" ht="15.75" customHeight="1">
      <c r="A263" s="702"/>
      <c r="B263" s="702"/>
      <c r="C263" s="702"/>
      <c r="D263" s="702"/>
      <c r="E263" s="702"/>
      <c r="F263" s="702"/>
      <c r="G263" s="702"/>
      <c r="H263" s="702"/>
      <c r="I263" s="702"/>
      <c r="J263" s="702"/>
      <c r="K263" s="702"/>
      <c r="L263" s="702"/>
      <c r="M263" s="702"/>
      <c r="N263" s="702"/>
      <c r="O263" s="702"/>
      <c r="P263" s="702"/>
      <c r="Q263" s="702"/>
      <c r="R263" s="702"/>
      <c r="S263" s="702"/>
      <c r="T263" s="702"/>
      <c r="U263" s="702"/>
      <c r="V263" s="702"/>
      <c r="W263" s="702"/>
      <c r="X263" s="702"/>
      <c r="Y263" s="702"/>
      <c r="Z263" s="702"/>
      <c r="AA263" s="702"/>
      <c r="AB263" s="702"/>
      <c r="AC263" s="702"/>
    </row>
    <row r="264" ht="15.75" customHeight="1">
      <c r="A264" s="702"/>
      <c r="B264" s="702"/>
      <c r="C264" s="702"/>
      <c r="D264" s="702"/>
      <c r="E264" s="702"/>
      <c r="F264" s="702"/>
      <c r="G264" s="702"/>
      <c r="H264" s="702"/>
      <c r="I264" s="702"/>
      <c r="J264" s="702"/>
      <c r="K264" s="702"/>
      <c r="L264" s="702"/>
      <c r="M264" s="702"/>
      <c r="N264" s="702"/>
      <c r="O264" s="702"/>
      <c r="P264" s="702"/>
      <c r="Q264" s="702"/>
      <c r="R264" s="702"/>
      <c r="S264" s="702"/>
      <c r="T264" s="702"/>
      <c r="U264" s="702"/>
      <c r="V264" s="702"/>
      <c r="W264" s="702"/>
      <c r="X264" s="702"/>
      <c r="Y264" s="702"/>
      <c r="Z264" s="702"/>
      <c r="AA264" s="702"/>
      <c r="AB264" s="702"/>
      <c r="AC264" s="702"/>
    </row>
    <row r="265" ht="15.75" customHeight="1">
      <c r="A265" s="702"/>
      <c r="B265" s="702"/>
      <c r="C265" s="702"/>
      <c r="D265" s="702"/>
      <c r="E265" s="702"/>
      <c r="F265" s="702"/>
      <c r="G265" s="702"/>
      <c r="H265" s="702"/>
      <c r="I265" s="702"/>
      <c r="J265" s="702"/>
      <c r="K265" s="702"/>
      <c r="L265" s="702"/>
      <c r="M265" s="702"/>
      <c r="N265" s="702"/>
      <c r="O265" s="702"/>
      <c r="P265" s="702"/>
      <c r="Q265" s="702"/>
      <c r="R265" s="702"/>
      <c r="S265" s="702"/>
      <c r="T265" s="702"/>
      <c r="U265" s="702"/>
      <c r="V265" s="702"/>
      <c r="W265" s="702"/>
      <c r="X265" s="702"/>
      <c r="Y265" s="702"/>
      <c r="Z265" s="702"/>
      <c r="AA265" s="702"/>
      <c r="AB265" s="702"/>
      <c r="AC265" s="702"/>
    </row>
    <row r="266" ht="15.75" customHeight="1">
      <c r="A266" s="702"/>
      <c r="B266" s="702"/>
      <c r="C266" s="702"/>
      <c r="D266" s="702"/>
      <c r="E266" s="702"/>
      <c r="F266" s="702"/>
      <c r="G266" s="702"/>
      <c r="H266" s="702"/>
      <c r="I266" s="702"/>
      <c r="J266" s="702"/>
      <c r="K266" s="702"/>
      <c r="L266" s="702"/>
      <c r="M266" s="702"/>
      <c r="N266" s="702"/>
      <c r="O266" s="702"/>
      <c r="P266" s="702"/>
      <c r="Q266" s="702"/>
      <c r="R266" s="702"/>
      <c r="S266" s="702"/>
      <c r="T266" s="702"/>
      <c r="U266" s="702"/>
      <c r="V266" s="702"/>
      <c r="W266" s="702"/>
      <c r="X266" s="702"/>
      <c r="Y266" s="702"/>
      <c r="Z266" s="702"/>
      <c r="AA266" s="702"/>
      <c r="AB266" s="702"/>
      <c r="AC266" s="702"/>
    </row>
    <row r="267" ht="15.75" customHeight="1">
      <c r="A267" s="702"/>
      <c r="B267" s="702"/>
      <c r="C267" s="702"/>
      <c r="D267" s="702"/>
      <c r="E267" s="702"/>
      <c r="F267" s="702"/>
      <c r="G267" s="702"/>
      <c r="H267" s="702"/>
      <c r="I267" s="702"/>
      <c r="J267" s="702"/>
      <c r="K267" s="702"/>
      <c r="L267" s="702"/>
      <c r="M267" s="702"/>
      <c r="N267" s="702"/>
      <c r="O267" s="702"/>
      <c r="P267" s="702"/>
      <c r="Q267" s="702"/>
      <c r="R267" s="702"/>
      <c r="S267" s="702"/>
      <c r="T267" s="702"/>
      <c r="U267" s="702"/>
      <c r="V267" s="702"/>
      <c r="W267" s="702"/>
      <c r="X267" s="702"/>
      <c r="Y267" s="702"/>
      <c r="Z267" s="702"/>
      <c r="AA267" s="702"/>
      <c r="AB267" s="702"/>
      <c r="AC267" s="702"/>
    </row>
    <row r="268" ht="15.75" customHeight="1">
      <c r="A268" s="702"/>
      <c r="B268" s="702"/>
      <c r="C268" s="702"/>
      <c r="D268" s="702"/>
      <c r="E268" s="702"/>
      <c r="F268" s="702"/>
      <c r="G268" s="702"/>
      <c r="H268" s="702"/>
      <c r="I268" s="702"/>
      <c r="J268" s="702"/>
      <c r="K268" s="702"/>
      <c r="L268" s="702"/>
      <c r="M268" s="702"/>
      <c r="N268" s="702"/>
      <c r="O268" s="702"/>
      <c r="P268" s="702"/>
      <c r="Q268" s="702"/>
      <c r="R268" s="702"/>
      <c r="S268" s="702"/>
      <c r="T268" s="702"/>
      <c r="U268" s="702"/>
      <c r="V268" s="702"/>
      <c r="W268" s="702"/>
      <c r="X268" s="702"/>
      <c r="Y268" s="702"/>
      <c r="Z268" s="702"/>
      <c r="AA268" s="702"/>
      <c r="AB268" s="702"/>
      <c r="AC268" s="702"/>
    </row>
    <row r="269" ht="15.75" customHeight="1">
      <c r="A269" s="702"/>
      <c r="B269" s="702"/>
      <c r="C269" s="702"/>
      <c r="D269" s="702"/>
      <c r="E269" s="702"/>
      <c r="F269" s="702"/>
      <c r="G269" s="702"/>
      <c r="H269" s="702"/>
      <c r="I269" s="702"/>
      <c r="J269" s="702"/>
      <c r="K269" s="702"/>
      <c r="L269" s="702"/>
      <c r="M269" s="702"/>
      <c r="N269" s="702"/>
      <c r="O269" s="702"/>
      <c r="P269" s="702"/>
      <c r="Q269" s="702"/>
      <c r="R269" s="702"/>
      <c r="S269" s="702"/>
      <c r="T269" s="702"/>
      <c r="U269" s="702"/>
      <c r="V269" s="702"/>
      <c r="W269" s="702"/>
      <c r="X269" s="702"/>
      <c r="Y269" s="702"/>
      <c r="Z269" s="702"/>
      <c r="AA269" s="702"/>
      <c r="AB269" s="702"/>
      <c r="AC269" s="702"/>
    </row>
    <row r="270" ht="15.75" customHeight="1">
      <c r="A270" s="702"/>
      <c r="B270" s="702"/>
      <c r="C270" s="702"/>
      <c r="D270" s="702"/>
      <c r="E270" s="702"/>
      <c r="F270" s="702"/>
      <c r="G270" s="702"/>
      <c r="H270" s="702"/>
      <c r="I270" s="702"/>
      <c r="J270" s="702"/>
      <c r="K270" s="702"/>
      <c r="L270" s="702"/>
      <c r="M270" s="702"/>
      <c r="N270" s="702"/>
      <c r="O270" s="702"/>
      <c r="P270" s="702"/>
      <c r="Q270" s="702"/>
      <c r="R270" s="702"/>
      <c r="S270" s="702"/>
      <c r="T270" s="702"/>
      <c r="U270" s="702"/>
      <c r="V270" s="702"/>
      <c r="W270" s="702"/>
      <c r="X270" s="702"/>
      <c r="Y270" s="702"/>
      <c r="Z270" s="702"/>
      <c r="AA270" s="702"/>
      <c r="AB270" s="702"/>
      <c r="AC270" s="702"/>
    </row>
    <row r="271" ht="15.75" customHeight="1">
      <c r="A271" s="702"/>
      <c r="B271" s="702"/>
      <c r="C271" s="702"/>
      <c r="D271" s="702"/>
      <c r="E271" s="702"/>
      <c r="F271" s="702"/>
      <c r="G271" s="702"/>
      <c r="H271" s="702"/>
      <c r="I271" s="702"/>
      <c r="J271" s="702"/>
      <c r="K271" s="702"/>
      <c r="L271" s="702"/>
      <c r="M271" s="702"/>
      <c r="N271" s="702"/>
      <c r="O271" s="702"/>
      <c r="P271" s="702"/>
      <c r="Q271" s="702"/>
      <c r="R271" s="702"/>
      <c r="S271" s="702"/>
      <c r="T271" s="702"/>
      <c r="U271" s="702"/>
      <c r="V271" s="702"/>
      <c r="W271" s="702"/>
      <c r="X271" s="702"/>
      <c r="Y271" s="702"/>
      <c r="Z271" s="702"/>
      <c r="AA271" s="702"/>
      <c r="AB271" s="702"/>
      <c r="AC271" s="702"/>
    </row>
    <row r="272" ht="15.75" customHeight="1">
      <c r="A272" s="702"/>
      <c r="B272" s="702"/>
      <c r="C272" s="702"/>
      <c r="D272" s="702"/>
      <c r="E272" s="702"/>
      <c r="F272" s="702"/>
      <c r="G272" s="702"/>
      <c r="H272" s="702"/>
      <c r="I272" s="702"/>
      <c r="J272" s="702"/>
      <c r="K272" s="702"/>
      <c r="L272" s="702"/>
      <c r="M272" s="702"/>
      <c r="N272" s="702"/>
      <c r="O272" s="702"/>
      <c r="P272" s="702"/>
      <c r="Q272" s="702"/>
      <c r="R272" s="702"/>
      <c r="S272" s="702"/>
      <c r="T272" s="702"/>
      <c r="U272" s="702"/>
      <c r="V272" s="702"/>
      <c r="W272" s="702"/>
      <c r="X272" s="702"/>
      <c r="Y272" s="702"/>
      <c r="Z272" s="702"/>
      <c r="AA272" s="702"/>
      <c r="AB272" s="702"/>
      <c r="AC272" s="702"/>
    </row>
    <row r="273" ht="15.75" customHeight="1">
      <c r="A273" s="702"/>
      <c r="B273" s="702"/>
      <c r="C273" s="702"/>
      <c r="D273" s="702"/>
      <c r="E273" s="702"/>
      <c r="F273" s="702"/>
      <c r="G273" s="702"/>
      <c r="H273" s="702"/>
      <c r="I273" s="702"/>
      <c r="J273" s="702"/>
      <c r="K273" s="702"/>
      <c r="L273" s="702"/>
      <c r="M273" s="702"/>
      <c r="N273" s="702"/>
      <c r="O273" s="702"/>
      <c r="P273" s="702"/>
      <c r="Q273" s="702"/>
      <c r="R273" s="702"/>
      <c r="S273" s="702"/>
      <c r="T273" s="702"/>
      <c r="U273" s="702"/>
      <c r="V273" s="702"/>
      <c r="W273" s="702"/>
      <c r="X273" s="702"/>
      <c r="Y273" s="702"/>
      <c r="Z273" s="702"/>
      <c r="AA273" s="702"/>
      <c r="AB273" s="702"/>
      <c r="AC273" s="702"/>
    </row>
    <row r="274" ht="15.75" customHeight="1">
      <c r="A274" s="702"/>
      <c r="B274" s="702"/>
      <c r="C274" s="702"/>
      <c r="D274" s="702"/>
      <c r="E274" s="702"/>
      <c r="F274" s="702"/>
      <c r="G274" s="702"/>
      <c r="H274" s="702"/>
      <c r="I274" s="702"/>
      <c r="J274" s="702"/>
      <c r="K274" s="702"/>
      <c r="L274" s="702"/>
      <c r="M274" s="702"/>
      <c r="N274" s="702"/>
      <c r="O274" s="702"/>
      <c r="P274" s="702"/>
      <c r="Q274" s="702"/>
      <c r="R274" s="702"/>
      <c r="S274" s="702"/>
      <c r="T274" s="702"/>
      <c r="U274" s="702"/>
      <c r="V274" s="702"/>
      <c r="W274" s="702"/>
      <c r="X274" s="702"/>
      <c r="Y274" s="702"/>
      <c r="Z274" s="702"/>
      <c r="AA274" s="702"/>
      <c r="AB274" s="702"/>
      <c r="AC274" s="702"/>
    </row>
    <row r="275" ht="15.75" customHeight="1">
      <c r="A275" s="702"/>
      <c r="B275" s="702"/>
      <c r="C275" s="702"/>
      <c r="D275" s="702"/>
      <c r="E275" s="702"/>
      <c r="F275" s="702"/>
      <c r="G275" s="702"/>
      <c r="H275" s="702"/>
      <c r="I275" s="702"/>
      <c r="J275" s="702"/>
      <c r="K275" s="702"/>
      <c r="L275" s="702"/>
      <c r="M275" s="702"/>
      <c r="N275" s="702"/>
      <c r="O275" s="702"/>
      <c r="P275" s="702"/>
      <c r="Q275" s="702"/>
      <c r="R275" s="702"/>
      <c r="S275" s="702"/>
      <c r="T275" s="702"/>
      <c r="U275" s="702"/>
      <c r="V275" s="702"/>
      <c r="W275" s="702"/>
      <c r="X275" s="702"/>
      <c r="Y275" s="702"/>
      <c r="Z275" s="702"/>
      <c r="AA275" s="702"/>
      <c r="AB275" s="702"/>
      <c r="AC275" s="702"/>
    </row>
    <row r="276" ht="15.75" customHeight="1">
      <c r="A276" s="702"/>
      <c r="B276" s="702"/>
      <c r="C276" s="702"/>
      <c r="D276" s="702"/>
      <c r="E276" s="702"/>
      <c r="F276" s="702"/>
      <c r="G276" s="702"/>
      <c r="H276" s="702"/>
      <c r="I276" s="702"/>
      <c r="J276" s="702"/>
      <c r="K276" s="702"/>
      <c r="L276" s="702"/>
      <c r="M276" s="702"/>
      <c r="N276" s="702"/>
      <c r="O276" s="702"/>
      <c r="P276" s="702"/>
      <c r="Q276" s="702"/>
      <c r="R276" s="702"/>
      <c r="S276" s="702"/>
      <c r="T276" s="702"/>
      <c r="U276" s="702"/>
      <c r="V276" s="702"/>
      <c r="W276" s="702"/>
      <c r="X276" s="702"/>
      <c r="Y276" s="702"/>
      <c r="Z276" s="702"/>
      <c r="AA276" s="702"/>
      <c r="AB276" s="702"/>
      <c r="AC276" s="702"/>
    </row>
    <row r="277" ht="15.75" customHeight="1">
      <c r="A277" s="702"/>
      <c r="B277" s="702"/>
      <c r="C277" s="702"/>
      <c r="D277" s="702"/>
      <c r="E277" s="702"/>
      <c r="F277" s="702"/>
      <c r="G277" s="702"/>
      <c r="H277" s="702"/>
      <c r="I277" s="702"/>
      <c r="J277" s="702"/>
      <c r="K277" s="702"/>
      <c r="L277" s="702"/>
      <c r="M277" s="702"/>
      <c r="N277" s="702"/>
      <c r="O277" s="702"/>
      <c r="P277" s="702"/>
      <c r="Q277" s="702"/>
      <c r="R277" s="702"/>
      <c r="S277" s="702"/>
      <c r="T277" s="702"/>
      <c r="U277" s="702"/>
      <c r="V277" s="702"/>
      <c r="W277" s="702"/>
      <c r="X277" s="702"/>
      <c r="Y277" s="702"/>
      <c r="Z277" s="702"/>
      <c r="AA277" s="702"/>
      <c r="AB277" s="702"/>
      <c r="AC277" s="702"/>
    </row>
    <row r="278" ht="15.75" customHeight="1">
      <c r="A278" s="702"/>
      <c r="B278" s="702"/>
      <c r="C278" s="702"/>
      <c r="D278" s="702"/>
      <c r="E278" s="702"/>
      <c r="F278" s="702"/>
      <c r="G278" s="702"/>
      <c r="H278" s="702"/>
      <c r="I278" s="702"/>
      <c r="J278" s="702"/>
      <c r="K278" s="702"/>
      <c r="L278" s="702"/>
      <c r="M278" s="702"/>
      <c r="N278" s="702"/>
      <c r="O278" s="702"/>
      <c r="P278" s="702"/>
      <c r="Q278" s="702"/>
      <c r="R278" s="702"/>
      <c r="S278" s="702"/>
      <c r="T278" s="702"/>
      <c r="U278" s="702"/>
      <c r="V278" s="702"/>
      <c r="W278" s="702"/>
      <c r="X278" s="702"/>
      <c r="Y278" s="702"/>
      <c r="Z278" s="702"/>
      <c r="AA278" s="702"/>
      <c r="AB278" s="702"/>
      <c r="AC278" s="702"/>
    </row>
    <row r="279" ht="15.75" customHeight="1">
      <c r="A279" s="702"/>
      <c r="B279" s="702"/>
      <c r="C279" s="702"/>
      <c r="D279" s="702"/>
      <c r="E279" s="702"/>
      <c r="F279" s="702"/>
      <c r="G279" s="702"/>
      <c r="H279" s="702"/>
      <c r="I279" s="702"/>
      <c r="J279" s="702"/>
      <c r="K279" s="702"/>
      <c r="L279" s="702"/>
      <c r="M279" s="702"/>
      <c r="N279" s="702"/>
      <c r="O279" s="702"/>
      <c r="P279" s="702"/>
      <c r="Q279" s="702"/>
      <c r="R279" s="702"/>
      <c r="S279" s="702"/>
      <c r="T279" s="702"/>
      <c r="U279" s="702"/>
      <c r="V279" s="702"/>
      <c r="W279" s="702"/>
      <c r="X279" s="702"/>
      <c r="Y279" s="702"/>
      <c r="Z279" s="702"/>
      <c r="AA279" s="702"/>
      <c r="AB279" s="702"/>
      <c r="AC279" s="702"/>
    </row>
    <row r="280" ht="15.75" customHeight="1">
      <c r="A280" s="702"/>
      <c r="B280" s="702"/>
      <c r="C280" s="702"/>
      <c r="D280" s="702"/>
      <c r="E280" s="702"/>
      <c r="F280" s="702"/>
      <c r="G280" s="702"/>
      <c r="H280" s="702"/>
      <c r="I280" s="702"/>
      <c r="J280" s="702"/>
      <c r="K280" s="702"/>
      <c r="L280" s="702"/>
      <c r="M280" s="702"/>
      <c r="N280" s="702"/>
      <c r="O280" s="702"/>
      <c r="P280" s="702"/>
      <c r="Q280" s="702"/>
      <c r="R280" s="702"/>
      <c r="S280" s="702"/>
      <c r="T280" s="702"/>
      <c r="U280" s="702"/>
      <c r="V280" s="702"/>
      <c r="W280" s="702"/>
      <c r="X280" s="702"/>
      <c r="Y280" s="702"/>
      <c r="Z280" s="702"/>
      <c r="AA280" s="702"/>
      <c r="AB280" s="702"/>
      <c r="AC280" s="702"/>
    </row>
    <row r="281" ht="15.75" customHeight="1">
      <c r="A281" s="702"/>
      <c r="B281" s="702"/>
      <c r="C281" s="702"/>
      <c r="D281" s="702"/>
      <c r="E281" s="702"/>
      <c r="F281" s="702"/>
      <c r="G281" s="702"/>
      <c r="H281" s="702"/>
      <c r="I281" s="702"/>
      <c r="J281" s="702"/>
      <c r="K281" s="702"/>
      <c r="L281" s="702"/>
      <c r="M281" s="702"/>
      <c r="N281" s="702"/>
      <c r="O281" s="702"/>
      <c r="P281" s="702"/>
      <c r="Q281" s="702"/>
      <c r="R281" s="702"/>
      <c r="S281" s="702"/>
      <c r="T281" s="702"/>
      <c r="U281" s="702"/>
      <c r="V281" s="702"/>
      <c r="W281" s="702"/>
      <c r="X281" s="702"/>
      <c r="Y281" s="702"/>
      <c r="Z281" s="702"/>
      <c r="AA281" s="702"/>
      <c r="AB281" s="702"/>
      <c r="AC281" s="702"/>
    </row>
    <row r="282" ht="15.75" customHeight="1">
      <c r="A282" s="702"/>
      <c r="B282" s="702"/>
      <c r="C282" s="702"/>
      <c r="D282" s="702"/>
      <c r="E282" s="702"/>
      <c r="F282" s="702"/>
      <c r="G282" s="702"/>
      <c r="H282" s="702"/>
      <c r="I282" s="702"/>
      <c r="J282" s="702"/>
      <c r="K282" s="702"/>
      <c r="L282" s="702"/>
      <c r="M282" s="702"/>
      <c r="N282" s="702"/>
      <c r="O282" s="702"/>
      <c r="P282" s="702"/>
      <c r="Q282" s="702"/>
      <c r="R282" s="702"/>
      <c r="S282" s="702"/>
      <c r="T282" s="702"/>
      <c r="U282" s="702"/>
      <c r="V282" s="702"/>
      <c r="W282" s="702"/>
      <c r="X282" s="702"/>
      <c r="Y282" s="702"/>
      <c r="Z282" s="702"/>
      <c r="AA282" s="702"/>
      <c r="AB282" s="702"/>
      <c r="AC282" s="702"/>
    </row>
    <row r="283" ht="15.75" customHeight="1">
      <c r="A283" s="702"/>
      <c r="B283" s="702"/>
      <c r="C283" s="702"/>
      <c r="D283" s="702"/>
      <c r="E283" s="702"/>
      <c r="F283" s="702"/>
      <c r="G283" s="702"/>
      <c r="H283" s="702"/>
      <c r="I283" s="702"/>
      <c r="J283" s="702"/>
      <c r="K283" s="702"/>
      <c r="L283" s="702"/>
      <c r="M283" s="702"/>
      <c r="N283" s="702"/>
      <c r="O283" s="702"/>
      <c r="P283" s="702"/>
      <c r="Q283" s="702"/>
      <c r="R283" s="702"/>
      <c r="S283" s="702"/>
      <c r="T283" s="702"/>
      <c r="U283" s="702"/>
      <c r="V283" s="702"/>
      <c r="W283" s="702"/>
      <c r="X283" s="702"/>
      <c r="Y283" s="702"/>
      <c r="Z283" s="702"/>
      <c r="AA283" s="702"/>
      <c r="AB283" s="702"/>
      <c r="AC283" s="702"/>
    </row>
    <row r="284" ht="15.75" customHeight="1">
      <c r="A284" s="702"/>
      <c r="B284" s="702"/>
      <c r="C284" s="702"/>
      <c r="D284" s="702"/>
      <c r="E284" s="702"/>
      <c r="F284" s="702"/>
      <c r="G284" s="702"/>
      <c r="H284" s="702"/>
      <c r="I284" s="702"/>
      <c r="J284" s="702"/>
      <c r="K284" s="702"/>
      <c r="L284" s="702"/>
      <c r="M284" s="702"/>
      <c r="N284" s="702"/>
      <c r="O284" s="702"/>
      <c r="P284" s="702"/>
      <c r="Q284" s="702"/>
      <c r="R284" s="702"/>
      <c r="S284" s="702"/>
      <c r="T284" s="702"/>
      <c r="U284" s="702"/>
      <c r="V284" s="702"/>
      <c r="W284" s="702"/>
      <c r="X284" s="702"/>
      <c r="Y284" s="702"/>
      <c r="Z284" s="702"/>
      <c r="AA284" s="702"/>
      <c r="AB284" s="702"/>
      <c r="AC284" s="702"/>
    </row>
    <row r="285" ht="15.75" customHeight="1">
      <c r="A285" s="702"/>
      <c r="B285" s="702"/>
      <c r="C285" s="702"/>
      <c r="D285" s="702"/>
      <c r="E285" s="702"/>
      <c r="F285" s="702"/>
      <c r="G285" s="702"/>
      <c r="H285" s="702"/>
      <c r="I285" s="702"/>
      <c r="J285" s="702"/>
      <c r="K285" s="702"/>
      <c r="L285" s="702"/>
      <c r="M285" s="702"/>
      <c r="N285" s="702"/>
      <c r="O285" s="702"/>
      <c r="P285" s="702"/>
      <c r="Q285" s="702"/>
      <c r="R285" s="702"/>
      <c r="S285" s="702"/>
      <c r="T285" s="702"/>
      <c r="U285" s="702"/>
      <c r="V285" s="702"/>
      <c r="W285" s="702"/>
      <c r="X285" s="702"/>
      <c r="Y285" s="702"/>
      <c r="Z285" s="702"/>
      <c r="AA285" s="702"/>
      <c r="AB285" s="702"/>
      <c r="AC285" s="702"/>
    </row>
    <row r="286" ht="15.75" customHeight="1">
      <c r="A286" s="702"/>
      <c r="B286" s="702"/>
      <c r="C286" s="702"/>
      <c r="D286" s="702"/>
      <c r="E286" s="702"/>
      <c r="F286" s="702"/>
      <c r="G286" s="702"/>
      <c r="H286" s="702"/>
      <c r="I286" s="702"/>
      <c r="J286" s="702"/>
      <c r="K286" s="702"/>
      <c r="L286" s="702"/>
      <c r="M286" s="702"/>
      <c r="N286" s="702"/>
      <c r="O286" s="702"/>
      <c r="P286" s="702"/>
      <c r="Q286" s="702"/>
      <c r="R286" s="702"/>
      <c r="S286" s="702"/>
      <c r="T286" s="702"/>
      <c r="U286" s="702"/>
      <c r="V286" s="702"/>
      <c r="W286" s="702"/>
      <c r="X286" s="702"/>
      <c r="Y286" s="702"/>
      <c r="Z286" s="702"/>
      <c r="AA286" s="702"/>
      <c r="AB286" s="702"/>
      <c r="AC286" s="702"/>
    </row>
    <row r="287" ht="15.75" customHeight="1">
      <c r="A287" s="702"/>
      <c r="B287" s="702"/>
      <c r="C287" s="702"/>
      <c r="D287" s="702"/>
      <c r="E287" s="702"/>
      <c r="F287" s="702"/>
      <c r="G287" s="702"/>
      <c r="H287" s="702"/>
      <c r="I287" s="702"/>
      <c r="J287" s="702"/>
      <c r="K287" s="702"/>
      <c r="L287" s="702"/>
      <c r="M287" s="702"/>
      <c r="N287" s="702"/>
      <c r="O287" s="702"/>
      <c r="P287" s="702"/>
      <c r="Q287" s="702"/>
      <c r="R287" s="702"/>
      <c r="S287" s="702"/>
      <c r="T287" s="702"/>
      <c r="U287" s="702"/>
      <c r="V287" s="702"/>
      <c r="W287" s="702"/>
      <c r="X287" s="702"/>
      <c r="Y287" s="702"/>
      <c r="Z287" s="702"/>
      <c r="AA287" s="702"/>
      <c r="AB287" s="702"/>
      <c r="AC287" s="702"/>
    </row>
    <row r="288" ht="15.75" customHeight="1">
      <c r="A288" s="702"/>
      <c r="B288" s="702"/>
      <c r="C288" s="702"/>
      <c r="D288" s="702"/>
      <c r="E288" s="702"/>
      <c r="F288" s="702"/>
      <c r="G288" s="702"/>
      <c r="H288" s="702"/>
      <c r="I288" s="702"/>
      <c r="J288" s="702"/>
      <c r="K288" s="702"/>
      <c r="L288" s="702"/>
      <c r="M288" s="702"/>
      <c r="N288" s="702"/>
      <c r="O288" s="702"/>
      <c r="P288" s="702"/>
      <c r="Q288" s="702"/>
      <c r="R288" s="702"/>
      <c r="S288" s="702"/>
      <c r="T288" s="702"/>
      <c r="U288" s="702"/>
      <c r="V288" s="702"/>
      <c r="W288" s="702"/>
      <c r="X288" s="702"/>
      <c r="Y288" s="702"/>
      <c r="Z288" s="702"/>
      <c r="AA288" s="702"/>
      <c r="AB288" s="702"/>
      <c r="AC288" s="702"/>
    </row>
    <row r="289" ht="15.75" customHeight="1">
      <c r="A289" s="702"/>
      <c r="B289" s="702"/>
      <c r="C289" s="702"/>
      <c r="D289" s="702"/>
      <c r="E289" s="702"/>
      <c r="F289" s="702"/>
      <c r="G289" s="702"/>
      <c r="H289" s="702"/>
      <c r="I289" s="702"/>
      <c r="J289" s="702"/>
      <c r="K289" s="702"/>
      <c r="L289" s="702"/>
      <c r="M289" s="702"/>
      <c r="N289" s="702"/>
      <c r="O289" s="702"/>
      <c r="P289" s="702"/>
      <c r="Q289" s="702"/>
      <c r="R289" s="702"/>
      <c r="S289" s="702"/>
      <c r="T289" s="702"/>
      <c r="U289" s="702"/>
      <c r="V289" s="702"/>
      <c r="W289" s="702"/>
      <c r="X289" s="702"/>
      <c r="Y289" s="702"/>
      <c r="Z289" s="702"/>
      <c r="AA289" s="702"/>
      <c r="AB289" s="702"/>
      <c r="AC289" s="702"/>
    </row>
    <row r="290" ht="15.75" customHeight="1">
      <c r="A290" s="702"/>
      <c r="B290" s="702"/>
      <c r="C290" s="702"/>
      <c r="D290" s="702"/>
      <c r="E290" s="702"/>
      <c r="F290" s="702"/>
      <c r="G290" s="702"/>
      <c r="H290" s="702"/>
      <c r="I290" s="702"/>
      <c r="J290" s="702"/>
      <c r="K290" s="702"/>
      <c r="L290" s="702"/>
      <c r="M290" s="702"/>
      <c r="N290" s="702"/>
      <c r="O290" s="702"/>
      <c r="P290" s="702"/>
      <c r="Q290" s="702"/>
      <c r="R290" s="702"/>
      <c r="S290" s="702"/>
      <c r="T290" s="702"/>
      <c r="U290" s="702"/>
      <c r="V290" s="702"/>
      <c r="W290" s="702"/>
      <c r="X290" s="702"/>
      <c r="Y290" s="702"/>
      <c r="Z290" s="702"/>
      <c r="AA290" s="702"/>
      <c r="AB290" s="702"/>
      <c r="AC290" s="702"/>
    </row>
    <row r="291" ht="15.75" customHeight="1">
      <c r="A291" s="702"/>
      <c r="B291" s="702"/>
      <c r="C291" s="702"/>
      <c r="D291" s="702"/>
      <c r="E291" s="702"/>
      <c r="F291" s="702"/>
      <c r="G291" s="702"/>
      <c r="H291" s="702"/>
      <c r="I291" s="702"/>
      <c r="J291" s="702"/>
      <c r="K291" s="702"/>
      <c r="L291" s="702"/>
      <c r="M291" s="702"/>
      <c r="N291" s="702"/>
      <c r="O291" s="702"/>
      <c r="P291" s="702"/>
      <c r="Q291" s="702"/>
      <c r="R291" s="702"/>
      <c r="S291" s="702"/>
      <c r="T291" s="702"/>
      <c r="U291" s="702"/>
      <c r="V291" s="702"/>
      <c r="W291" s="702"/>
      <c r="X291" s="702"/>
      <c r="Y291" s="702"/>
      <c r="Z291" s="702"/>
      <c r="AA291" s="702"/>
      <c r="AB291" s="702"/>
      <c r="AC291" s="702"/>
    </row>
    <row r="292" ht="15.75" customHeight="1">
      <c r="A292" s="702"/>
      <c r="B292" s="702"/>
      <c r="C292" s="702"/>
      <c r="D292" s="702"/>
      <c r="E292" s="702"/>
      <c r="F292" s="702"/>
      <c r="G292" s="702"/>
      <c r="H292" s="702"/>
      <c r="I292" s="702"/>
      <c r="J292" s="702"/>
      <c r="K292" s="702"/>
      <c r="L292" s="702"/>
      <c r="M292" s="702"/>
      <c r="N292" s="702"/>
      <c r="O292" s="702"/>
      <c r="P292" s="702"/>
      <c r="Q292" s="702"/>
      <c r="R292" s="702"/>
      <c r="S292" s="702"/>
      <c r="T292" s="702"/>
      <c r="U292" s="702"/>
      <c r="V292" s="702"/>
      <c r="W292" s="702"/>
      <c r="X292" s="702"/>
      <c r="Y292" s="702"/>
      <c r="Z292" s="702"/>
      <c r="AA292" s="702"/>
      <c r="AB292" s="702"/>
      <c r="AC292" s="702"/>
    </row>
    <row r="293" ht="15.75" customHeight="1">
      <c r="A293" s="702"/>
      <c r="B293" s="702"/>
      <c r="C293" s="702"/>
      <c r="D293" s="702"/>
      <c r="E293" s="702"/>
      <c r="F293" s="702"/>
      <c r="G293" s="702"/>
      <c r="H293" s="702"/>
      <c r="I293" s="702"/>
      <c r="J293" s="702"/>
      <c r="K293" s="702"/>
      <c r="L293" s="702"/>
      <c r="M293" s="702"/>
      <c r="N293" s="702"/>
      <c r="O293" s="702"/>
      <c r="P293" s="702"/>
      <c r="Q293" s="702"/>
      <c r="R293" s="702"/>
      <c r="S293" s="702"/>
      <c r="T293" s="702"/>
      <c r="U293" s="702"/>
      <c r="V293" s="702"/>
      <c r="W293" s="702"/>
      <c r="X293" s="702"/>
      <c r="Y293" s="702"/>
      <c r="Z293" s="702"/>
      <c r="AA293" s="702"/>
      <c r="AB293" s="702"/>
      <c r="AC293" s="702"/>
    </row>
    <row r="294" ht="15.75" customHeight="1">
      <c r="A294" s="702"/>
      <c r="B294" s="702"/>
      <c r="C294" s="702"/>
      <c r="D294" s="702"/>
      <c r="E294" s="702"/>
      <c r="F294" s="702"/>
      <c r="G294" s="702"/>
      <c r="H294" s="702"/>
      <c r="I294" s="702"/>
      <c r="J294" s="702"/>
      <c r="K294" s="702"/>
      <c r="L294" s="702"/>
      <c r="M294" s="702"/>
      <c r="N294" s="702"/>
      <c r="O294" s="702"/>
      <c r="P294" s="702"/>
      <c r="Q294" s="702"/>
      <c r="R294" s="702"/>
      <c r="S294" s="702"/>
      <c r="T294" s="702"/>
      <c r="U294" s="702"/>
      <c r="V294" s="702"/>
      <c r="W294" s="702"/>
      <c r="X294" s="702"/>
      <c r="Y294" s="702"/>
      <c r="Z294" s="702"/>
      <c r="AA294" s="702"/>
      <c r="AB294" s="702"/>
      <c r="AC294" s="702"/>
    </row>
    <row r="295" ht="15.75" customHeight="1">
      <c r="A295" s="702"/>
      <c r="B295" s="702"/>
      <c r="C295" s="702"/>
      <c r="D295" s="702"/>
      <c r="E295" s="702"/>
      <c r="F295" s="702"/>
      <c r="G295" s="702"/>
      <c r="H295" s="702"/>
      <c r="I295" s="702"/>
      <c r="J295" s="702"/>
      <c r="K295" s="702"/>
      <c r="L295" s="702"/>
      <c r="M295" s="702"/>
      <c r="N295" s="702"/>
      <c r="O295" s="702"/>
      <c r="P295" s="702"/>
      <c r="Q295" s="702"/>
      <c r="R295" s="702"/>
      <c r="S295" s="702"/>
      <c r="T295" s="702"/>
      <c r="U295" s="702"/>
      <c r="V295" s="702"/>
      <c r="W295" s="702"/>
      <c r="X295" s="702"/>
      <c r="Y295" s="702"/>
      <c r="Z295" s="702"/>
      <c r="AA295" s="702"/>
      <c r="AB295" s="702"/>
      <c r="AC295" s="702"/>
    </row>
    <row r="296" ht="15.75" customHeight="1">
      <c r="A296" s="702"/>
      <c r="B296" s="702"/>
      <c r="C296" s="702"/>
      <c r="D296" s="702"/>
      <c r="E296" s="702"/>
      <c r="F296" s="702"/>
      <c r="G296" s="702"/>
      <c r="H296" s="702"/>
      <c r="I296" s="702"/>
      <c r="J296" s="702"/>
      <c r="K296" s="702"/>
      <c r="L296" s="702"/>
      <c r="M296" s="702"/>
      <c r="N296" s="702"/>
      <c r="O296" s="702"/>
      <c r="P296" s="702"/>
      <c r="Q296" s="702"/>
      <c r="R296" s="702"/>
      <c r="S296" s="702"/>
      <c r="T296" s="702"/>
      <c r="U296" s="702"/>
      <c r="V296" s="702"/>
      <c r="W296" s="702"/>
      <c r="X296" s="702"/>
      <c r="Y296" s="702"/>
      <c r="Z296" s="702"/>
      <c r="AA296" s="702"/>
      <c r="AB296" s="702"/>
      <c r="AC296" s="702"/>
    </row>
    <row r="297" ht="15.75" customHeight="1">
      <c r="A297" s="702"/>
      <c r="B297" s="702"/>
      <c r="C297" s="702"/>
      <c r="D297" s="702"/>
      <c r="E297" s="702"/>
      <c r="F297" s="702"/>
      <c r="G297" s="702"/>
      <c r="H297" s="702"/>
      <c r="I297" s="702"/>
      <c r="J297" s="702"/>
      <c r="K297" s="702"/>
      <c r="L297" s="702"/>
      <c r="M297" s="702"/>
      <c r="N297" s="702"/>
      <c r="O297" s="702"/>
      <c r="P297" s="702"/>
      <c r="Q297" s="702"/>
      <c r="R297" s="702"/>
      <c r="S297" s="702"/>
      <c r="T297" s="702"/>
      <c r="U297" s="702"/>
      <c r="V297" s="702"/>
      <c r="W297" s="702"/>
      <c r="X297" s="702"/>
      <c r="Y297" s="702"/>
      <c r="Z297" s="702"/>
      <c r="AA297" s="702"/>
      <c r="AB297" s="702"/>
      <c r="AC297" s="702"/>
    </row>
    <row r="298" ht="15.75" customHeight="1">
      <c r="A298" s="702"/>
      <c r="B298" s="702"/>
      <c r="C298" s="702"/>
      <c r="D298" s="702"/>
      <c r="E298" s="702"/>
      <c r="F298" s="702"/>
      <c r="G298" s="702"/>
      <c r="H298" s="702"/>
      <c r="I298" s="702"/>
      <c r="J298" s="702"/>
      <c r="K298" s="702"/>
      <c r="L298" s="702"/>
      <c r="M298" s="702"/>
      <c r="N298" s="702"/>
      <c r="O298" s="702"/>
      <c r="P298" s="702"/>
      <c r="Q298" s="702"/>
      <c r="R298" s="702"/>
      <c r="S298" s="702"/>
      <c r="T298" s="702"/>
      <c r="U298" s="702"/>
      <c r="V298" s="702"/>
      <c r="W298" s="702"/>
      <c r="X298" s="702"/>
      <c r="Y298" s="702"/>
      <c r="Z298" s="702"/>
      <c r="AA298" s="702"/>
      <c r="AB298" s="702"/>
      <c r="AC298" s="702"/>
    </row>
    <row r="299" ht="15.75" customHeight="1">
      <c r="A299" s="702"/>
      <c r="B299" s="702"/>
      <c r="C299" s="702"/>
      <c r="D299" s="702"/>
      <c r="E299" s="702"/>
      <c r="F299" s="702"/>
      <c r="G299" s="702"/>
      <c r="H299" s="702"/>
      <c r="I299" s="702"/>
      <c r="J299" s="702"/>
      <c r="K299" s="702"/>
      <c r="L299" s="702"/>
      <c r="M299" s="702"/>
      <c r="N299" s="702"/>
      <c r="O299" s="702"/>
      <c r="P299" s="702"/>
      <c r="Q299" s="702"/>
      <c r="R299" s="702"/>
      <c r="S299" s="702"/>
      <c r="T299" s="702"/>
      <c r="U299" s="702"/>
      <c r="V299" s="702"/>
      <c r="W299" s="702"/>
      <c r="X299" s="702"/>
      <c r="Y299" s="702"/>
      <c r="Z299" s="702"/>
      <c r="AA299" s="702"/>
      <c r="AB299" s="702"/>
      <c r="AC299" s="702"/>
    </row>
    <row r="300" ht="15.75" customHeight="1">
      <c r="A300" s="702"/>
      <c r="B300" s="702"/>
      <c r="C300" s="702"/>
      <c r="D300" s="702"/>
      <c r="E300" s="702"/>
      <c r="F300" s="702"/>
      <c r="G300" s="702"/>
      <c r="H300" s="702"/>
      <c r="I300" s="702"/>
      <c r="J300" s="702"/>
      <c r="K300" s="702"/>
      <c r="L300" s="702"/>
      <c r="M300" s="702"/>
      <c r="N300" s="702"/>
      <c r="O300" s="702"/>
      <c r="P300" s="702"/>
      <c r="Q300" s="702"/>
      <c r="R300" s="702"/>
      <c r="S300" s="702"/>
      <c r="T300" s="702"/>
      <c r="U300" s="702"/>
      <c r="V300" s="702"/>
      <c r="W300" s="702"/>
      <c r="X300" s="702"/>
      <c r="Y300" s="702"/>
      <c r="Z300" s="702"/>
      <c r="AA300" s="702"/>
      <c r="AB300" s="702"/>
      <c r="AC300" s="702"/>
    </row>
    <row r="301" ht="15.75" customHeight="1">
      <c r="A301" s="702"/>
      <c r="B301" s="702"/>
      <c r="C301" s="702"/>
      <c r="D301" s="702"/>
      <c r="E301" s="702"/>
      <c r="F301" s="702"/>
      <c r="G301" s="702"/>
      <c r="H301" s="702"/>
      <c r="I301" s="702"/>
      <c r="J301" s="702"/>
      <c r="K301" s="702"/>
      <c r="L301" s="702"/>
      <c r="M301" s="702"/>
      <c r="N301" s="702"/>
      <c r="O301" s="702"/>
      <c r="P301" s="702"/>
      <c r="Q301" s="702"/>
      <c r="R301" s="702"/>
      <c r="S301" s="702"/>
      <c r="T301" s="702"/>
      <c r="U301" s="702"/>
      <c r="V301" s="702"/>
      <c r="W301" s="702"/>
      <c r="X301" s="702"/>
      <c r="Y301" s="702"/>
      <c r="Z301" s="702"/>
      <c r="AA301" s="702"/>
      <c r="AB301" s="702"/>
      <c r="AC301" s="702"/>
    </row>
    <row r="302" ht="15.75" customHeight="1">
      <c r="A302" s="702"/>
      <c r="B302" s="702"/>
      <c r="C302" s="702"/>
      <c r="D302" s="702"/>
      <c r="E302" s="702"/>
      <c r="F302" s="702"/>
      <c r="G302" s="702"/>
      <c r="H302" s="702"/>
      <c r="I302" s="702"/>
      <c r="J302" s="702"/>
      <c r="K302" s="702"/>
      <c r="L302" s="702"/>
      <c r="M302" s="702"/>
      <c r="N302" s="702"/>
      <c r="O302" s="702"/>
      <c r="P302" s="702"/>
      <c r="Q302" s="702"/>
      <c r="R302" s="702"/>
      <c r="S302" s="702"/>
      <c r="T302" s="702"/>
      <c r="U302" s="702"/>
      <c r="V302" s="702"/>
      <c r="W302" s="702"/>
      <c r="X302" s="702"/>
      <c r="Y302" s="702"/>
      <c r="Z302" s="702"/>
      <c r="AA302" s="702"/>
      <c r="AB302" s="702"/>
      <c r="AC302" s="702"/>
    </row>
    <row r="303" ht="15.75" customHeight="1">
      <c r="A303" s="702"/>
      <c r="B303" s="702"/>
      <c r="C303" s="702"/>
      <c r="D303" s="702"/>
      <c r="E303" s="702"/>
      <c r="F303" s="702"/>
      <c r="G303" s="702"/>
      <c r="H303" s="702"/>
      <c r="I303" s="702"/>
      <c r="J303" s="702"/>
      <c r="K303" s="702"/>
      <c r="L303" s="702"/>
      <c r="M303" s="702"/>
      <c r="N303" s="702"/>
      <c r="O303" s="702"/>
      <c r="P303" s="702"/>
      <c r="Q303" s="702"/>
      <c r="R303" s="702"/>
      <c r="S303" s="702"/>
      <c r="T303" s="702"/>
      <c r="U303" s="702"/>
      <c r="V303" s="702"/>
      <c r="W303" s="702"/>
      <c r="X303" s="702"/>
      <c r="Y303" s="702"/>
      <c r="Z303" s="702"/>
      <c r="AA303" s="702"/>
      <c r="AB303" s="702"/>
      <c r="AC303" s="702"/>
    </row>
    <row r="304" ht="15.75" customHeight="1">
      <c r="A304" s="702"/>
      <c r="B304" s="702"/>
      <c r="C304" s="702"/>
      <c r="D304" s="702"/>
      <c r="E304" s="702"/>
      <c r="F304" s="702"/>
      <c r="G304" s="702"/>
      <c r="H304" s="702"/>
      <c r="I304" s="702"/>
      <c r="J304" s="702"/>
      <c r="K304" s="702"/>
      <c r="L304" s="702"/>
      <c r="M304" s="702"/>
      <c r="N304" s="702"/>
      <c r="O304" s="702"/>
      <c r="P304" s="702"/>
      <c r="Q304" s="702"/>
      <c r="R304" s="702"/>
      <c r="S304" s="702"/>
      <c r="T304" s="702"/>
      <c r="U304" s="702"/>
      <c r="V304" s="702"/>
      <c r="W304" s="702"/>
      <c r="X304" s="702"/>
      <c r="Y304" s="702"/>
      <c r="Z304" s="702"/>
      <c r="AA304" s="702"/>
      <c r="AB304" s="702"/>
      <c r="AC304" s="702"/>
    </row>
    <row r="305" ht="15.75" customHeight="1">
      <c r="A305" s="702"/>
      <c r="B305" s="702"/>
      <c r="C305" s="702"/>
      <c r="D305" s="702"/>
      <c r="E305" s="702"/>
      <c r="F305" s="702"/>
      <c r="G305" s="702"/>
      <c r="H305" s="702"/>
      <c r="I305" s="702"/>
      <c r="J305" s="702"/>
      <c r="K305" s="702"/>
      <c r="L305" s="702"/>
      <c r="M305" s="702"/>
      <c r="N305" s="702"/>
      <c r="O305" s="702"/>
      <c r="P305" s="702"/>
      <c r="Q305" s="702"/>
      <c r="R305" s="702"/>
      <c r="S305" s="702"/>
      <c r="T305" s="702"/>
      <c r="U305" s="702"/>
      <c r="V305" s="702"/>
      <c r="W305" s="702"/>
      <c r="X305" s="702"/>
      <c r="Y305" s="702"/>
      <c r="Z305" s="702"/>
      <c r="AA305" s="702"/>
      <c r="AB305" s="702"/>
      <c r="AC305" s="702"/>
    </row>
    <row r="306" ht="15.75" customHeight="1">
      <c r="A306" s="702"/>
      <c r="B306" s="702"/>
      <c r="C306" s="702"/>
      <c r="D306" s="702"/>
      <c r="E306" s="702"/>
      <c r="F306" s="702"/>
      <c r="G306" s="702"/>
      <c r="H306" s="702"/>
      <c r="I306" s="702"/>
      <c r="J306" s="702"/>
      <c r="K306" s="702"/>
      <c r="L306" s="702"/>
      <c r="M306" s="702"/>
      <c r="N306" s="702"/>
      <c r="O306" s="702"/>
      <c r="P306" s="702"/>
      <c r="Q306" s="702"/>
      <c r="R306" s="702"/>
      <c r="S306" s="702"/>
      <c r="T306" s="702"/>
      <c r="U306" s="702"/>
      <c r="V306" s="702"/>
      <c r="W306" s="702"/>
      <c r="X306" s="702"/>
      <c r="Y306" s="702"/>
      <c r="Z306" s="702"/>
      <c r="AA306" s="702"/>
      <c r="AB306" s="702"/>
      <c r="AC306" s="702"/>
    </row>
    <row r="307" ht="15.75" customHeight="1">
      <c r="A307" s="702"/>
      <c r="B307" s="702"/>
      <c r="C307" s="702"/>
      <c r="D307" s="702"/>
      <c r="E307" s="702"/>
      <c r="F307" s="702"/>
      <c r="G307" s="702"/>
      <c r="H307" s="702"/>
      <c r="I307" s="702"/>
      <c r="J307" s="702"/>
      <c r="K307" s="702"/>
      <c r="L307" s="702"/>
      <c r="M307" s="702"/>
      <c r="N307" s="702"/>
      <c r="O307" s="702"/>
      <c r="P307" s="702"/>
      <c r="Q307" s="702"/>
      <c r="R307" s="702"/>
      <c r="S307" s="702"/>
      <c r="T307" s="702"/>
      <c r="U307" s="702"/>
      <c r="V307" s="702"/>
      <c r="W307" s="702"/>
      <c r="X307" s="702"/>
      <c r="Y307" s="702"/>
      <c r="Z307" s="702"/>
      <c r="AA307" s="702"/>
      <c r="AB307" s="702"/>
      <c r="AC307" s="702"/>
    </row>
    <row r="308" ht="15.75" customHeight="1">
      <c r="A308" s="702"/>
      <c r="B308" s="702"/>
      <c r="C308" s="702"/>
      <c r="D308" s="702"/>
      <c r="E308" s="702"/>
      <c r="F308" s="702"/>
      <c r="G308" s="702"/>
      <c r="H308" s="702"/>
      <c r="I308" s="702"/>
      <c r="J308" s="702"/>
      <c r="K308" s="702"/>
      <c r="L308" s="702"/>
      <c r="M308" s="702"/>
      <c r="N308" s="702"/>
      <c r="O308" s="702"/>
      <c r="P308" s="702"/>
      <c r="Q308" s="702"/>
      <c r="R308" s="702"/>
      <c r="S308" s="702"/>
      <c r="T308" s="702"/>
      <c r="U308" s="702"/>
      <c r="V308" s="702"/>
      <c r="W308" s="702"/>
      <c r="X308" s="702"/>
      <c r="Y308" s="702"/>
      <c r="Z308" s="702"/>
      <c r="AA308" s="702"/>
      <c r="AB308" s="702"/>
      <c r="AC308" s="702"/>
    </row>
    <row r="309" ht="15.75" customHeight="1">
      <c r="A309" s="702"/>
      <c r="B309" s="702"/>
      <c r="C309" s="702"/>
      <c r="D309" s="702"/>
      <c r="E309" s="702"/>
      <c r="F309" s="702"/>
      <c r="G309" s="702"/>
      <c r="H309" s="702"/>
      <c r="I309" s="702"/>
      <c r="J309" s="702"/>
      <c r="K309" s="702"/>
      <c r="L309" s="702"/>
      <c r="M309" s="702"/>
      <c r="N309" s="702"/>
      <c r="O309" s="702"/>
      <c r="P309" s="702"/>
      <c r="Q309" s="702"/>
      <c r="R309" s="702"/>
      <c r="S309" s="702"/>
      <c r="T309" s="702"/>
      <c r="U309" s="702"/>
      <c r="V309" s="702"/>
      <c r="W309" s="702"/>
      <c r="X309" s="702"/>
      <c r="Y309" s="702"/>
      <c r="Z309" s="702"/>
      <c r="AA309" s="702"/>
      <c r="AB309" s="702"/>
      <c r="AC309" s="702"/>
    </row>
    <row r="310" ht="15.75" customHeight="1">
      <c r="A310" s="702"/>
      <c r="B310" s="702"/>
      <c r="C310" s="702"/>
      <c r="D310" s="702"/>
      <c r="E310" s="702"/>
      <c r="F310" s="702"/>
      <c r="G310" s="702"/>
      <c r="H310" s="702"/>
      <c r="I310" s="702"/>
      <c r="J310" s="702"/>
      <c r="K310" s="702"/>
      <c r="L310" s="702"/>
      <c r="M310" s="702"/>
      <c r="N310" s="702"/>
      <c r="O310" s="702"/>
      <c r="P310" s="702"/>
      <c r="Q310" s="702"/>
      <c r="R310" s="702"/>
      <c r="S310" s="702"/>
      <c r="T310" s="702"/>
      <c r="U310" s="702"/>
      <c r="V310" s="702"/>
      <c r="W310" s="702"/>
      <c r="X310" s="702"/>
      <c r="Y310" s="702"/>
      <c r="Z310" s="702"/>
      <c r="AA310" s="702"/>
      <c r="AB310" s="702"/>
      <c r="AC310" s="702"/>
    </row>
    <row r="311" ht="15.75" customHeight="1">
      <c r="A311" s="702"/>
      <c r="B311" s="702"/>
      <c r="C311" s="702"/>
      <c r="D311" s="702"/>
      <c r="E311" s="702"/>
      <c r="F311" s="702"/>
      <c r="G311" s="702"/>
      <c r="H311" s="702"/>
      <c r="I311" s="702"/>
      <c r="J311" s="702"/>
      <c r="K311" s="702"/>
      <c r="L311" s="702"/>
      <c r="M311" s="702"/>
      <c r="N311" s="702"/>
      <c r="O311" s="702"/>
      <c r="P311" s="702"/>
      <c r="Q311" s="702"/>
      <c r="R311" s="702"/>
      <c r="S311" s="702"/>
      <c r="T311" s="702"/>
      <c r="U311" s="702"/>
      <c r="V311" s="702"/>
      <c r="W311" s="702"/>
      <c r="X311" s="702"/>
      <c r="Y311" s="702"/>
      <c r="Z311" s="702"/>
      <c r="AA311" s="702"/>
      <c r="AB311" s="702"/>
      <c r="AC311" s="702"/>
    </row>
    <row r="312" ht="15.75" customHeight="1">
      <c r="A312" s="702"/>
      <c r="B312" s="702"/>
      <c r="C312" s="702"/>
      <c r="D312" s="702"/>
      <c r="E312" s="702"/>
      <c r="F312" s="702"/>
      <c r="G312" s="702"/>
      <c r="H312" s="702"/>
      <c r="I312" s="702"/>
      <c r="J312" s="702"/>
      <c r="K312" s="702"/>
      <c r="L312" s="702"/>
      <c r="M312" s="702"/>
      <c r="N312" s="702"/>
      <c r="O312" s="702"/>
      <c r="P312" s="702"/>
      <c r="Q312" s="702"/>
      <c r="R312" s="702"/>
      <c r="S312" s="702"/>
      <c r="T312" s="702"/>
      <c r="U312" s="702"/>
      <c r="V312" s="702"/>
      <c r="W312" s="702"/>
      <c r="X312" s="702"/>
      <c r="Y312" s="702"/>
      <c r="Z312" s="702"/>
      <c r="AA312" s="702"/>
      <c r="AB312" s="702"/>
      <c r="AC312" s="702"/>
    </row>
    <row r="313" ht="15.75" customHeight="1">
      <c r="A313" s="702"/>
      <c r="B313" s="702"/>
      <c r="C313" s="702"/>
      <c r="D313" s="702"/>
      <c r="E313" s="702"/>
      <c r="F313" s="702"/>
      <c r="G313" s="702"/>
      <c r="H313" s="702"/>
      <c r="I313" s="702"/>
      <c r="J313" s="702"/>
      <c r="K313" s="702"/>
      <c r="L313" s="702"/>
      <c r="M313" s="702"/>
      <c r="N313" s="702"/>
      <c r="O313" s="702"/>
      <c r="P313" s="702"/>
      <c r="Q313" s="702"/>
      <c r="R313" s="702"/>
      <c r="S313" s="702"/>
      <c r="T313" s="702"/>
      <c r="U313" s="702"/>
      <c r="V313" s="702"/>
      <c r="W313" s="702"/>
      <c r="X313" s="702"/>
      <c r="Y313" s="702"/>
      <c r="Z313" s="702"/>
      <c r="AA313" s="702"/>
      <c r="AB313" s="702"/>
      <c r="AC313" s="702"/>
    </row>
    <row r="314" ht="15.75" customHeight="1">
      <c r="A314" s="702"/>
      <c r="B314" s="702"/>
      <c r="C314" s="702"/>
      <c r="D314" s="702"/>
      <c r="E314" s="702"/>
      <c r="F314" s="702"/>
      <c r="G314" s="702"/>
      <c r="H314" s="702"/>
      <c r="I314" s="702"/>
      <c r="J314" s="702"/>
      <c r="K314" s="702"/>
      <c r="L314" s="702"/>
      <c r="M314" s="702"/>
      <c r="N314" s="702"/>
      <c r="O314" s="702"/>
      <c r="P314" s="702"/>
      <c r="Q314" s="702"/>
      <c r="R314" s="702"/>
      <c r="S314" s="702"/>
      <c r="T314" s="702"/>
      <c r="U314" s="702"/>
      <c r="V314" s="702"/>
      <c r="W314" s="702"/>
      <c r="X314" s="702"/>
      <c r="Y314" s="702"/>
      <c r="Z314" s="702"/>
      <c r="AA314" s="702"/>
      <c r="AB314" s="702"/>
      <c r="AC314" s="702"/>
    </row>
    <row r="315" ht="15.75" customHeight="1">
      <c r="A315" s="702"/>
      <c r="B315" s="702"/>
      <c r="C315" s="702"/>
      <c r="D315" s="702"/>
      <c r="E315" s="702"/>
      <c r="F315" s="702"/>
      <c r="G315" s="702"/>
      <c r="H315" s="702"/>
      <c r="I315" s="702"/>
      <c r="J315" s="702"/>
      <c r="K315" s="702"/>
      <c r="L315" s="702"/>
      <c r="M315" s="702"/>
      <c r="N315" s="702"/>
      <c r="O315" s="702"/>
      <c r="P315" s="702"/>
      <c r="Q315" s="702"/>
      <c r="R315" s="702"/>
      <c r="S315" s="702"/>
      <c r="T315" s="702"/>
      <c r="U315" s="702"/>
      <c r="V315" s="702"/>
      <c r="W315" s="702"/>
      <c r="X315" s="702"/>
      <c r="Y315" s="702"/>
      <c r="Z315" s="702"/>
      <c r="AA315" s="702"/>
      <c r="AB315" s="702"/>
      <c r="AC315" s="702"/>
    </row>
    <row r="316" ht="15.75" customHeight="1">
      <c r="A316" s="702"/>
      <c r="B316" s="702"/>
      <c r="C316" s="702"/>
      <c r="D316" s="702"/>
      <c r="E316" s="702"/>
      <c r="F316" s="702"/>
      <c r="G316" s="702"/>
      <c r="H316" s="702"/>
      <c r="I316" s="702"/>
      <c r="J316" s="702"/>
      <c r="K316" s="702"/>
      <c r="L316" s="702"/>
      <c r="M316" s="702"/>
      <c r="N316" s="702"/>
      <c r="O316" s="702"/>
      <c r="P316" s="702"/>
      <c r="Q316" s="702"/>
      <c r="R316" s="702"/>
      <c r="S316" s="702"/>
      <c r="T316" s="702"/>
      <c r="U316" s="702"/>
      <c r="V316" s="702"/>
      <c r="W316" s="702"/>
      <c r="X316" s="702"/>
      <c r="Y316" s="702"/>
      <c r="Z316" s="702"/>
      <c r="AA316" s="702"/>
      <c r="AB316" s="702"/>
      <c r="AC316" s="702"/>
    </row>
    <row r="317" ht="15.75" customHeight="1">
      <c r="A317" s="702"/>
      <c r="B317" s="702"/>
      <c r="C317" s="702"/>
      <c r="D317" s="702"/>
      <c r="E317" s="702"/>
      <c r="F317" s="702"/>
      <c r="G317" s="702"/>
      <c r="H317" s="702"/>
      <c r="I317" s="702"/>
      <c r="J317" s="702"/>
      <c r="K317" s="702"/>
      <c r="L317" s="702"/>
      <c r="M317" s="702"/>
      <c r="N317" s="702"/>
      <c r="O317" s="702"/>
      <c r="P317" s="702"/>
      <c r="Q317" s="702"/>
      <c r="R317" s="702"/>
      <c r="S317" s="702"/>
      <c r="T317" s="702"/>
      <c r="U317" s="702"/>
      <c r="V317" s="702"/>
      <c r="W317" s="702"/>
      <c r="X317" s="702"/>
      <c r="Y317" s="702"/>
      <c r="Z317" s="702"/>
      <c r="AA317" s="702"/>
      <c r="AB317" s="702"/>
      <c r="AC317" s="702"/>
    </row>
    <row r="318" ht="15.75" customHeight="1">
      <c r="A318" s="702"/>
      <c r="B318" s="702"/>
      <c r="C318" s="702"/>
      <c r="D318" s="702"/>
      <c r="E318" s="702"/>
      <c r="F318" s="702"/>
      <c r="G318" s="702"/>
      <c r="H318" s="702"/>
      <c r="I318" s="702"/>
      <c r="J318" s="702"/>
      <c r="K318" s="702"/>
      <c r="L318" s="702"/>
      <c r="M318" s="702"/>
      <c r="N318" s="702"/>
      <c r="O318" s="702"/>
      <c r="P318" s="702"/>
      <c r="Q318" s="702"/>
      <c r="R318" s="702"/>
      <c r="S318" s="702"/>
      <c r="T318" s="702"/>
      <c r="U318" s="702"/>
      <c r="V318" s="702"/>
      <c r="W318" s="702"/>
      <c r="X318" s="702"/>
      <c r="Y318" s="702"/>
      <c r="Z318" s="702"/>
      <c r="AA318" s="702"/>
      <c r="AB318" s="702"/>
      <c r="AC318" s="702"/>
    </row>
    <row r="319" ht="15.75" customHeight="1">
      <c r="A319" s="702"/>
      <c r="B319" s="702"/>
      <c r="C319" s="702"/>
      <c r="D319" s="702"/>
      <c r="E319" s="702"/>
      <c r="F319" s="702"/>
      <c r="G319" s="702"/>
      <c r="H319" s="702"/>
      <c r="I319" s="702"/>
      <c r="J319" s="702"/>
      <c r="K319" s="702"/>
      <c r="L319" s="702"/>
      <c r="M319" s="702"/>
      <c r="N319" s="702"/>
      <c r="O319" s="702"/>
      <c r="P319" s="702"/>
      <c r="Q319" s="702"/>
      <c r="R319" s="702"/>
      <c r="S319" s="702"/>
      <c r="T319" s="702"/>
      <c r="U319" s="702"/>
      <c r="V319" s="702"/>
      <c r="W319" s="702"/>
      <c r="X319" s="702"/>
      <c r="Y319" s="702"/>
      <c r="Z319" s="702"/>
      <c r="AA319" s="702"/>
      <c r="AB319" s="702"/>
      <c r="AC319" s="702"/>
    </row>
    <row r="320" ht="15.75" customHeight="1">
      <c r="A320" s="702"/>
      <c r="B320" s="702"/>
      <c r="C320" s="702"/>
      <c r="D320" s="702"/>
      <c r="E320" s="702"/>
      <c r="F320" s="702"/>
      <c r="G320" s="702"/>
      <c r="H320" s="702"/>
      <c r="I320" s="702"/>
      <c r="J320" s="702"/>
      <c r="K320" s="702"/>
      <c r="L320" s="702"/>
      <c r="M320" s="702"/>
      <c r="N320" s="702"/>
      <c r="O320" s="702"/>
      <c r="P320" s="702"/>
      <c r="Q320" s="702"/>
      <c r="R320" s="702"/>
      <c r="S320" s="702"/>
      <c r="T320" s="702"/>
      <c r="U320" s="702"/>
      <c r="V320" s="702"/>
      <c r="W320" s="702"/>
      <c r="X320" s="702"/>
      <c r="Y320" s="702"/>
      <c r="Z320" s="702"/>
      <c r="AA320" s="702"/>
      <c r="AB320" s="702"/>
      <c r="AC320" s="702"/>
    </row>
    <row r="321" ht="15.75" customHeight="1">
      <c r="A321" s="702"/>
      <c r="B321" s="702"/>
      <c r="C321" s="702"/>
      <c r="D321" s="702"/>
      <c r="E321" s="702"/>
      <c r="F321" s="702"/>
      <c r="G321" s="702"/>
      <c r="H321" s="702"/>
      <c r="I321" s="702"/>
      <c r="J321" s="702"/>
      <c r="K321" s="702"/>
      <c r="L321" s="702"/>
      <c r="M321" s="702"/>
      <c r="N321" s="702"/>
      <c r="O321" s="702"/>
      <c r="P321" s="702"/>
      <c r="Q321" s="702"/>
      <c r="R321" s="702"/>
      <c r="S321" s="702"/>
      <c r="T321" s="702"/>
      <c r="U321" s="702"/>
      <c r="V321" s="702"/>
      <c r="W321" s="702"/>
      <c r="X321" s="702"/>
      <c r="Y321" s="702"/>
      <c r="Z321" s="702"/>
      <c r="AA321" s="702"/>
      <c r="AB321" s="702"/>
      <c r="AC321" s="702"/>
    </row>
    <row r="322" ht="15.75" customHeight="1">
      <c r="A322" s="702"/>
      <c r="B322" s="702"/>
      <c r="C322" s="702"/>
      <c r="D322" s="702"/>
      <c r="E322" s="702"/>
      <c r="F322" s="702"/>
      <c r="G322" s="702"/>
      <c r="H322" s="702"/>
      <c r="I322" s="702"/>
      <c r="J322" s="702"/>
      <c r="K322" s="702"/>
      <c r="L322" s="702"/>
      <c r="M322" s="702"/>
      <c r="N322" s="702"/>
      <c r="O322" s="702"/>
      <c r="P322" s="702"/>
      <c r="Q322" s="702"/>
      <c r="R322" s="702"/>
      <c r="S322" s="702"/>
      <c r="T322" s="702"/>
      <c r="U322" s="702"/>
      <c r="V322" s="702"/>
      <c r="W322" s="702"/>
      <c r="X322" s="702"/>
      <c r="Y322" s="702"/>
      <c r="Z322" s="702"/>
      <c r="AA322" s="702"/>
      <c r="AB322" s="702"/>
      <c r="AC322" s="702"/>
    </row>
    <row r="323" ht="15.75" customHeight="1">
      <c r="A323" s="702"/>
      <c r="B323" s="702"/>
      <c r="C323" s="702"/>
      <c r="D323" s="702"/>
      <c r="E323" s="702"/>
      <c r="F323" s="702"/>
      <c r="G323" s="702"/>
      <c r="H323" s="702"/>
      <c r="I323" s="702"/>
      <c r="J323" s="702"/>
      <c r="K323" s="702"/>
      <c r="L323" s="702"/>
      <c r="M323" s="702"/>
      <c r="N323" s="702"/>
      <c r="O323" s="702"/>
      <c r="P323" s="702"/>
      <c r="Q323" s="702"/>
      <c r="R323" s="702"/>
      <c r="S323" s="702"/>
      <c r="T323" s="702"/>
      <c r="U323" s="702"/>
      <c r="V323" s="702"/>
      <c r="W323" s="702"/>
      <c r="X323" s="702"/>
      <c r="Y323" s="702"/>
      <c r="Z323" s="702"/>
      <c r="AA323" s="702"/>
      <c r="AB323" s="702"/>
      <c r="AC323" s="702"/>
    </row>
    <row r="324" ht="15.75" customHeight="1">
      <c r="A324" s="702"/>
      <c r="B324" s="702"/>
      <c r="C324" s="702"/>
      <c r="D324" s="702"/>
      <c r="E324" s="702"/>
      <c r="F324" s="702"/>
      <c r="G324" s="702"/>
      <c r="H324" s="702"/>
      <c r="I324" s="702"/>
      <c r="J324" s="702"/>
      <c r="K324" s="702"/>
      <c r="L324" s="702"/>
      <c r="M324" s="702"/>
      <c r="N324" s="702"/>
      <c r="O324" s="702"/>
      <c r="P324" s="702"/>
      <c r="Q324" s="702"/>
      <c r="R324" s="702"/>
      <c r="S324" s="702"/>
      <c r="T324" s="702"/>
      <c r="U324" s="702"/>
      <c r="V324" s="702"/>
      <c r="W324" s="702"/>
      <c r="X324" s="702"/>
      <c r="Y324" s="702"/>
      <c r="Z324" s="702"/>
      <c r="AA324" s="702"/>
      <c r="AB324" s="702"/>
      <c r="AC324" s="702"/>
    </row>
    <row r="325" ht="15.75" customHeight="1">
      <c r="A325" s="702"/>
      <c r="B325" s="702"/>
      <c r="C325" s="702"/>
      <c r="D325" s="702"/>
      <c r="E325" s="702"/>
      <c r="F325" s="702"/>
      <c r="G325" s="702"/>
      <c r="H325" s="702"/>
      <c r="I325" s="702"/>
      <c r="J325" s="702"/>
      <c r="K325" s="702"/>
      <c r="L325" s="702"/>
      <c r="M325" s="702"/>
      <c r="N325" s="702"/>
      <c r="O325" s="702"/>
      <c r="P325" s="702"/>
      <c r="Q325" s="702"/>
      <c r="R325" s="702"/>
      <c r="S325" s="702"/>
      <c r="T325" s="702"/>
      <c r="U325" s="702"/>
      <c r="V325" s="702"/>
      <c r="W325" s="702"/>
      <c r="X325" s="702"/>
      <c r="Y325" s="702"/>
      <c r="Z325" s="702"/>
      <c r="AA325" s="702"/>
      <c r="AB325" s="702"/>
      <c r="AC325" s="702"/>
    </row>
    <row r="326" ht="15.75" customHeight="1">
      <c r="A326" s="702"/>
      <c r="B326" s="702"/>
      <c r="C326" s="702"/>
      <c r="D326" s="702"/>
      <c r="E326" s="702"/>
      <c r="F326" s="702"/>
      <c r="G326" s="702"/>
      <c r="H326" s="702"/>
      <c r="I326" s="702"/>
      <c r="J326" s="702"/>
      <c r="K326" s="702"/>
      <c r="L326" s="702"/>
      <c r="M326" s="702"/>
      <c r="N326" s="702"/>
      <c r="O326" s="702"/>
      <c r="P326" s="702"/>
      <c r="Q326" s="702"/>
      <c r="R326" s="702"/>
      <c r="S326" s="702"/>
      <c r="T326" s="702"/>
      <c r="U326" s="702"/>
      <c r="V326" s="702"/>
      <c r="W326" s="702"/>
      <c r="X326" s="702"/>
      <c r="Y326" s="702"/>
      <c r="Z326" s="702"/>
      <c r="AA326" s="702"/>
      <c r="AB326" s="702"/>
      <c r="AC326" s="702"/>
    </row>
    <row r="327" ht="15.75" customHeight="1">
      <c r="A327" s="702"/>
      <c r="B327" s="702"/>
      <c r="C327" s="702"/>
      <c r="D327" s="702"/>
      <c r="E327" s="702"/>
      <c r="F327" s="702"/>
      <c r="G327" s="702"/>
      <c r="H327" s="702"/>
      <c r="I327" s="702"/>
      <c r="J327" s="702"/>
      <c r="K327" s="702"/>
      <c r="L327" s="702"/>
      <c r="M327" s="702"/>
      <c r="N327" s="702"/>
      <c r="O327" s="702"/>
      <c r="P327" s="702"/>
      <c r="Q327" s="702"/>
      <c r="R327" s="702"/>
      <c r="S327" s="702"/>
      <c r="T327" s="702"/>
      <c r="U327" s="702"/>
      <c r="V327" s="702"/>
      <c r="W327" s="702"/>
      <c r="X327" s="702"/>
      <c r="Y327" s="702"/>
      <c r="Z327" s="702"/>
      <c r="AA327" s="702"/>
      <c r="AB327" s="702"/>
      <c r="AC327" s="702"/>
    </row>
    <row r="328" ht="15.75" customHeight="1">
      <c r="A328" s="702"/>
      <c r="B328" s="702"/>
      <c r="C328" s="702"/>
      <c r="D328" s="702"/>
      <c r="E328" s="702"/>
      <c r="F328" s="702"/>
      <c r="G328" s="702"/>
      <c r="H328" s="702"/>
      <c r="I328" s="702"/>
      <c r="J328" s="702"/>
      <c r="K328" s="702"/>
      <c r="L328" s="702"/>
      <c r="M328" s="702"/>
      <c r="N328" s="702"/>
      <c r="O328" s="702"/>
      <c r="P328" s="702"/>
      <c r="Q328" s="702"/>
      <c r="R328" s="702"/>
      <c r="S328" s="702"/>
      <c r="T328" s="702"/>
      <c r="U328" s="702"/>
      <c r="V328" s="702"/>
      <c r="W328" s="702"/>
      <c r="X328" s="702"/>
      <c r="Y328" s="702"/>
      <c r="Z328" s="702"/>
      <c r="AA328" s="702"/>
      <c r="AB328" s="702"/>
      <c r="AC328" s="702"/>
    </row>
    <row r="329" ht="15.75" customHeight="1">
      <c r="A329" s="702"/>
      <c r="B329" s="702"/>
      <c r="C329" s="702"/>
      <c r="D329" s="702"/>
      <c r="E329" s="702"/>
      <c r="F329" s="702"/>
      <c r="G329" s="702"/>
      <c r="H329" s="702"/>
      <c r="I329" s="702"/>
      <c r="J329" s="702"/>
      <c r="K329" s="702"/>
      <c r="L329" s="702"/>
      <c r="M329" s="702"/>
      <c r="N329" s="702"/>
      <c r="O329" s="702"/>
      <c r="P329" s="702"/>
      <c r="Q329" s="702"/>
      <c r="R329" s="702"/>
      <c r="S329" s="702"/>
      <c r="T329" s="702"/>
      <c r="U329" s="702"/>
      <c r="V329" s="702"/>
      <c r="W329" s="702"/>
      <c r="X329" s="702"/>
      <c r="Y329" s="702"/>
      <c r="Z329" s="702"/>
      <c r="AA329" s="702"/>
      <c r="AB329" s="702"/>
      <c r="AC329" s="702"/>
    </row>
    <row r="330" ht="15.75" customHeight="1">
      <c r="A330" s="702"/>
      <c r="B330" s="702"/>
      <c r="C330" s="702"/>
      <c r="D330" s="702"/>
      <c r="E330" s="702"/>
      <c r="F330" s="702"/>
      <c r="G330" s="702"/>
      <c r="H330" s="702"/>
      <c r="I330" s="702"/>
      <c r="J330" s="702"/>
      <c r="K330" s="702"/>
      <c r="L330" s="702"/>
      <c r="M330" s="702"/>
      <c r="N330" s="702"/>
      <c r="O330" s="702"/>
      <c r="P330" s="702"/>
      <c r="Q330" s="702"/>
      <c r="R330" s="702"/>
      <c r="S330" s="702"/>
      <c r="T330" s="702"/>
      <c r="U330" s="702"/>
      <c r="V330" s="702"/>
      <c r="W330" s="702"/>
      <c r="X330" s="702"/>
      <c r="Y330" s="702"/>
      <c r="Z330" s="702"/>
      <c r="AA330" s="702"/>
      <c r="AB330" s="702"/>
      <c r="AC330" s="702"/>
    </row>
    <row r="331" ht="15.75" customHeight="1">
      <c r="A331" s="702"/>
      <c r="B331" s="702"/>
      <c r="C331" s="702"/>
      <c r="D331" s="702"/>
      <c r="E331" s="702"/>
      <c r="F331" s="702"/>
      <c r="G331" s="702"/>
      <c r="H331" s="702"/>
      <c r="I331" s="702"/>
      <c r="J331" s="702"/>
      <c r="K331" s="702"/>
      <c r="L331" s="702"/>
      <c r="M331" s="702"/>
      <c r="N331" s="702"/>
      <c r="O331" s="702"/>
      <c r="P331" s="702"/>
      <c r="Q331" s="702"/>
      <c r="R331" s="702"/>
      <c r="S331" s="702"/>
      <c r="T331" s="702"/>
      <c r="U331" s="702"/>
      <c r="V331" s="702"/>
      <c r="W331" s="702"/>
      <c r="X331" s="702"/>
      <c r="Y331" s="702"/>
      <c r="Z331" s="702"/>
      <c r="AA331" s="702"/>
      <c r="AB331" s="702"/>
      <c r="AC331" s="702"/>
    </row>
    <row r="332" ht="15.75" customHeight="1">
      <c r="A332" s="702"/>
      <c r="B332" s="702"/>
      <c r="C332" s="702"/>
      <c r="D332" s="702"/>
      <c r="E332" s="702"/>
      <c r="F332" s="702"/>
      <c r="G332" s="702"/>
      <c r="H332" s="702"/>
      <c r="I332" s="702"/>
      <c r="J332" s="702"/>
      <c r="K332" s="702"/>
      <c r="L332" s="702"/>
      <c r="M332" s="702"/>
      <c r="N332" s="702"/>
      <c r="O332" s="702"/>
      <c r="P332" s="702"/>
      <c r="Q332" s="702"/>
      <c r="R332" s="702"/>
      <c r="S332" s="702"/>
      <c r="T332" s="702"/>
      <c r="U332" s="702"/>
      <c r="V332" s="702"/>
      <c r="W332" s="702"/>
      <c r="X332" s="702"/>
      <c r="Y332" s="702"/>
      <c r="Z332" s="702"/>
      <c r="AA332" s="702"/>
      <c r="AB332" s="702"/>
      <c r="AC332" s="702"/>
    </row>
    <row r="333" ht="15.75" customHeight="1">
      <c r="A333" s="702"/>
      <c r="B333" s="702"/>
      <c r="C333" s="702"/>
      <c r="D333" s="702"/>
      <c r="E333" s="702"/>
      <c r="F333" s="702"/>
      <c r="G333" s="702"/>
      <c r="H333" s="702"/>
      <c r="I333" s="702"/>
      <c r="J333" s="702"/>
      <c r="K333" s="702"/>
      <c r="L333" s="702"/>
      <c r="M333" s="702"/>
      <c r="N333" s="702"/>
      <c r="O333" s="702"/>
      <c r="P333" s="702"/>
      <c r="Q333" s="702"/>
      <c r="R333" s="702"/>
      <c r="S333" s="702"/>
      <c r="T333" s="702"/>
      <c r="U333" s="702"/>
      <c r="V333" s="702"/>
      <c r="W333" s="702"/>
      <c r="X333" s="702"/>
      <c r="Y333" s="702"/>
      <c r="Z333" s="702"/>
      <c r="AA333" s="702"/>
      <c r="AB333" s="702"/>
      <c r="AC333" s="702"/>
    </row>
    <row r="334" ht="15.75" customHeight="1">
      <c r="A334" s="702"/>
      <c r="B334" s="702"/>
      <c r="C334" s="702"/>
      <c r="D334" s="702"/>
      <c r="E334" s="702"/>
      <c r="F334" s="702"/>
      <c r="G334" s="702"/>
      <c r="H334" s="702"/>
      <c r="I334" s="702"/>
      <c r="J334" s="702"/>
      <c r="K334" s="702"/>
      <c r="L334" s="702"/>
      <c r="M334" s="702"/>
      <c r="N334" s="702"/>
      <c r="O334" s="702"/>
      <c r="P334" s="702"/>
      <c r="Q334" s="702"/>
      <c r="R334" s="702"/>
      <c r="S334" s="702"/>
      <c r="T334" s="702"/>
      <c r="U334" s="702"/>
      <c r="V334" s="702"/>
      <c r="W334" s="702"/>
      <c r="X334" s="702"/>
      <c r="Y334" s="702"/>
      <c r="Z334" s="702"/>
      <c r="AA334" s="702"/>
      <c r="AB334" s="702"/>
      <c r="AC334" s="702"/>
    </row>
    <row r="335" ht="15.75" customHeight="1">
      <c r="A335" s="702"/>
      <c r="B335" s="702"/>
      <c r="C335" s="702"/>
      <c r="D335" s="702"/>
      <c r="E335" s="702"/>
      <c r="F335" s="702"/>
      <c r="G335" s="702"/>
      <c r="H335" s="702"/>
      <c r="I335" s="702"/>
      <c r="J335" s="702"/>
      <c r="K335" s="702"/>
      <c r="L335" s="702"/>
      <c r="M335" s="702"/>
      <c r="N335" s="702"/>
      <c r="O335" s="702"/>
      <c r="P335" s="702"/>
      <c r="Q335" s="702"/>
      <c r="R335" s="702"/>
      <c r="S335" s="702"/>
      <c r="T335" s="702"/>
      <c r="U335" s="702"/>
      <c r="V335" s="702"/>
      <c r="W335" s="702"/>
      <c r="X335" s="702"/>
      <c r="Y335" s="702"/>
      <c r="Z335" s="702"/>
      <c r="AA335" s="702"/>
      <c r="AB335" s="702"/>
      <c r="AC335" s="702"/>
    </row>
    <row r="336" ht="15.75" customHeight="1">
      <c r="A336" s="702"/>
      <c r="B336" s="702"/>
      <c r="C336" s="702"/>
      <c r="D336" s="702"/>
      <c r="E336" s="702"/>
      <c r="F336" s="702"/>
      <c r="G336" s="702"/>
      <c r="H336" s="702"/>
      <c r="I336" s="702"/>
      <c r="J336" s="702"/>
      <c r="K336" s="702"/>
      <c r="L336" s="702"/>
      <c r="M336" s="702"/>
      <c r="N336" s="702"/>
      <c r="O336" s="702"/>
      <c r="P336" s="702"/>
      <c r="Q336" s="702"/>
      <c r="R336" s="702"/>
      <c r="S336" s="702"/>
      <c r="T336" s="702"/>
      <c r="U336" s="702"/>
      <c r="V336" s="702"/>
      <c r="W336" s="702"/>
      <c r="X336" s="702"/>
      <c r="Y336" s="702"/>
      <c r="Z336" s="702"/>
      <c r="AA336" s="702"/>
      <c r="AB336" s="702"/>
      <c r="AC336" s="702"/>
    </row>
    <row r="337" ht="15.75" customHeight="1">
      <c r="A337" s="702"/>
      <c r="B337" s="702"/>
      <c r="C337" s="702"/>
      <c r="D337" s="702"/>
      <c r="E337" s="702"/>
      <c r="F337" s="702"/>
      <c r="G337" s="702"/>
      <c r="H337" s="702"/>
      <c r="I337" s="702"/>
      <c r="J337" s="702"/>
      <c r="K337" s="702"/>
      <c r="L337" s="702"/>
      <c r="M337" s="702"/>
      <c r="N337" s="702"/>
      <c r="O337" s="702"/>
      <c r="P337" s="702"/>
      <c r="Q337" s="702"/>
      <c r="R337" s="702"/>
      <c r="S337" s="702"/>
      <c r="T337" s="702"/>
      <c r="U337" s="702"/>
      <c r="V337" s="702"/>
      <c r="W337" s="702"/>
      <c r="X337" s="702"/>
      <c r="Y337" s="702"/>
      <c r="Z337" s="702"/>
      <c r="AA337" s="702"/>
      <c r="AB337" s="702"/>
      <c r="AC337" s="702"/>
    </row>
    <row r="338" ht="15.75" customHeight="1">
      <c r="A338" s="702"/>
      <c r="B338" s="702"/>
      <c r="C338" s="702"/>
      <c r="D338" s="702"/>
      <c r="E338" s="702"/>
      <c r="F338" s="702"/>
      <c r="G338" s="702"/>
      <c r="H338" s="702"/>
      <c r="I338" s="702"/>
      <c r="J338" s="702"/>
      <c r="K338" s="702"/>
      <c r="L338" s="702"/>
      <c r="M338" s="702"/>
      <c r="N338" s="702"/>
      <c r="O338" s="702"/>
      <c r="P338" s="702"/>
      <c r="Q338" s="702"/>
      <c r="R338" s="702"/>
      <c r="S338" s="702"/>
      <c r="T338" s="702"/>
      <c r="U338" s="702"/>
      <c r="V338" s="702"/>
      <c r="W338" s="702"/>
      <c r="X338" s="702"/>
      <c r="Y338" s="702"/>
      <c r="Z338" s="702"/>
      <c r="AA338" s="702"/>
      <c r="AB338" s="702"/>
      <c r="AC338" s="702"/>
    </row>
    <row r="339" ht="15.75" customHeight="1">
      <c r="A339" s="702"/>
      <c r="B339" s="702"/>
      <c r="C339" s="702"/>
      <c r="D339" s="702"/>
      <c r="E339" s="702"/>
      <c r="F339" s="702"/>
      <c r="G339" s="702"/>
      <c r="H339" s="702"/>
      <c r="I339" s="702"/>
      <c r="J339" s="702"/>
      <c r="K339" s="702"/>
      <c r="L339" s="702"/>
      <c r="M339" s="702"/>
      <c r="N339" s="702"/>
      <c r="O339" s="702"/>
      <c r="P339" s="702"/>
      <c r="Q339" s="702"/>
      <c r="R339" s="702"/>
      <c r="S339" s="702"/>
      <c r="T339" s="702"/>
      <c r="U339" s="702"/>
      <c r="V339" s="702"/>
      <c r="W339" s="702"/>
      <c r="X339" s="702"/>
      <c r="Y339" s="702"/>
      <c r="Z339" s="702"/>
      <c r="AA339" s="702"/>
      <c r="AB339" s="702"/>
      <c r="AC339" s="702"/>
    </row>
    <row r="340" ht="15.75" customHeight="1">
      <c r="A340" s="702"/>
      <c r="B340" s="702"/>
      <c r="C340" s="702"/>
      <c r="D340" s="702"/>
      <c r="E340" s="702"/>
      <c r="F340" s="702"/>
      <c r="G340" s="702"/>
      <c r="H340" s="702"/>
      <c r="I340" s="702"/>
      <c r="J340" s="702"/>
      <c r="K340" s="702"/>
      <c r="L340" s="702"/>
      <c r="M340" s="702"/>
      <c r="N340" s="702"/>
      <c r="O340" s="702"/>
      <c r="P340" s="702"/>
      <c r="Q340" s="702"/>
      <c r="R340" s="702"/>
      <c r="S340" s="702"/>
      <c r="T340" s="702"/>
      <c r="U340" s="702"/>
      <c r="V340" s="702"/>
      <c r="W340" s="702"/>
      <c r="X340" s="702"/>
      <c r="Y340" s="702"/>
      <c r="Z340" s="702"/>
      <c r="AA340" s="702"/>
      <c r="AB340" s="702"/>
      <c r="AC340" s="702"/>
    </row>
    <row r="341" ht="15.75" customHeight="1">
      <c r="A341" s="702"/>
      <c r="B341" s="702"/>
      <c r="C341" s="702"/>
      <c r="D341" s="702"/>
      <c r="E341" s="702"/>
      <c r="F341" s="702"/>
      <c r="G341" s="702"/>
      <c r="H341" s="702"/>
      <c r="I341" s="702"/>
      <c r="J341" s="702"/>
      <c r="K341" s="702"/>
      <c r="L341" s="702"/>
      <c r="M341" s="702"/>
      <c r="N341" s="702"/>
      <c r="O341" s="702"/>
      <c r="P341" s="702"/>
      <c r="Q341" s="702"/>
      <c r="R341" s="702"/>
      <c r="S341" s="702"/>
      <c r="T341" s="702"/>
      <c r="U341" s="702"/>
      <c r="V341" s="702"/>
      <c r="W341" s="702"/>
      <c r="X341" s="702"/>
      <c r="Y341" s="702"/>
      <c r="Z341" s="702"/>
      <c r="AA341" s="702"/>
      <c r="AB341" s="702"/>
      <c r="AC341" s="702"/>
    </row>
    <row r="342" ht="15.75" customHeight="1">
      <c r="A342" s="702"/>
      <c r="B342" s="702"/>
      <c r="C342" s="702"/>
      <c r="D342" s="702"/>
      <c r="E342" s="702"/>
      <c r="F342" s="702"/>
      <c r="G342" s="702"/>
      <c r="H342" s="702"/>
      <c r="I342" s="702"/>
      <c r="J342" s="702"/>
      <c r="K342" s="702"/>
      <c r="L342" s="702"/>
      <c r="M342" s="702"/>
      <c r="N342" s="702"/>
      <c r="O342" s="702"/>
      <c r="P342" s="702"/>
      <c r="Q342" s="702"/>
      <c r="R342" s="702"/>
      <c r="S342" s="702"/>
      <c r="T342" s="702"/>
      <c r="U342" s="702"/>
      <c r="V342" s="702"/>
      <c r="W342" s="702"/>
      <c r="X342" s="702"/>
      <c r="Y342" s="702"/>
      <c r="Z342" s="702"/>
      <c r="AA342" s="702"/>
      <c r="AB342" s="702"/>
      <c r="AC342" s="702"/>
    </row>
    <row r="343" ht="15.75" customHeight="1">
      <c r="A343" s="702"/>
      <c r="B343" s="702"/>
      <c r="C343" s="702"/>
      <c r="D343" s="702"/>
      <c r="E343" s="702"/>
      <c r="F343" s="702"/>
      <c r="G343" s="702"/>
      <c r="H343" s="702"/>
      <c r="I343" s="702"/>
      <c r="J343" s="702"/>
      <c r="K343" s="702"/>
      <c r="L343" s="702"/>
      <c r="M343" s="702"/>
      <c r="N343" s="702"/>
      <c r="O343" s="702"/>
      <c r="P343" s="702"/>
      <c r="Q343" s="702"/>
      <c r="R343" s="702"/>
      <c r="S343" s="702"/>
      <c r="T343" s="702"/>
      <c r="U343" s="702"/>
      <c r="V343" s="702"/>
      <c r="W343" s="702"/>
      <c r="X343" s="702"/>
      <c r="Y343" s="702"/>
      <c r="Z343" s="702"/>
      <c r="AA343" s="702"/>
      <c r="AB343" s="702"/>
      <c r="AC343" s="702"/>
    </row>
    <row r="344" ht="15.75" customHeight="1">
      <c r="A344" s="702"/>
      <c r="B344" s="702"/>
      <c r="C344" s="702"/>
      <c r="D344" s="702"/>
      <c r="E344" s="702"/>
      <c r="F344" s="702"/>
      <c r="G344" s="702"/>
      <c r="H344" s="702"/>
      <c r="I344" s="702"/>
      <c r="J344" s="702"/>
      <c r="K344" s="702"/>
      <c r="L344" s="702"/>
      <c r="M344" s="702"/>
      <c r="N344" s="702"/>
      <c r="O344" s="702"/>
      <c r="P344" s="702"/>
      <c r="Q344" s="702"/>
      <c r="R344" s="702"/>
      <c r="S344" s="702"/>
      <c r="T344" s="702"/>
      <c r="U344" s="702"/>
      <c r="V344" s="702"/>
      <c r="W344" s="702"/>
      <c r="X344" s="702"/>
      <c r="Y344" s="702"/>
      <c r="Z344" s="702"/>
      <c r="AA344" s="702"/>
      <c r="AB344" s="702"/>
      <c r="AC344" s="702"/>
    </row>
    <row r="345" ht="15.75" customHeight="1">
      <c r="A345" s="702"/>
      <c r="B345" s="702"/>
      <c r="C345" s="702"/>
      <c r="D345" s="702"/>
      <c r="E345" s="702"/>
      <c r="F345" s="702"/>
      <c r="G345" s="702"/>
      <c r="H345" s="702"/>
      <c r="I345" s="702"/>
      <c r="J345" s="702"/>
      <c r="K345" s="702"/>
      <c r="L345" s="702"/>
      <c r="M345" s="702"/>
      <c r="N345" s="702"/>
      <c r="O345" s="702"/>
      <c r="P345" s="702"/>
      <c r="Q345" s="702"/>
      <c r="R345" s="702"/>
      <c r="S345" s="702"/>
      <c r="T345" s="702"/>
      <c r="U345" s="702"/>
      <c r="V345" s="702"/>
      <c r="W345" s="702"/>
      <c r="X345" s="702"/>
      <c r="Y345" s="702"/>
      <c r="Z345" s="702"/>
      <c r="AA345" s="702"/>
      <c r="AB345" s="702"/>
      <c r="AC345" s="702"/>
    </row>
    <row r="346" ht="15.75" customHeight="1">
      <c r="A346" s="702"/>
      <c r="B346" s="702"/>
      <c r="C346" s="702"/>
      <c r="D346" s="702"/>
      <c r="E346" s="702"/>
      <c r="F346" s="702"/>
      <c r="G346" s="702"/>
      <c r="H346" s="702"/>
      <c r="I346" s="702"/>
      <c r="J346" s="702"/>
      <c r="K346" s="702"/>
      <c r="L346" s="702"/>
      <c r="M346" s="702"/>
      <c r="N346" s="702"/>
      <c r="O346" s="702"/>
      <c r="P346" s="702"/>
      <c r="Q346" s="702"/>
      <c r="R346" s="702"/>
      <c r="S346" s="702"/>
      <c r="T346" s="702"/>
      <c r="U346" s="702"/>
      <c r="V346" s="702"/>
      <c r="W346" s="702"/>
      <c r="X346" s="702"/>
      <c r="Y346" s="702"/>
      <c r="Z346" s="702"/>
      <c r="AA346" s="702"/>
      <c r="AB346" s="702"/>
      <c r="AC346" s="702"/>
    </row>
    <row r="347" ht="15.75" customHeight="1">
      <c r="A347" s="702"/>
      <c r="B347" s="702"/>
      <c r="C347" s="702"/>
      <c r="D347" s="702"/>
      <c r="E347" s="702"/>
      <c r="F347" s="702"/>
      <c r="G347" s="702"/>
      <c r="H347" s="702"/>
      <c r="I347" s="702"/>
      <c r="J347" s="702"/>
      <c r="K347" s="702"/>
      <c r="L347" s="702"/>
      <c r="M347" s="702"/>
      <c r="N347" s="702"/>
      <c r="O347" s="702"/>
      <c r="P347" s="702"/>
      <c r="Q347" s="702"/>
      <c r="R347" s="702"/>
      <c r="S347" s="702"/>
      <c r="T347" s="702"/>
      <c r="U347" s="702"/>
      <c r="V347" s="702"/>
      <c r="W347" s="702"/>
      <c r="X347" s="702"/>
      <c r="Y347" s="702"/>
      <c r="Z347" s="702"/>
      <c r="AA347" s="702"/>
      <c r="AB347" s="702"/>
      <c r="AC347" s="702"/>
    </row>
    <row r="348" ht="15.75" customHeight="1">
      <c r="A348" s="702"/>
      <c r="B348" s="702"/>
      <c r="C348" s="702"/>
      <c r="D348" s="702"/>
      <c r="E348" s="702"/>
      <c r="F348" s="702"/>
      <c r="G348" s="702"/>
      <c r="H348" s="702"/>
      <c r="I348" s="702"/>
      <c r="J348" s="702"/>
      <c r="K348" s="702"/>
      <c r="L348" s="702"/>
      <c r="M348" s="702"/>
      <c r="N348" s="702"/>
      <c r="O348" s="702"/>
      <c r="P348" s="702"/>
      <c r="Q348" s="702"/>
      <c r="R348" s="702"/>
      <c r="S348" s="702"/>
      <c r="T348" s="702"/>
      <c r="U348" s="702"/>
      <c r="V348" s="702"/>
      <c r="W348" s="702"/>
      <c r="X348" s="702"/>
      <c r="Y348" s="702"/>
      <c r="Z348" s="702"/>
      <c r="AA348" s="702"/>
      <c r="AB348" s="702"/>
      <c r="AC348" s="702"/>
    </row>
    <row r="349" ht="15.75" customHeight="1">
      <c r="A349" s="702"/>
      <c r="B349" s="702"/>
      <c r="C349" s="702"/>
      <c r="D349" s="702"/>
      <c r="E349" s="702"/>
      <c r="F349" s="702"/>
      <c r="G349" s="702"/>
      <c r="H349" s="702"/>
      <c r="I349" s="702"/>
      <c r="J349" s="702"/>
      <c r="K349" s="702"/>
      <c r="L349" s="702"/>
      <c r="M349" s="702"/>
      <c r="N349" s="702"/>
      <c r="O349" s="702"/>
      <c r="P349" s="702"/>
      <c r="Q349" s="702"/>
      <c r="R349" s="702"/>
      <c r="S349" s="702"/>
      <c r="T349" s="702"/>
      <c r="U349" s="702"/>
      <c r="V349" s="702"/>
      <c r="W349" s="702"/>
      <c r="X349" s="702"/>
      <c r="Y349" s="702"/>
      <c r="Z349" s="702"/>
      <c r="AA349" s="702"/>
      <c r="AB349" s="702"/>
      <c r="AC349" s="702"/>
    </row>
    <row r="350" ht="15.75" customHeight="1">
      <c r="A350" s="702"/>
      <c r="B350" s="702"/>
      <c r="C350" s="702"/>
      <c r="D350" s="702"/>
      <c r="E350" s="702"/>
      <c r="F350" s="702"/>
      <c r="G350" s="702"/>
      <c r="H350" s="702"/>
      <c r="I350" s="702"/>
      <c r="J350" s="702"/>
      <c r="K350" s="702"/>
      <c r="L350" s="702"/>
      <c r="M350" s="702"/>
      <c r="N350" s="702"/>
      <c r="O350" s="702"/>
      <c r="P350" s="702"/>
      <c r="Q350" s="702"/>
      <c r="R350" s="702"/>
      <c r="S350" s="702"/>
      <c r="T350" s="702"/>
      <c r="U350" s="702"/>
      <c r="V350" s="702"/>
      <c r="W350" s="702"/>
      <c r="X350" s="702"/>
      <c r="Y350" s="702"/>
      <c r="Z350" s="702"/>
      <c r="AA350" s="702"/>
      <c r="AB350" s="702"/>
      <c r="AC350" s="702"/>
    </row>
    <row r="351" ht="15.75" customHeight="1">
      <c r="A351" s="702"/>
      <c r="B351" s="702"/>
      <c r="C351" s="702"/>
      <c r="D351" s="702"/>
      <c r="E351" s="702"/>
      <c r="F351" s="702"/>
      <c r="G351" s="702"/>
      <c r="H351" s="702"/>
      <c r="I351" s="702"/>
      <c r="J351" s="702"/>
      <c r="K351" s="702"/>
      <c r="L351" s="702"/>
      <c r="M351" s="702"/>
      <c r="N351" s="702"/>
      <c r="O351" s="702"/>
      <c r="P351" s="702"/>
      <c r="Q351" s="702"/>
      <c r="R351" s="702"/>
      <c r="S351" s="702"/>
      <c r="T351" s="702"/>
      <c r="U351" s="702"/>
      <c r="V351" s="702"/>
      <c r="W351" s="702"/>
      <c r="X351" s="702"/>
      <c r="Y351" s="702"/>
      <c r="Z351" s="702"/>
      <c r="AA351" s="702"/>
      <c r="AB351" s="702"/>
      <c r="AC351" s="702"/>
    </row>
    <row r="352" ht="15.75" customHeight="1">
      <c r="A352" s="702"/>
      <c r="B352" s="702"/>
      <c r="C352" s="702"/>
      <c r="D352" s="702"/>
      <c r="E352" s="702"/>
      <c r="F352" s="702"/>
      <c r="G352" s="702"/>
      <c r="H352" s="702"/>
      <c r="I352" s="702"/>
      <c r="J352" s="702"/>
      <c r="K352" s="702"/>
      <c r="L352" s="702"/>
      <c r="M352" s="702"/>
      <c r="N352" s="702"/>
      <c r="O352" s="702"/>
      <c r="P352" s="702"/>
      <c r="Q352" s="702"/>
      <c r="R352" s="702"/>
      <c r="S352" s="702"/>
      <c r="T352" s="702"/>
      <c r="U352" s="702"/>
      <c r="V352" s="702"/>
      <c r="W352" s="702"/>
      <c r="X352" s="702"/>
      <c r="Y352" s="702"/>
      <c r="Z352" s="702"/>
      <c r="AA352" s="702"/>
      <c r="AB352" s="702"/>
      <c r="AC352" s="702"/>
    </row>
    <row r="353" ht="15.75" customHeight="1">
      <c r="A353" s="702"/>
      <c r="B353" s="702"/>
      <c r="C353" s="702"/>
      <c r="D353" s="702"/>
      <c r="E353" s="702"/>
      <c r="F353" s="702"/>
      <c r="G353" s="702"/>
      <c r="H353" s="702"/>
      <c r="I353" s="702"/>
      <c r="J353" s="702"/>
      <c r="K353" s="702"/>
      <c r="L353" s="702"/>
      <c r="M353" s="702"/>
      <c r="N353" s="702"/>
      <c r="O353" s="702"/>
      <c r="P353" s="702"/>
      <c r="Q353" s="702"/>
      <c r="R353" s="702"/>
      <c r="S353" s="702"/>
      <c r="T353" s="702"/>
      <c r="U353" s="702"/>
      <c r="V353" s="702"/>
      <c r="W353" s="702"/>
      <c r="X353" s="702"/>
      <c r="Y353" s="702"/>
      <c r="Z353" s="702"/>
      <c r="AA353" s="702"/>
      <c r="AB353" s="702"/>
      <c r="AC353" s="702"/>
    </row>
    <row r="354" ht="15.75" customHeight="1">
      <c r="A354" s="702"/>
      <c r="B354" s="702"/>
      <c r="C354" s="702"/>
      <c r="D354" s="702"/>
      <c r="E354" s="702"/>
      <c r="F354" s="702"/>
      <c r="G354" s="702"/>
      <c r="H354" s="702"/>
      <c r="I354" s="702"/>
      <c r="J354" s="702"/>
      <c r="K354" s="702"/>
      <c r="L354" s="702"/>
      <c r="M354" s="702"/>
      <c r="N354" s="702"/>
      <c r="O354" s="702"/>
      <c r="P354" s="702"/>
      <c r="Q354" s="702"/>
      <c r="R354" s="702"/>
      <c r="S354" s="702"/>
      <c r="T354" s="702"/>
      <c r="U354" s="702"/>
      <c r="V354" s="702"/>
      <c r="W354" s="702"/>
      <c r="X354" s="702"/>
      <c r="Y354" s="702"/>
      <c r="Z354" s="702"/>
      <c r="AA354" s="702"/>
      <c r="AB354" s="702"/>
      <c r="AC354" s="702"/>
    </row>
    <row r="355" ht="15.75" customHeight="1">
      <c r="A355" s="702"/>
      <c r="B355" s="702"/>
      <c r="C355" s="702"/>
      <c r="D355" s="702"/>
      <c r="E355" s="702"/>
      <c r="F355" s="702"/>
      <c r="G355" s="702"/>
      <c r="H355" s="702"/>
      <c r="I355" s="702"/>
      <c r="J355" s="702"/>
      <c r="K355" s="702"/>
      <c r="L355" s="702"/>
      <c r="M355" s="702"/>
      <c r="N355" s="702"/>
      <c r="O355" s="702"/>
      <c r="P355" s="702"/>
      <c r="Q355" s="702"/>
      <c r="R355" s="702"/>
      <c r="S355" s="702"/>
      <c r="T355" s="702"/>
      <c r="U355" s="702"/>
      <c r="V355" s="702"/>
      <c r="W355" s="702"/>
      <c r="X355" s="702"/>
      <c r="Y355" s="702"/>
      <c r="Z355" s="702"/>
      <c r="AA355" s="702"/>
      <c r="AB355" s="702"/>
      <c r="AC355" s="702"/>
    </row>
    <row r="356" ht="15.75" customHeight="1">
      <c r="A356" s="702"/>
      <c r="B356" s="702"/>
      <c r="C356" s="702"/>
      <c r="D356" s="702"/>
      <c r="E356" s="702"/>
      <c r="F356" s="702"/>
      <c r="G356" s="702"/>
      <c r="H356" s="702"/>
      <c r="I356" s="702"/>
      <c r="J356" s="702"/>
      <c r="K356" s="702"/>
      <c r="L356" s="702"/>
      <c r="M356" s="702"/>
      <c r="N356" s="702"/>
      <c r="O356" s="702"/>
      <c r="P356" s="702"/>
      <c r="Q356" s="702"/>
      <c r="R356" s="702"/>
      <c r="S356" s="702"/>
      <c r="T356" s="702"/>
      <c r="U356" s="702"/>
      <c r="V356" s="702"/>
      <c r="W356" s="702"/>
      <c r="X356" s="702"/>
      <c r="Y356" s="702"/>
      <c r="Z356" s="702"/>
      <c r="AA356" s="702"/>
      <c r="AB356" s="702"/>
      <c r="AC356" s="702"/>
    </row>
    <row r="357" ht="15.75" customHeight="1">
      <c r="A357" s="702"/>
      <c r="B357" s="702"/>
      <c r="C357" s="702"/>
      <c r="D357" s="702"/>
      <c r="E357" s="702"/>
      <c r="F357" s="702"/>
      <c r="G357" s="702"/>
      <c r="H357" s="702"/>
      <c r="I357" s="702"/>
      <c r="J357" s="702"/>
      <c r="K357" s="702"/>
      <c r="L357" s="702"/>
      <c r="M357" s="702"/>
      <c r="N357" s="702"/>
      <c r="O357" s="702"/>
      <c r="P357" s="702"/>
      <c r="Q357" s="702"/>
      <c r="R357" s="702"/>
      <c r="S357" s="702"/>
      <c r="T357" s="702"/>
      <c r="U357" s="702"/>
      <c r="V357" s="702"/>
      <c r="W357" s="702"/>
      <c r="X357" s="702"/>
      <c r="Y357" s="702"/>
      <c r="Z357" s="702"/>
      <c r="AA357" s="702"/>
      <c r="AB357" s="702"/>
      <c r="AC357" s="702"/>
    </row>
    <row r="358" ht="15.75" customHeight="1">
      <c r="A358" s="702"/>
      <c r="B358" s="702"/>
      <c r="C358" s="702"/>
      <c r="D358" s="702"/>
      <c r="E358" s="702"/>
      <c r="F358" s="702"/>
      <c r="G358" s="702"/>
      <c r="H358" s="702"/>
      <c r="I358" s="702"/>
      <c r="J358" s="702"/>
      <c r="K358" s="702"/>
      <c r="L358" s="702"/>
      <c r="M358" s="702"/>
      <c r="N358" s="702"/>
      <c r="O358" s="702"/>
      <c r="P358" s="702"/>
      <c r="Q358" s="702"/>
      <c r="R358" s="702"/>
      <c r="S358" s="702"/>
      <c r="T358" s="702"/>
      <c r="U358" s="702"/>
      <c r="V358" s="702"/>
      <c r="W358" s="702"/>
      <c r="X358" s="702"/>
      <c r="Y358" s="702"/>
      <c r="Z358" s="702"/>
      <c r="AA358" s="702"/>
      <c r="AB358" s="702"/>
      <c r="AC358" s="702"/>
    </row>
    <row r="359" ht="15.75" customHeight="1">
      <c r="A359" s="702"/>
      <c r="B359" s="702"/>
      <c r="C359" s="702"/>
      <c r="D359" s="702"/>
      <c r="E359" s="702"/>
      <c r="F359" s="702"/>
      <c r="G359" s="702"/>
      <c r="H359" s="702"/>
      <c r="I359" s="702"/>
      <c r="J359" s="702"/>
      <c r="K359" s="702"/>
      <c r="L359" s="702"/>
      <c r="M359" s="702"/>
      <c r="N359" s="702"/>
      <c r="O359" s="702"/>
      <c r="P359" s="702"/>
      <c r="Q359" s="702"/>
      <c r="R359" s="702"/>
      <c r="S359" s="702"/>
      <c r="T359" s="702"/>
      <c r="U359" s="702"/>
      <c r="V359" s="702"/>
      <c r="W359" s="702"/>
      <c r="X359" s="702"/>
      <c r="Y359" s="702"/>
      <c r="Z359" s="702"/>
      <c r="AA359" s="702"/>
      <c r="AB359" s="702"/>
      <c r="AC359" s="702"/>
    </row>
    <row r="360" ht="15.75" customHeight="1">
      <c r="A360" s="702"/>
      <c r="B360" s="702"/>
      <c r="C360" s="702"/>
      <c r="D360" s="702"/>
      <c r="E360" s="702"/>
      <c r="F360" s="702"/>
      <c r="G360" s="702"/>
      <c r="H360" s="702"/>
      <c r="I360" s="702"/>
      <c r="J360" s="702"/>
      <c r="K360" s="702"/>
      <c r="L360" s="702"/>
      <c r="M360" s="702"/>
      <c r="N360" s="702"/>
      <c r="O360" s="702"/>
      <c r="P360" s="702"/>
      <c r="Q360" s="702"/>
      <c r="R360" s="702"/>
      <c r="S360" s="702"/>
      <c r="T360" s="702"/>
      <c r="U360" s="702"/>
      <c r="V360" s="702"/>
      <c r="W360" s="702"/>
      <c r="X360" s="702"/>
      <c r="Y360" s="702"/>
      <c r="Z360" s="702"/>
      <c r="AA360" s="702"/>
      <c r="AB360" s="702"/>
      <c r="AC360" s="702"/>
    </row>
    <row r="361" ht="15.75" customHeight="1">
      <c r="A361" s="702"/>
      <c r="B361" s="702"/>
      <c r="C361" s="702"/>
      <c r="D361" s="702"/>
      <c r="E361" s="702"/>
      <c r="F361" s="702"/>
      <c r="G361" s="702"/>
      <c r="H361" s="702"/>
      <c r="I361" s="702"/>
      <c r="J361" s="702"/>
      <c r="K361" s="702"/>
      <c r="L361" s="702"/>
      <c r="M361" s="702"/>
      <c r="N361" s="702"/>
      <c r="O361" s="702"/>
      <c r="P361" s="702"/>
      <c r="Q361" s="702"/>
      <c r="R361" s="702"/>
      <c r="S361" s="702"/>
      <c r="T361" s="702"/>
      <c r="U361" s="702"/>
      <c r="V361" s="702"/>
      <c r="W361" s="702"/>
      <c r="X361" s="702"/>
      <c r="Y361" s="702"/>
      <c r="Z361" s="702"/>
      <c r="AA361" s="702"/>
      <c r="AB361" s="702"/>
      <c r="AC361" s="702"/>
    </row>
    <row r="362" ht="15.75" customHeight="1">
      <c r="A362" s="702"/>
      <c r="B362" s="702"/>
      <c r="C362" s="702"/>
      <c r="D362" s="702"/>
      <c r="E362" s="702"/>
      <c r="F362" s="702"/>
      <c r="G362" s="702"/>
      <c r="H362" s="702"/>
      <c r="I362" s="702"/>
      <c r="J362" s="702"/>
      <c r="K362" s="702"/>
      <c r="L362" s="702"/>
      <c r="M362" s="702"/>
      <c r="N362" s="702"/>
      <c r="O362" s="702"/>
      <c r="P362" s="702"/>
      <c r="Q362" s="702"/>
      <c r="R362" s="702"/>
      <c r="S362" s="702"/>
      <c r="T362" s="702"/>
      <c r="U362" s="702"/>
      <c r="V362" s="702"/>
      <c r="W362" s="702"/>
      <c r="X362" s="702"/>
      <c r="Y362" s="702"/>
      <c r="Z362" s="702"/>
      <c r="AA362" s="702"/>
      <c r="AB362" s="702"/>
      <c r="AC362" s="702"/>
    </row>
    <row r="363" ht="15.75" customHeight="1">
      <c r="A363" s="702"/>
      <c r="B363" s="702"/>
      <c r="C363" s="702"/>
      <c r="D363" s="702"/>
      <c r="E363" s="702"/>
      <c r="F363" s="702"/>
      <c r="G363" s="702"/>
      <c r="H363" s="702"/>
      <c r="I363" s="702"/>
      <c r="J363" s="702"/>
      <c r="K363" s="702"/>
      <c r="L363" s="702"/>
      <c r="M363" s="702"/>
      <c r="N363" s="702"/>
      <c r="O363" s="702"/>
      <c r="P363" s="702"/>
      <c r="Q363" s="702"/>
      <c r="R363" s="702"/>
      <c r="S363" s="702"/>
      <c r="T363" s="702"/>
      <c r="U363" s="702"/>
      <c r="V363" s="702"/>
      <c r="W363" s="702"/>
      <c r="X363" s="702"/>
      <c r="Y363" s="702"/>
      <c r="Z363" s="702"/>
      <c r="AA363" s="702"/>
      <c r="AB363" s="702"/>
      <c r="AC363" s="702"/>
    </row>
    <row r="364" ht="15.75" customHeight="1">
      <c r="A364" s="702"/>
      <c r="B364" s="702"/>
      <c r="C364" s="702"/>
      <c r="D364" s="702"/>
      <c r="E364" s="702"/>
      <c r="F364" s="702"/>
      <c r="G364" s="702"/>
      <c r="H364" s="702"/>
      <c r="I364" s="702"/>
      <c r="J364" s="702"/>
      <c r="K364" s="702"/>
      <c r="L364" s="702"/>
      <c r="M364" s="702"/>
      <c r="N364" s="702"/>
      <c r="O364" s="702"/>
      <c r="P364" s="702"/>
      <c r="Q364" s="702"/>
      <c r="R364" s="702"/>
      <c r="S364" s="702"/>
      <c r="T364" s="702"/>
      <c r="U364" s="702"/>
      <c r="V364" s="702"/>
      <c r="W364" s="702"/>
      <c r="X364" s="702"/>
      <c r="Y364" s="702"/>
      <c r="Z364" s="702"/>
      <c r="AA364" s="702"/>
      <c r="AB364" s="702"/>
      <c r="AC364" s="702"/>
    </row>
    <row r="365" ht="15.75" customHeight="1">
      <c r="A365" s="702"/>
      <c r="B365" s="702"/>
      <c r="C365" s="702"/>
      <c r="D365" s="702"/>
      <c r="E365" s="702"/>
      <c r="F365" s="702"/>
      <c r="G365" s="702"/>
      <c r="H365" s="702"/>
      <c r="I365" s="702"/>
      <c r="J365" s="702"/>
      <c r="K365" s="702"/>
      <c r="L365" s="702"/>
      <c r="M365" s="702"/>
      <c r="N365" s="702"/>
      <c r="O365" s="702"/>
      <c r="P365" s="702"/>
      <c r="Q365" s="702"/>
      <c r="R365" s="702"/>
      <c r="S365" s="702"/>
      <c r="T365" s="702"/>
      <c r="U365" s="702"/>
      <c r="V365" s="702"/>
      <c r="W365" s="702"/>
      <c r="X365" s="702"/>
      <c r="Y365" s="702"/>
      <c r="Z365" s="702"/>
      <c r="AA365" s="702"/>
      <c r="AB365" s="702"/>
      <c r="AC365" s="702"/>
    </row>
    <row r="366" ht="15.75" customHeight="1">
      <c r="A366" s="702"/>
      <c r="B366" s="702"/>
      <c r="C366" s="702"/>
      <c r="D366" s="702"/>
      <c r="E366" s="702"/>
      <c r="F366" s="702"/>
      <c r="G366" s="702"/>
      <c r="H366" s="702"/>
      <c r="I366" s="702"/>
      <c r="J366" s="702"/>
      <c r="K366" s="702"/>
      <c r="L366" s="702"/>
      <c r="M366" s="702"/>
      <c r="N366" s="702"/>
      <c r="O366" s="702"/>
      <c r="P366" s="702"/>
      <c r="Q366" s="702"/>
      <c r="R366" s="702"/>
      <c r="S366" s="702"/>
      <c r="T366" s="702"/>
      <c r="U366" s="702"/>
      <c r="V366" s="702"/>
      <c r="W366" s="702"/>
      <c r="X366" s="702"/>
      <c r="Y366" s="702"/>
      <c r="Z366" s="702"/>
      <c r="AA366" s="702"/>
      <c r="AB366" s="702"/>
      <c r="AC366" s="702"/>
    </row>
    <row r="367" ht="15.75" customHeight="1">
      <c r="A367" s="702"/>
      <c r="B367" s="702"/>
      <c r="C367" s="702"/>
      <c r="D367" s="702"/>
      <c r="E367" s="702"/>
      <c r="F367" s="702"/>
      <c r="G367" s="702"/>
      <c r="H367" s="702"/>
      <c r="I367" s="702"/>
      <c r="J367" s="702"/>
      <c r="K367" s="702"/>
      <c r="L367" s="702"/>
      <c r="M367" s="702"/>
      <c r="N367" s="702"/>
      <c r="O367" s="702"/>
      <c r="P367" s="702"/>
      <c r="Q367" s="702"/>
      <c r="R367" s="702"/>
      <c r="S367" s="702"/>
      <c r="T367" s="702"/>
      <c r="U367" s="702"/>
      <c r="V367" s="702"/>
      <c r="W367" s="702"/>
      <c r="X367" s="702"/>
      <c r="Y367" s="702"/>
      <c r="Z367" s="702"/>
      <c r="AA367" s="702"/>
      <c r="AB367" s="702"/>
      <c r="AC367" s="702"/>
    </row>
    <row r="368" ht="15.75" customHeight="1">
      <c r="A368" s="702"/>
      <c r="B368" s="702"/>
      <c r="C368" s="702"/>
      <c r="D368" s="702"/>
      <c r="E368" s="702"/>
      <c r="F368" s="702"/>
      <c r="G368" s="702"/>
      <c r="H368" s="702"/>
      <c r="I368" s="702"/>
      <c r="J368" s="702"/>
      <c r="K368" s="702"/>
      <c r="L368" s="702"/>
      <c r="M368" s="702"/>
      <c r="N368" s="702"/>
      <c r="O368" s="702"/>
      <c r="P368" s="702"/>
      <c r="Q368" s="702"/>
      <c r="R368" s="702"/>
      <c r="S368" s="702"/>
      <c r="T368" s="702"/>
      <c r="U368" s="702"/>
      <c r="V368" s="702"/>
      <c r="W368" s="702"/>
      <c r="X368" s="702"/>
      <c r="Y368" s="702"/>
      <c r="Z368" s="702"/>
      <c r="AA368" s="702"/>
      <c r="AB368" s="702"/>
      <c r="AC368" s="702"/>
    </row>
    <row r="369" ht="15.75" customHeight="1">
      <c r="A369" s="702"/>
      <c r="B369" s="702"/>
      <c r="C369" s="702"/>
      <c r="D369" s="702"/>
      <c r="E369" s="702"/>
      <c r="F369" s="702"/>
      <c r="G369" s="702"/>
      <c r="H369" s="702"/>
      <c r="I369" s="702"/>
      <c r="J369" s="702"/>
      <c r="K369" s="702"/>
      <c r="L369" s="702"/>
      <c r="M369" s="702"/>
      <c r="N369" s="702"/>
      <c r="O369" s="702"/>
      <c r="P369" s="702"/>
      <c r="Q369" s="702"/>
      <c r="R369" s="702"/>
      <c r="S369" s="702"/>
      <c r="T369" s="702"/>
      <c r="U369" s="702"/>
      <c r="V369" s="702"/>
      <c r="W369" s="702"/>
      <c r="X369" s="702"/>
      <c r="Y369" s="702"/>
      <c r="Z369" s="702"/>
      <c r="AA369" s="702"/>
      <c r="AB369" s="702"/>
      <c r="AC369" s="702"/>
    </row>
    <row r="370" ht="15.75" customHeight="1">
      <c r="A370" s="702"/>
      <c r="B370" s="702"/>
      <c r="C370" s="702"/>
      <c r="D370" s="702"/>
      <c r="E370" s="702"/>
      <c r="F370" s="702"/>
      <c r="G370" s="702"/>
      <c r="H370" s="702"/>
      <c r="I370" s="702"/>
      <c r="J370" s="702"/>
      <c r="K370" s="702"/>
      <c r="L370" s="702"/>
      <c r="M370" s="702"/>
      <c r="N370" s="702"/>
      <c r="O370" s="702"/>
      <c r="P370" s="702"/>
      <c r="Q370" s="702"/>
      <c r="R370" s="702"/>
      <c r="S370" s="702"/>
      <c r="T370" s="702"/>
      <c r="U370" s="702"/>
      <c r="V370" s="702"/>
      <c r="W370" s="702"/>
      <c r="X370" s="702"/>
      <c r="Y370" s="702"/>
      <c r="Z370" s="702"/>
      <c r="AA370" s="702"/>
      <c r="AB370" s="702"/>
      <c r="AC370" s="702"/>
    </row>
    <row r="371" ht="15.75" customHeight="1">
      <c r="A371" s="702"/>
      <c r="B371" s="702"/>
      <c r="C371" s="702"/>
      <c r="D371" s="702"/>
      <c r="E371" s="702"/>
      <c r="F371" s="702"/>
      <c r="G371" s="702"/>
      <c r="H371" s="702"/>
      <c r="I371" s="702"/>
      <c r="J371" s="702"/>
      <c r="K371" s="702"/>
      <c r="L371" s="702"/>
      <c r="M371" s="702"/>
      <c r="N371" s="702"/>
      <c r="O371" s="702"/>
      <c r="P371" s="702"/>
      <c r="Q371" s="702"/>
      <c r="R371" s="702"/>
      <c r="S371" s="702"/>
      <c r="T371" s="702"/>
      <c r="U371" s="702"/>
      <c r="V371" s="702"/>
      <c r="W371" s="702"/>
      <c r="X371" s="702"/>
      <c r="Y371" s="702"/>
      <c r="Z371" s="702"/>
      <c r="AA371" s="702"/>
      <c r="AB371" s="702"/>
      <c r="AC371" s="702"/>
    </row>
    <row r="372" ht="15.75" customHeight="1">
      <c r="A372" s="702"/>
      <c r="B372" s="702"/>
      <c r="C372" s="702"/>
      <c r="D372" s="702"/>
      <c r="E372" s="702"/>
      <c r="F372" s="702"/>
      <c r="G372" s="702"/>
      <c r="H372" s="702"/>
      <c r="I372" s="702"/>
      <c r="J372" s="702"/>
      <c r="K372" s="702"/>
      <c r="L372" s="702"/>
      <c r="M372" s="702"/>
      <c r="N372" s="702"/>
      <c r="O372" s="702"/>
      <c r="P372" s="702"/>
      <c r="Q372" s="702"/>
      <c r="R372" s="702"/>
      <c r="S372" s="702"/>
      <c r="T372" s="702"/>
      <c r="U372" s="702"/>
      <c r="V372" s="702"/>
      <c r="W372" s="702"/>
      <c r="X372" s="702"/>
      <c r="Y372" s="702"/>
      <c r="Z372" s="702"/>
      <c r="AA372" s="702"/>
      <c r="AB372" s="702"/>
      <c r="AC372" s="702"/>
    </row>
    <row r="373" ht="15.75" customHeight="1">
      <c r="A373" s="702"/>
      <c r="B373" s="702"/>
      <c r="C373" s="702"/>
      <c r="D373" s="702"/>
      <c r="E373" s="702"/>
      <c r="F373" s="702"/>
      <c r="G373" s="702"/>
      <c r="H373" s="702"/>
      <c r="I373" s="702"/>
      <c r="J373" s="702"/>
      <c r="K373" s="702"/>
      <c r="L373" s="702"/>
      <c r="M373" s="702"/>
      <c r="N373" s="702"/>
      <c r="O373" s="702"/>
      <c r="P373" s="702"/>
      <c r="Q373" s="702"/>
      <c r="R373" s="702"/>
      <c r="S373" s="702"/>
      <c r="T373" s="702"/>
      <c r="U373" s="702"/>
      <c r="V373" s="702"/>
      <c r="W373" s="702"/>
      <c r="X373" s="702"/>
      <c r="Y373" s="702"/>
      <c r="Z373" s="702"/>
      <c r="AA373" s="702"/>
      <c r="AB373" s="702"/>
      <c r="AC373" s="702"/>
    </row>
    <row r="374" ht="15.75" customHeight="1">
      <c r="A374" s="702"/>
      <c r="B374" s="702"/>
      <c r="C374" s="702"/>
      <c r="D374" s="702"/>
      <c r="E374" s="702"/>
      <c r="F374" s="702"/>
      <c r="G374" s="702"/>
      <c r="H374" s="702"/>
      <c r="I374" s="702"/>
      <c r="J374" s="702"/>
      <c r="K374" s="702"/>
      <c r="L374" s="702"/>
      <c r="M374" s="702"/>
      <c r="N374" s="702"/>
      <c r="O374" s="702"/>
      <c r="P374" s="702"/>
      <c r="Q374" s="702"/>
      <c r="R374" s="702"/>
      <c r="S374" s="702"/>
      <c r="T374" s="702"/>
      <c r="U374" s="702"/>
      <c r="V374" s="702"/>
      <c r="W374" s="702"/>
      <c r="X374" s="702"/>
      <c r="Y374" s="702"/>
      <c r="Z374" s="702"/>
      <c r="AA374" s="702"/>
      <c r="AB374" s="702"/>
      <c r="AC374" s="702"/>
    </row>
    <row r="375" ht="15.75" customHeight="1">
      <c r="A375" s="702"/>
      <c r="B375" s="702"/>
      <c r="C375" s="702"/>
      <c r="D375" s="702"/>
      <c r="E375" s="702"/>
      <c r="F375" s="702"/>
      <c r="G375" s="702"/>
      <c r="H375" s="702"/>
      <c r="I375" s="702"/>
      <c r="J375" s="702"/>
      <c r="K375" s="702"/>
      <c r="L375" s="702"/>
      <c r="M375" s="702"/>
      <c r="N375" s="702"/>
      <c r="O375" s="702"/>
      <c r="P375" s="702"/>
      <c r="Q375" s="702"/>
      <c r="R375" s="702"/>
      <c r="S375" s="702"/>
      <c r="T375" s="702"/>
      <c r="U375" s="702"/>
      <c r="V375" s="702"/>
      <c r="W375" s="702"/>
      <c r="X375" s="702"/>
      <c r="Y375" s="702"/>
      <c r="Z375" s="702"/>
      <c r="AA375" s="702"/>
      <c r="AB375" s="702"/>
      <c r="AC375" s="702"/>
    </row>
    <row r="376" ht="15.75" customHeight="1">
      <c r="A376" s="702"/>
      <c r="B376" s="702"/>
      <c r="C376" s="702"/>
      <c r="D376" s="702"/>
      <c r="E376" s="702"/>
      <c r="F376" s="702"/>
      <c r="G376" s="702"/>
      <c r="H376" s="702"/>
      <c r="I376" s="702"/>
      <c r="J376" s="702"/>
      <c r="K376" s="702"/>
      <c r="L376" s="702"/>
      <c r="M376" s="702"/>
      <c r="N376" s="702"/>
      <c r="O376" s="702"/>
      <c r="P376" s="702"/>
      <c r="Q376" s="702"/>
      <c r="R376" s="702"/>
      <c r="S376" s="702"/>
      <c r="T376" s="702"/>
      <c r="U376" s="702"/>
      <c r="V376" s="702"/>
      <c r="W376" s="702"/>
      <c r="X376" s="702"/>
      <c r="Y376" s="702"/>
      <c r="Z376" s="702"/>
      <c r="AA376" s="702"/>
      <c r="AB376" s="702"/>
      <c r="AC376" s="702"/>
    </row>
    <row r="377" ht="15.75" customHeight="1">
      <c r="A377" s="702"/>
      <c r="B377" s="702"/>
      <c r="C377" s="702"/>
      <c r="D377" s="702"/>
      <c r="E377" s="702"/>
      <c r="F377" s="702"/>
      <c r="G377" s="702"/>
      <c r="H377" s="702"/>
      <c r="I377" s="702"/>
      <c r="J377" s="702"/>
      <c r="K377" s="702"/>
      <c r="L377" s="702"/>
      <c r="M377" s="702"/>
      <c r="N377" s="702"/>
      <c r="O377" s="702"/>
      <c r="P377" s="702"/>
      <c r="Q377" s="702"/>
      <c r="R377" s="702"/>
      <c r="S377" s="702"/>
      <c r="T377" s="702"/>
      <c r="U377" s="702"/>
      <c r="V377" s="702"/>
      <c r="W377" s="702"/>
      <c r="X377" s="702"/>
      <c r="Y377" s="702"/>
      <c r="Z377" s="702"/>
      <c r="AA377" s="702"/>
      <c r="AB377" s="702"/>
      <c r="AC377" s="702"/>
    </row>
    <row r="378" ht="15.75" customHeight="1">
      <c r="A378" s="702"/>
      <c r="B378" s="702"/>
      <c r="C378" s="702"/>
      <c r="D378" s="702"/>
      <c r="E378" s="702"/>
      <c r="F378" s="702"/>
      <c r="G378" s="702"/>
      <c r="H378" s="702"/>
      <c r="I378" s="702"/>
      <c r="J378" s="702"/>
      <c r="K378" s="702"/>
      <c r="L378" s="702"/>
      <c r="M378" s="702"/>
      <c r="N378" s="702"/>
      <c r="O378" s="702"/>
      <c r="P378" s="702"/>
      <c r="Q378" s="702"/>
      <c r="R378" s="702"/>
      <c r="S378" s="702"/>
      <c r="T378" s="702"/>
      <c r="U378" s="702"/>
      <c r="V378" s="702"/>
      <c r="W378" s="702"/>
      <c r="X378" s="702"/>
      <c r="Y378" s="702"/>
      <c r="Z378" s="702"/>
      <c r="AA378" s="702"/>
      <c r="AB378" s="702"/>
      <c r="AC378" s="702"/>
    </row>
    <row r="379" ht="15.75" customHeight="1">
      <c r="A379" s="702"/>
      <c r="B379" s="702"/>
      <c r="C379" s="702"/>
      <c r="D379" s="702"/>
      <c r="E379" s="702"/>
      <c r="F379" s="702"/>
      <c r="G379" s="702"/>
      <c r="H379" s="702"/>
      <c r="I379" s="702"/>
      <c r="J379" s="702"/>
      <c r="K379" s="702"/>
      <c r="L379" s="702"/>
      <c r="M379" s="702"/>
      <c r="N379" s="702"/>
      <c r="O379" s="702"/>
      <c r="P379" s="702"/>
      <c r="Q379" s="702"/>
      <c r="R379" s="702"/>
      <c r="S379" s="702"/>
      <c r="T379" s="702"/>
      <c r="U379" s="702"/>
      <c r="V379" s="702"/>
      <c r="W379" s="702"/>
      <c r="X379" s="702"/>
      <c r="Y379" s="702"/>
      <c r="Z379" s="702"/>
      <c r="AA379" s="702"/>
      <c r="AB379" s="702"/>
      <c r="AC379" s="702"/>
    </row>
    <row r="380" ht="15.75" customHeight="1">
      <c r="A380" s="702"/>
      <c r="B380" s="702"/>
      <c r="C380" s="702"/>
      <c r="D380" s="702"/>
      <c r="E380" s="702"/>
      <c r="F380" s="702"/>
      <c r="G380" s="702"/>
      <c r="H380" s="702"/>
      <c r="I380" s="702"/>
      <c r="J380" s="702"/>
      <c r="K380" s="702"/>
      <c r="L380" s="702"/>
      <c r="M380" s="702"/>
      <c r="N380" s="702"/>
      <c r="O380" s="702"/>
      <c r="P380" s="702"/>
      <c r="Q380" s="702"/>
      <c r="R380" s="702"/>
      <c r="S380" s="702"/>
      <c r="T380" s="702"/>
      <c r="U380" s="702"/>
      <c r="V380" s="702"/>
      <c r="W380" s="702"/>
      <c r="X380" s="702"/>
      <c r="Y380" s="702"/>
      <c r="Z380" s="702"/>
      <c r="AA380" s="702"/>
      <c r="AB380" s="702"/>
      <c r="AC380" s="702"/>
    </row>
    <row r="381" ht="15.75" customHeight="1">
      <c r="A381" s="702"/>
      <c r="B381" s="702"/>
      <c r="C381" s="702"/>
      <c r="D381" s="702"/>
      <c r="E381" s="702"/>
      <c r="F381" s="702"/>
      <c r="G381" s="702"/>
      <c r="H381" s="702"/>
      <c r="I381" s="702"/>
      <c r="J381" s="702"/>
      <c r="K381" s="702"/>
      <c r="L381" s="702"/>
      <c r="M381" s="702"/>
      <c r="N381" s="702"/>
      <c r="O381" s="702"/>
      <c r="P381" s="702"/>
      <c r="Q381" s="702"/>
      <c r="R381" s="702"/>
      <c r="S381" s="702"/>
      <c r="T381" s="702"/>
      <c r="U381" s="702"/>
      <c r="V381" s="702"/>
      <c r="W381" s="702"/>
      <c r="X381" s="702"/>
      <c r="Y381" s="702"/>
      <c r="Z381" s="702"/>
      <c r="AA381" s="702"/>
      <c r="AB381" s="702"/>
      <c r="AC381" s="702"/>
    </row>
    <row r="382" ht="15.75" customHeight="1">
      <c r="A382" s="702"/>
      <c r="B382" s="702"/>
      <c r="C382" s="702"/>
      <c r="D382" s="702"/>
      <c r="E382" s="702"/>
      <c r="F382" s="702"/>
      <c r="G382" s="702"/>
      <c r="H382" s="702"/>
      <c r="I382" s="702"/>
      <c r="J382" s="702"/>
      <c r="K382" s="702"/>
      <c r="L382" s="702"/>
      <c r="M382" s="702"/>
      <c r="N382" s="702"/>
      <c r="O382" s="702"/>
      <c r="P382" s="702"/>
      <c r="Q382" s="702"/>
      <c r="R382" s="702"/>
      <c r="S382" s="702"/>
      <c r="T382" s="702"/>
      <c r="U382" s="702"/>
      <c r="V382" s="702"/>
      <c r="W382" s="702"/>
      <c r="X382" s="702"/>
      <c r="Y382" s="702"/>
      <c r="Z382" s="702"/>
      <c r="AA382" s="702"/>
      <c r="AB382" s="702"/>
      <c r="AC382" s="702"/>
    </row>
    <row r="383" ht="15.75" customHeight="1">
      <c r="A383" s="702"/>
      <c r="B383" s="702"/>
      <c r="C383" s="702"/>
      <c r="D383" s="702"/>
      <c r="E383" s="702"/>
      <c r="F383" s="702"/>
      <c r="G383" s="702"/>
      <c r="H383" s="702"/>
      <c r="I383" s="702"/>
      <c r="J383" s="702"/>
      <c r="K383" s="702"/>
      <c r="L383" s="702"/>
      <c r="M383" s="702"/>
      <c r="N383" s="702"/>
      <c r="O383" s="702"/>
      <c r="P383" s="702"/>
      <c r="Q383" s="702"/>
      <c r="R383" s="702"/>
      <c r="S383" s="702"/>
      <c r="T383" s="702"/>
      <c r="U383" s="702"/>
      <c r="V383" s="702"/>
      <c r="W383" s="702"/>
      <c r="X383" s="702"/>
      <c r="Y383" s="702"/>
      <c r="Z383" s="702"/>
      <c r="AA383" s="702"/>
      <c r="AB383" s="702"/>
      <c r="AC383" s="702"/>
    </row>
    <row r="384" ht="15.75" customHeight="1">
      <c r="A384" s="702"/>
      <c r="B384" s="702"/>
      <c r="C384" s="702"/>
      <c r="D384" s="702"/>
      <c r="E384" s="702"/>
      <c r="F384" s="702"/>
      <c r="G384" s="702"/>
      <c r="H384" s="702"/>
      <c r="I384" s="702"/>
      <c r="J384" s="702"/>
      <c r="K384" s="702"/>
      <c r="L384" s="702"/>
      <c r="M384" s="702"/>
      <c r="N384" s="702"/>
      <c r="O384" s="702"/>
      <c r="P384" s="702"/>
      <c r="Q384" s="702"/>
      <c r="R384" s="702"/>
      <c r="S384" s="702"/>
      <c r="T384" s="702"/>
      <c r="U384" s="702"/>
      <c r="V384" s="702"/>
      <c r="W384" s="702"/>
      <c r="X384" s="702"/>
      <c r="Y384" s="702"/>
      <c r="Z384" s="702"/>
      <c r="AA384" s="702"/>
      <c r="AB384" s="702"/>
      <c r="AC384" s="702"/>
    </row>
    <row r="385" ht="15.75" customHeight="1">
      <c r="A385" s="702"/>
      <c r="B385" s="702"/>
      <c r="C385" s="702"/>
      <c r="D385" s="702"/>
      <c r="E385" s="702"/>
      <c r="F385" s="702"/>
      <c r="G385" s="702"/>
      <c r="H385" s="702"/>
      <c r="I385" s="702"/>
      <c r="J385" s="702"/>
      <c r="K385" s="702"/>
      <c r="L385" s="702"/>
      <c r="M385" s="702"/>
      <c r="N385" s="702"/>
      <c r="O385" s="702"/>
      <c r="P385" s="702"/>
      <c r="Q385" s="702"/>
      <c r="R385" s="702"/>
      <c r="S385" s="702"/>
      <c r="T385" s="702"/>
      <c r="U385" s="702"/>
      <c r="V385" s="702"/>
      <c r="W385" s="702"/>
      <c r="X385" s="702"/>
      <c r="Y385" s="702"/>
      <c r="Z385" s="702"/>
      <c r="AA385" s="702"/>
      <c r="AB385" s="702"/>
      <c r="AC385" s="702"/>
    </row>
    <row r="386" ht="15.75" customHeight="1">
      <c r="A386" s="702"/>
      <c r="B386" s="702"/>
      <c r="C386" s="702"/>
      <c r="D386" s="702"/>
      <c r="E386" s="702"/>
      <c r="F386" s="702"/>
      <c r="G386" s="702"/>
      <c r="H386" s="702"/>
      <c r="I386" s="702"/>
      <c r="J386" s="702"/>
      <c r="K386" s="702"/>
      <c r="L386" s="702"/>
      <c r="M386" s="702"/>
      <c r="N386" s="702"/>
      <c r="O386" s="702"/>
      <c r="P386" s="702"/>
      <c r="Q386" s="702"/>
      <c r="R386" s="702"/>
      <c r="S386" s="702"/>
      <c r="T386" s="702"/>
      <c r="U386" s="702"/>
      <c r="V386" s="702"/>
      <c r="W386" s="702"/>
      <c r="X386" s="702"/>
      <c r="Y386" s="702"/>
      <c r="Z386" s="702"/>
      <c r="AA386" s="702"/>
      <c r="AB386" s="702"/>
      <c r="AC386" s="702"/>
    </row>
    <row r="387" ht="15.75" customHeight="1">
      <c r="A387" s="702"/>
      <c r="B387" s="702"/>
      <c r="C387" s="702"/>
      <c r="D387" s="702"/>
      <c r="E387" s="702"/>
      <c r="F387" s="702"/>
      <c r="G387" s="702"/>
      <c r="H387" s="702"/>
      <c r="I387" s="702"/>
      <c r="J387" s="702"/>
      <c r="K387" s="702"/>
      <c r="L387" s="702"/>
      <c r="M387" s="702"/>
      <c r="N387" s="702"/>
      <c r="O387" s="702"/>
      <c r="P387" s="702"/>
      <c r="Q387" s="702"/>
      <c r="R387" s="702"/>
      <c r="S387" s="702"/>
      <c r="T387" s="702"/>
      <c r="U387" s="702"/>
      <c r="V387" s="702"/>
      <c r="W387" s="702"/>
      <c r="X387" s="702"/>
      <c r="Y387" s="702"/>
      <c r="Z387" s="702"/>
      <c r="AA387" s="702"/>
      <c r="AB387" s="702"/>
      <c r="AC387" s="702"/>
    </row>
    <row r="388" ht="15.75" customHeight="1">
      <c r="A388" s="702"/>
      <c r="B388" s="702"/>
      <c r="C388" s="702"/>
      <c r="D388" s="702"/>
      <c r="E388" s="702"/>
      <c r="F388" s="702"/>
      <c r="G388" s="702"/>
      <c r="H388" s="702"/>
      <c r="I388" s="702"/>
      <c r="J388" s="702"/>
      <c r="K388" s="702"/>
      <c r="L388" s="702"/>
      <c r="M388" s="702"/>
      <c r="N388" s="702"/>
      <c r="O388" s="702"/>
      <c r="P388" s="702"/>
      <c r="Q388" s="702"/>
      <c r="R388" s="702"/>
      <c r="S388" s="702"/>
      <c r="T388" s="702"/>
      <c r="U388" s="702"/>
      <c r="V388" s="702"/>
      <c r="W388" s="702"/>
      <c r="X388" s="702"/>
      <c r="Y388" s="702"/>
      <c r="Z388" s="702"/>
      <c r="AA388" s="702"/>
      <c r="AB388" s="702"/>
      <c r="AC388" s="702"/>
    </row>
    <row r="389" ht="15.75" customHeight="1">
      <c r="A389" s="702"/>
      <c r="B389" s="702"/>
      <c r="C389" s="702"/>
      <c r="D389" s="702"/>
      <c r="E389" s="702"/>
      <c r="F389" s="702"/>
      <c r="G389" s="702"/>
      <c r="H389" s="702"/>
      <c r="I389" s="702"/>
      <c r="J389" s="702"/>
      <c r="K389" s="702"/>
      <c r="L389" s="702"/>
      <c r="M389" s="702"/>
      <c r="N389" s="702"/>
      <c r="O389" s="702"/>
      <c r="P389" s="702"/>
      <c r="Q389" s="702"/>
      <c r="R389" s="702"/>
      <c r="S389" s="702"/>
      <c r="T389" s="702"/>
      <c r="U389" s="702"/>
      <c r="V389" s="702"/>
      <c r="W389" s="702"/>
      <c r="X389" s="702"/>
      <c r="Y389" s="702"/>
      <c r="Z389" s="702"/>
      <c r="AA389" s="702"/>
      <c r="AB389" s="702"/>
      <c r="AC389" s="702"/>
    </row>
    <row r="390" ht="15.75" customHeight="1">
      <c r="A390" s="702"/>
      <c r="B390" s="702"/>
      <c r="C390" s="702"/>
      <c r="D390" s="702"/>
      <c r="E390" s="702"/>
      <c r="F390" s="702"/>
      <c r="G390" s="702"/>
      <c r="H390" s="702"/>
      <c r="I390" s="702"/>
      <c r="J390" s="702"/>
      <c r="K390" s="702"/>
      <c r="L390" s="702"/>
      <c r="M390" s="702"/>
      <c r="N390" s="702"/>
      <c r="O390" s="702"/>
      <c r="P390" s="702"/>
      <c r="Q390" s="702"/>
      <c r="R390" s="702"/>
      <c r="S390" s="702"/>
      <c r="T390" s="702"/>
      <c r="U390" s="702"/>
      <c r="V390" s="702"/>
      <c r="W390" s="702"/>
      <c r="X390" s="702"/>
      <c r="Y390" s="702"/>
      <c r="Z390" s="702"/>
      <c r="AA390" s="702"/>
      <c r="AB390" s="702"/>
      <c r="AC390" s="702"/>
    </row>
    <row r="391" ht="15.75" customHeight="1">
      <c r="A391" s="702"/>
      <c r="B391" s="702"/>
      <c r="C391" s="702"/>
      <c r="D391" s="702"/>
      <c r="E391" s="702"/>
      <c r="F391" s="702"/>
      <c r="G391" s="702"/>
      <c r="H391" s="702"/>
      <c r="I391" s="702"/>
      <c r="J391" s="702"/>
      <c r="K391" s="702"/>
      <c r="L391" s="702"/>
      <c r="M391" s="702"/>
      <c r="N391" s="702"/>
      <c r="O391" s="702"/>
      <c r="P391" s="702"/>
      <c r="Q391" s="702"/>
      <c r="R391" s="702"/>
      <c r="S391" s="702"/>
      <c r="T391" s="702"/>
      <c r="U391" s="702"/>
      <c r="V391" s="702"/>
      <c r="W391" s="702"/>
      <c r="X391" s="702"/>
      <c r="Y391" s="702"/>
      <c r="Z391" s="702"/>
      <c r="AA391" s="702"/>
      <c r="AB391" s="702"/>
      <c r="AC391" s="702"/>
    </row>
    <row r="392" ht="15.75" customHeight="1">
      <c r="A392" s="702"/>
      <c r="B392" s="702"/>
      <c r="C392" s="702"/>
      <c r="D392" s="702"/>
      <c r="E392" s="702"/>
      <c r="F392" s="702"/>
      <c r="G392" s="702"/>
      <c r="H392" s="702"/>
      <c r="I392" s="702"/>
      <c r="J392" s="702"/>
      <c r="K392" s="702"/>
      <c r="L392" s="702"/>
      <c r="M392" s="702"/>
      <c r="N392" s="702"/>
      <c r="O392" s="702"/>
      <c r="P392" s="702"/>
      <c r="Q392" s="702"/>
      <c r="R392" s="702"/>
      <c r="S392" s="702"/>
      <c r="T392" s="702"/>
      <c r="U392" s="702"/>
      <c r="V392" s="702"/>
      <c r="W392" s="702"/>
      <c r="X392" s="702"/>
      <c r="Y392" s="702"/>
      <c r="Z392" s="702"/>
      <c r="AA392" s="702"/>
      <c r="AB392" s="702"/>
      <c r="AC392" s="702"/>
    </row>
    <row r="393" ht="15.75" customHeight="1">
      <c r="A393" s="702"/>
      <c r="B393" s="702"/>
      <c r="C393" s="702"/>
      <c r="D393" s="702"/>
      <c r="E393" s="702"/>
      <c r="F393" s="702"/>
      <c r="G393" s="702"/>
      <c r="H393" s="702"/>
      <c r="I393" s="702"/>
      <c r="J393" s="702"/>
      <c r="K393" s="702"/>
      <c r="L393" s="702"/>
      <c r="M393" s="702"/>
      <c r="N393" s="702"/>
      <c r="O393" s="702"/>
      <c r="P393" s="702"/>
      <c r="Q393" s="702"/>
      <c r="R393" s="702"/>
      <c r="S393" s="702"/>
      <c r="T393" s="702"/>
      <c r="U393" s="702"/>
      <c r="V393" s="702"/>
      <c r="W393" s="702"/>
      <c r="X393" s="702"/>
      <c r="Y393" s="702"/>
      <c r="Z393" s="702"/>
      <c r="AA393" s="702"/>
      <c r="AB393" s="702"/>
      <c r="AC393" s="702"/>
    </row>
    <row r="394" ht="15.75" customHeight="1">
      <c r="A394" s="702"/>
      <c r="B394" s="702"/>
      <c r="C394" s="702"/>
      <c r="D394" s="702"/>
      <c r="E394" s="702"/>
      <c r="F394" s="702"/>
      <c r="G394" s="702"/>
      <c r="H394" s="702"/>
      <c r="I394" s="702"/>
      <c r="J394" s="702"/>
      <c r="K394" s="702"/>
      <c r="L394" s="702"/>
      <c r="M394" s="702"/>
      <c r="N394" s="702"/>
      <c r="O394" s="702"/>
      <c r="P394" s="702"/>
      <c r="Q394" s="702"/>
      <c r="R394" s="702"/>
      <c r="S394" s="702"/>
      <c r="T394" s="702"/>
      <c r="U394" s="702"/>
      <c r="V394" s="702"/>
      <c r="W394" s="702"/>
      <c r="X394" s="702"/>
      <c r="Y394" s="702"/>
      <c r="Z394" s="702"/>
      <c r="AA394" s="702"/>
      <c r="AB394" s="702"/>
      <c r="AC394" s="702"/>
    </row>
    <row r="395" ht="15.75" customHeight="1">
      <c r="A395" s="702"/>
      <c r="B395" s="702"/>
      <c r="C395" s="702"/>
      <c r="D395" s="702"/>
      <c r="E395" s="702"/>
      <c r="F395" s="702"/>
      <c r="G395" s="702"/>
      <c r="H395" s="702"/>
      <c r="I395" s="702"/>
      <c r="J395" s="702"/>
      <c r="K395" s="702"/>
      <c r="L395" s="702"/>
      <c r="M395" s="702"/>
      <c r="N395" s="702"/>
      <c r="O395" s="702"/>
      <c r="P395" s="702"/>
      <c r="Q395" s="702"/>
      <c r="R395" s="702"/>
      <c r="S395" s="702"/>
      <c r="T395" s="702"/>
      <c r="U395" s="702"/>
      <c r="V395" s="702"/>
      <c r="W395" s="702"/>
      <c r="X395" s="702"/>
      <c r="Y395" s="702"/>
      <c r="Z395" s="702"/>
      <c r="AA395" s="702"/>
      <c r="AB395" s="702"/>
      <c r="AC395" s="702"/>
    </row>
    <row r="396" ht="15.75" customHeight="1">
      <c r="A396" s="702"/>
      <c r="B396" s="702"/>
      <c r="C396" s="702"/>
      <c r="D396" s="702"/>
      <c r="E396" s="702"/>
      <c r="F396" s="702"/>
      <c r="G396" s="702"/>
      <c r="H396" s="702"/>
      <c r="I396" s="702"/>
      <c r="J396" s="702"/>
      <c r="K396" s="702"/>
      <c r="L396" s="702"/>
      <c r="M396" s="702"/>
      <c r="N396" s="702"/>
      <c r="O396" s="702"/>
      <c r="P396" s="702"/>
      <c r="Q396" s="702"/>
      <c r="R396" s="702"/>
      <c r="S396" s="702"/>
      <c r="T396" s="702"/>
      <c r="U396" s="702"/>
      <c r="V396" s="702"/>
      <c r="W396" s="702"/>
      <c r="X396" s="702"/>
      <c r="Y396" s="702"/>
      <c r="Z396" s="702"/>
      <c r="AA396" s="702"/>
      <c r="AB396" s="702"/>
      <c r="AC396" s="702"/>
    </row>
    <row r="397" ht="15.75" customHeight="1">
      <c r="A397" s="702"/>
      <c r="B397" s="702"/>
      <c r="C397" s="702"/>
      <c r="D397" s="702"/>
      <c r="E397" s="702"/>
      <c r="F397" s="702"/>
      <c r="G397" s="702"/>
      <c r="H397" s="702"/>
      <c r="I397" s="702"/>
      <c r="J397" s="702"/>
      <c r="K397" s="702"/>
      <c r="L397" s="702"/>
      <c r="M397" s="702"/>
      <c r="N397" s="702"/>
      <c r="O397" s="702"/>
      <c r="P397" s="702"/>
      <c r="Q397" s="702"/>
      <c r="R397" s="702"/>
      <c r="S397" s="702"/>
      <c r="T397" s="702"/>
      <c r="U397" s="702"/>
      <c r="V397" s="702"/>
      <c r="W397" s="702"/>
      <c r="X397" s="702"/>
      <c r="Y397" s="702"/>
      <c r="Z397" s="702"/>
      <c r="AA397" s="702"/>
      <c r="AB397" s="702"/>
      <c r="AC397" s="702"/>
    </row>
    <row r="398" ht="15.75" customHeight="1">
      <c r="A398" s="702"/>
      <c r="B398" s="702"/>
      <c r="C398" s="702"/>
      <c r="D398" s="702"/>
      <c r="E398" s="702"/>
      <c r="F398" s="702"/>
      <c r="G398" s="702"/>
      <c r="H398" s="702"/>
      <c r="I398" s="702"/>
      <c r="J398" s="702"/>
      <c r="K398" s="702"/>
      <c r="L398" s="702"/>
      <c r="M398" s="702"/>
      <c r="N398" s="702"/>
      <c r="O398" s="702"/>
      <c r="P398" s="702"/>
      <c r="Q398" s="702"/>
      <c r="R398" s="702"/>
      <c r="S398" s="702"/>
      <c r="T398" s="702"/>
      <c r="U398" s="702"/>
      <c r="V398" s="702"/>
      <c r="W398" s="702"/>
      <c r="X398" s="702"/>
      <c r="Y398" s="702"/>
      <c r="Z398" s="702"/>
      <c r="AA398" s="702"/>
      <c r="AB398" s="702"/>
      <c r="AC398" s="702"/>
    </row>
    <row r="399" ht="15.75" customHeight="1">
      <c r="A399" s="702"/>
      <c r="B399" s="702"/>
      <c r="C399" s="702"/>
      <c r="D399" s="702"/>
      <c r="E399" s="702"/>
      <c r="F399" s="702"/>
      <c r="G399" s="702"/>
      <c r="H399" s="702"/>
      <c r="I399" s="702"/>
      <c r="J399" s="702"/>
      <c r="K399" s="702"/>
      <c r="L399" s="702"/>
      <c r="M399" s="702"/>
      <c r="N399" s="702"/>
      <c r="O399" s="702"/>
      <c r="P399" s="702"/>
      <c r="Q399" s="702"/>
      <c r="R399" s="702"/>
      <c r="S399" s="702"/>
      <c r="T399" s="702"/>
      <c r="U399" s="702"/>
      <c r="V399" s="702"/>
      <c r="W399" s="702"/>
      <c r="X399" s="702"/>
      <c r="Y399" s="702"/>
      <c r="Z399" s="702"/>
      <c r="AA399" s="702"/>
      <c r="AB399" s="702"/>
      <c r="AC399" s="702"/>
    </row>
    <row r="400" ht="15.75" customHeight="1">
      <c r="A400" s="702"/>
      <c r="B400" s="702"/>
      <c r="C400" s="702"/>
      <c r="D400" s="702"/>
      <c r="E400" s="702"/>
      <c r="F400" s="702"/>
      <c r="G400" s="702"/>
      <c r="H400" s="702"/>
      <c r="I400" s="702"/>
      <c r="J400" s="702"/>
      <c r="K400" s="702"/>
      <c r="L400" s="702"/>
      <c r="M400" s="702"/>
      <c r="N400" s="702"/>
      <c r="O400" s="702"/>
      <c r="P400" s="702"/>
      <c r="Q400" s="702"/>
      <c r="R400" s="702"/>
      <c r="S400" s="702"/>
      <c r="T400" s="702"/>
      <c r="U400" s="702"/>
      <c r="V400" s="702"/>
      <c r="W400" s="702"/>
      <c r="X400" s="702"/>
      <c r="Y400" s="702"/>
      <c r="Z400" s="702"/>
      <c r="AA400" s="702"/>
      <c r="AB400" s="702"/>
      <c r="AC400" s="702"/>
    </row>
    <row r="401" ht="15.75" customHeight="1">
      <c r="A401" s="702"/>
      <c r="B401" s="702"/>
      <c r="C401" s="702"/>
      <c r="D401" s="702"/>
      <c r="E401" s="702"/>
      <c r="F401" s="702"/>
      <c r="G401" s="702"/>
      <c r="H401" s="702"/>
      <c r="I401" s="702"/>
      <c r="J401" s="702"/>
      <c r="K401" s="702"/>
      <c r="L401" s="702"/>
      <c r="M401" s="702"/>
      <c r="N401" s="702"/>
      <c r="O401" s="702"/>
      <c r="P401" s="702"/>
      <c r="Q401" s="702"/>
      <c r="R401" s="702"/>
      <c r="S401" s="702"/>
      <c r="T401" s="702"/>
      <c r="U401" s="702"/>
      <c r="V401" s="702"/>
      <c r="W401" s="702"/>
      <c r="X401" s="702"/>
      <c r="Y401" s="702"/>
      <c r="Z401" s="702"/>
      <c r="AA401" s="702"/>
      <c r="AB401" s="702"/>
      <c r="AC401" s="702"/>
    </row>
    <row r="402" ht="15.75" customHeight="1">
      <c r="A402" s="702"/>
      <c r="B402" s="702"/>
      <c r="C402" s="702"/>
      <c r="D402" s="702"/>
      <c r="E402" s="702"/>
      <c r="F402" s="702"/>
      <c r="G402" s="702"/>
      <c r="H402" s="702"/>
      <c r="I402" s="702"/>
      <c r="J402" s="702"/>
      <c r="K402" s="702"/>
      <c r="L402" s="702"/>
      <c r="M402" s="702"/>
      <c r="N402" s="702"/>
      <c r="O402" s="702"/>
      <c r="P402" s="702"/>
      <c r="Q402" s="702"/>
      <c r="R402" s="702"/>
      <c r="S402" s="702"/>
      <c r="T402" s="702"/>
      <c r="U402" s="702"/>
      <c r="V402" s="702"/>
      <c r="W402" s="702"/>
      <c r="X402" s="702"/>
      <c r="Y402" s="702"/>
      <c r="Z402" s="702"/>
      <c r="AA402" s="702"/>
      <c r="AB402" s="702"/>
      <c r="AC402" s="702"/>
    </row>
    <row r="403" ht="15.75" customHeight="1">
      <c r="A403" s="702"/>
      <c r="B403" s="702"/>
      <c r="C403" s="702"/>
      <c r="D403" s="702"/>
      <c r="E403" s="702"/>
      <c r="F403" s="702"/>
      <c r="G403" s="702"/>
      <c r="H403" s="702"/>
      <c r="I403" s="702"/>
      <c r="J403" s="702"/>
      <c r="K403" s="702"/>
      <c r="L403" s="702"/>
      <c r="M403" s="702"/>
      <c r="N403" s="702"/>
      <c r="O403" s="702"/>
      <c r="P403" s="702"/>
      <c r="Q403" s="702"/>
      <c r="R403" s="702"/>
      <c r="S403" s="702"/>
      <c r="T403" s="702"/>
      <c r="U403" s="702"/>
      <c r="V403" s="702"/>
      <c r="W403" s="702"/>
      <c r="X403" s="702"/>
      <c r="Y403" s="702"/>
      <c r="Z403" s="702"/>
      <c r="AA403" s="702"/>
      <c r="AB403" s="702"/>
      <c r="AC403" s="702"/>
    </row>
    <row r="404" ht="15.75" customHeight="1">
      <c r="A404" s="702"/>
      <c r="B404" s="702"/>
      <c r="C404" s="702"/>
      <c r="D404" s="702"/>
      <c r="E404" s="702"/>
      <c r="F404" s="702"/>
      <c r="G404" s="702"/>
      <c r="H404" s="702"/>
      <c r="I404" s="702"/>
      <c r="J404" s="702"/>
      <c r="K404" s="702"/>
      <c r="L404" s="702"/>
      <c r="M404" s="702"/>
      <c r="N404" s="702"/>
      <c r="O404" s="702"/>
      <c r="P404" s="702"/>
      <c r="Q404" s="702"/>
      <c r="R404" s="702"/>
      <c r="S404" s="702"/>
      <c r="T404" s="702"/>
      <c r="U404" s="702"/>
      <c r="V404" s="702"/>
      <c r="W404" s="702"/>
      <c r="X404" s="702"/>
      <c r="Y404" s="702"/>
      <c r="Z404" s="702"/>
      <c r="AA404" s="702"/>
      <c r="AB404" s="702"/>
      <c r="AC404" s="702"/>
    </row>
    <row r="405" ht="15.75" customHeight="1">
      <c r="A405" s="702"/>
      <c r="B405" s="702"/>
      <c r="C405" s="702"/>
      <c r="D405" s="702"/>
      <c r="E405" s="702"/>
      <c r="F405" s="702"/>
      <c r="G405" s="702"/>
      <c r="H405" s="702"/>
      <c r="I405" s="702"/>
      <c r="J405" s="702"/>
      <c r="K405" s="702"/>
      <c r="L405" s="702"/>
      <c r="M405" s="702"/>
      <c r="N405" s="702"/>
      <c r="O405" s="702"/>
      <c r="P405" s="702"/>
      <c r="Q405" s="702"/>
      <c r="R405" s="702"/>
      <c r="S405" s="702"/>
      <c r="T405" s="702"/>
      <c r="U405" s="702"/>
      <c r="V405" s="702"/>
      <c r="W405" s="702"/>
      <c r="X405" s="702"/>
      <c r="Y405" s="702"/>
      <c r="Z405" s="702"/>
      <c r="AA405" s="702"/>
      <c r="AB405" s="702"/>
      <c r="AC405" s="702"/>
    </row>
    <row r="406" ht="15.75" customHeight="1">
      <c r="A406" s="702"/>
      <c r="B406" s="702"/>
      <c r="C406" s="702"/>
      <c r="D406" s="702"/>
      <c r="E406" s="702"/>
      <c r="F406" s="702"/>
      <c r="G406" s="702"/>
      <c r="H406" s="702"/>
      <c r="I406" s="702"/>
      <c r="J406" s="702"/>
      <c r="K406" s="702"/>
      <c r="L406" s="702"/>
      <c r="M406" s="702"/>
      <c r="N406" s="702"/>
      <c r="O406" s="702"/>
      <c r="P406" s="702"/>
      <c r="Q406" s="702"/>
      <c r="R406" s="702"/>
      <c r="S406" s="702"/>
      <c r="T406" s="702"/>
      <c r="U406" s="702"/>
      <c r="V406" s="702"/>
      <c r="W406" s="702"/>
      <c r="X406" s="702"/>
      <c r="Y406" s="702"/>
      <c r="Z406" s="702"/>
      <c r="AA406" s="702"/>
      <c r="AB406" s="702"/>
      <c r="AC406" s="702"/>
    </row>
    <row r="407" ht="15.75" customHeight="1">
      <c r="A407" s="702"/>
      <c r="B407" s="702"/>
      <c r="C407" s="702"/>
      <c r="D407" s="702"/>
      <c r="E407" s="702"/>
      <c r="F407" s="702"/>
      <c r="G407" s="702"/>
      <c r="H407" s="702"/>
      <c r="I407" s="702"/>
      <c r="J407" s="702"/>
      <c r="K407" s="702"/>
      <c r="L407" s="702"/>
      <c r="M407" s="702"/>
      <c r="N407" s="702"/>
      <c r="O407" s="702"/>
      <c r="P407" s="702"/>
      <c r="Q407" s="702"/>
      <c r="R407" s="702"/>
      <c r="S407" s="702"/>
      <c r="T407" s="702"/>
      <c r="U407" s="702"/>
      <c r="V407" s="702"/>
      <c r="W407" s="702"/>
      <c r="X407" s="702"/>
      <c r="Y407" s="702"/>
      <c r="Z407" s="702"/>
      <c r="AA407" s="702"/>
      <c r="AB407" s="702"/>
      <c r="AC407" s="702"/>
    </row>
    <row r="408" ht="15.75" customHeight="1">
      <c r="A408" s="702"/>
      <c r="B408" s="702"/>
      <c r="C408" s="702"/>
      <c r="D408" s="702"/>
      <c r="E408" s="702"/>
      <c r="F408" s="702"/>
      <c r="G408" s="702"/>
      <c r="H408" s="702"/>
      <c r="I408" s="702"/>
      <c r="J408" s="702"/>
      <c r="K408" s="702"/>
      <c r="L408" s="702"/>
      <c r="M408" s="702"/>
      <c r="N408" s="702"/>
      <c r="O408" s="702"/>
      <c r="P408" s="702"/>
      <c r="Q408" s="702"/>
      <c r="R408" s="702"/>
      <c r="S408" s="702"/>
      <c r="T408" s="702"/>
      <c r="U408" s="702"/>
      <c r="V408" s="702"/>
      <c r="W408" s="702"/>
      <c r="X408" s="702"/>
      <c r="Y408" s="702"/>
      <c r="Z408" s="702"/>
      <c r="AA408" s="702"/>
      <c r="AB408" s="702"/>
      <c r="AC408" s="702"/>
    </row>
    <row r="409" ht="15.75" customHeight="1">
      <c r="A409" s="702"/>
      <c r="B409" s="702"/>
      <c r="C409" s="702"/>
      <c r="D409" s="702"/>
      <c r="E409" s="702"/>
      <c r="F409" s="702"/>
      <c r="G409" s="702"/>
      <c r="H409" s="702"/>
      <c r="I409" s="702"/>
      <c r="J409" s="702"/>
      <c r="K409" s="702"/>
      <c r="L409" s="702"/>
      <c r="M409" s="702"/>
      <c r="N409" s="702"/>
      <c r="O409" s="702"/>
      <c r="P409" s="702"/>
      <c r="Q409" s="702"/>
      <c r="R409" s="702"/>
      <c r="S409" s="702"/>
      <c r="T409" s="702"/>
      <c r="U409" s="702"/>
      <c r="V409" s="702"/>
      <c r="W409" s="702"/>
      <c r="X409" s="702"/>
      <c r="Y409" s="702"/>
      <c r="Z409" s="702"/>
      <c r="AA409" s="702"/>
      <c r="AB409" s="702"/>
      <c r="AC409" s="702"/>
    </row>
    <row r="410" ht="15.75" customHeight="1">
      <c r="A410" s="702"/>
      <c r="B410" s="702"/>
      <c r="C410" s="702"/>
      <c r="D410" s="702"/>
      <c r="E410" s="702"/>
      <c r="F410" s="702"/>
      <c r="G410" s="702"/>
      <c r="H410" s="702"/>
      <c r="I410" s="702"/>
      <c r="J410" s="702"/>
      <c r="K410" s="702"/>
      <c r="L410" s="702"/>
      <c r="M410" s="702"/>
      <c r="N410" s="702"/>
      <c r="O410" s="702"/>
      <c r="P410" s="702"/>
      <c r="Q410" s="702"/>
      <c r="R410" s="702"/>
      <c r="S410" s="702"/>
      <c r="T410" s="702"/>
      <c r="U410" s="702"/>
      <c r="V410" s="702"/>
      <c r="W410" s="702"/>
      <c r="X410" s="702"/>
      <c r="Y410" s="702"/>
      <c r="Z410" s="702"/>
      <c r="AA410" s="702"/>
      <c r="AB410" s="702"/>
      <c r="AC410" s="702"/>
    </row>
    <row r="411" ht="15.75" customHeight="1">
      <c r="A411" s="702"/>
      <c r="B411" s="702"/>
      <c r="C411" s="702"/>
      <c r="D411" s="702"/>
      <c r="E411" s="702"/>
      <c r="F411" s="702"/>
      <c r="G411" s="702"/>
      <c r="H411" s="702"/>
      <c r="I411" s="702"/>
      <c r="J411" s="702"/>
      <c r="K411" s="702"/>
      <c r="L411" s="702"/>
      <c r="M411" s="702"/>
      <c r="N411" s="702"/>
      <c r="O411" s="702"/>
      <c r="P411" s="702"/>
      <c r="Q411" s="702"/>
      <c r="R411" s="702"/>
      <c r="S411" s="702"/>
      <c r="T411" s="702"/>
      <c r="U411" s="702"/>
      <c r="V411" s="702"/>
      <c r="W411" s="702"/>
      <c r="X411" s="702"/>
      <c r="Y411" s="702"/>
      <c r="Z411" s="702"/>
      <c r="AA411" s="702"/>
      <c r="AB411" s="702"/>
      <c r="AC411" s="702"/>
    </row>
    <row r="412" ht="15.75" customHeight="1">
      <c r="A412" s="702"/>
      <c r="B412" s="702"/>
      <c r="C412" s="702"/>
      <c r="D412" s="702"/>
      <c r="E412" s="702"/>
      <c r="F412" s="702"/>
      <c r="G412" s="702"/>
      <c r="H412" s="702"/>
      <c r="I412" s="702"/>
      <c r="J412" s="702"/>
      <c r="K412" s="702"/>
      <c r="L412" s="702"/>
      <c r="M412" s="702"/>
      <c r="N412" s="702"/>
      <c r="O412" s="702"/>
      <c r="P412" s="702"/>
      <c r="Q412" s="702"/>
      <c r="R412" s="702"/>
      <c r="S412" s="702"/>
      <c r="T412" s="702"/>
      <c r="U412" s="702"/>
      <c r="V412" s="702"/>
      <c r="W412" s="702"/>
      <c r="X412" s="702"/>
      <c r="Y412" s="702"/>
      <c r="Z412" s="702"/>
      <c r="AA412" s="702"/>
      <c r="AB412" s="702"/>
      <c r="AC412" s="702"/>
    </row>
    <row r="413" ht="15.75" customHeight="1">
      <c r="A413" s="702"/>
      <c r="B413" s="702"/>
      <c r="C413" s="702"/>
      <c r="D413" s="702"/>
      <c r="E413" s="702"/>
      <c r="F413" s="702"/>
      <c r="G413" s="702"/>
      <c r="H413" s="702"/>
      <c r="I413" s="702"/>
      <c r="J413" s="702"/>
      <c r="K413" s="702"/>
      <c r="L413" s="702"/>
      <c r="M413" s="702"/>
      <c r="N413" s="702"/>
      <c r="O413" s="702"/>
      <c r="P413" s="702"/>
      <c r="Q413" s="702"/>
      <c r="R413" s="702"/>
      <c r="S413" s="702"/>
      <c r="T413" s="702"/>
      <c r="U413" s="702"/>
      <c r="V413" s="702"/>
      <c r="W413" s="702"/>
      <c r="X413" s="702"/>
      <c r="Y413" s="702"/>
      <c r="Z413" s="702"/>
      <c r="AA413" s="702"/>
      <c r="AB413" s="702"/>
      <c r="AC413" s="702"/>
    </row>
    <row r="414" ht="15.75" customHeight="1">
      <c r="A414" s="702"/>
      <c r="B414" s="702"/>
      <c r="C414" s="702"/>
      <c r="D414" s="702"/>
      <c r="E414" s="702"/>
      <c r="F414" s="702"/>
      <c r="G414" s="702"/>
      <c r="H414" s="702"/>
      <c r="I414" s="702"/>
      <c r="J414" s="702"/>
      <c r="K414" s="702"/>
      <c r="L414" s="702"/>
      <c r="M414" s="702"/>
      <c r="N414" s="702"/>
      <c r="O414" s="702"/>
      <c r="P414" s="702"/>
      <c r="Q414" s="702"/>
      <c r="R414" s="702"/>
      <c r="S414" s="702"/>
      <c r="T414" s="702"/>
      <c r="U414" s="702"/>
      <c r="V414" s="702"/>
      <c r="W414" s="702"/>
      <c r="X414" s="702"/>
      <c r="Y414" s="702"/>
      <c r="Z414" s="702"/>
      <c r="AA414" s="702"/>
      <c r="AB414" s="702"/>
      <c r="AC414" s="702"/>
    </row>
    <row r="415" ht="15.75" customHeight="1">
      <c r="A415" s="702"/>
      <c r="B415" s="702"/>
      <c r="C415" s="702"/>
      <c r="D415" s="702"/>
      <c r="E415" s="702"/>
      <c r="F415" s="702"/>
      <c r="G415" s="702"/>
      <c r="H415" s="702"/>
      <c r="I415" s="702"/>
      <c r="J415" s="702"/>
      <c r="K415" s="702"/>
      <c r="L415" s="702"/>
      <c r="M415" s="702"/>
      <c r="N415" s="702"/>
      <c r="O415" s="702"/>
      <c r="P415" s="702"/>
      <c r="Q415" s="702"/>
      <c r="R415" s="702"/>
      <c r="S415" s="702"/>
      <c r="T415" s="702"/>
      <c r="U415" s="702"/>
      <c r="V415" s="702"/>
      <c r="W415" s="702"/>
      <c r="X415" s="702"/>
      <c r="Y415" s="702"/>
      <c r="Z415" s="702"/>
      <c r="AA415" s="702"/>
      <c r="AB415" s="702"/>
      <c r="AC415" s="702"/>
    </row>
    <row r="416" ht="15.75" customHeight="1">
      <c r="A416" s="702"/>
      <c r="B416" s="702"/>
      <c r="C416" s="702"/>
      <c r="D416" s="702"/>
      <c r="E416" s="702"/>
      <c r="F416" s="702"/>
      <c r="G416" s="702"/>
      <c r="H416" s="702"/>
      <c r="I416" s="702"/>
      <c r="J416" s="702"/>
      <c r="K416" s="702"/>
      <c r="L416" s="702"/>
      <c r="M416" s="702"/>
      <c r="N416" s="702"/>
      <c r="O416" s="702"/>
      <c r="P416" s="702"/>
      <c r="Q416" s="702"/>
      <c r="R416" s="702"/>
      <c r="S416" s="702"/>
      <c r="T416" s="702"/>
      <c r="U416" s="702"/>
      <c r="V416" s="702"/>
      <c r="W416" s="702"/>
      <c r="X416" s="702"/>
      <c r="Y416" s="702"/>
      <c r="Z416" s="702"/>
      <c r="AA416" s="702"/>
      <c r="AB416" s="702"/>
      <c r="AC416" s="702"/>
    </row>
    <row r="417" ht="15.75" customHeight="1">
      <c r="A417" s="702"/>
      <c r="B417" s="702"/>
      <c r="C417" s="702"/>
      <c r="D417" s="702"/>
      <c r="E417" s="702"/>
      <c r="F417" s="702"/>
      <c r="G417" s="702"/>
      <c r="H417" s="702"/>
      <c r="I417" s="702"/>
      <c r="J417" s="702"/>
      <c r="K417" s="702"/>
      <c r="L417" s="702"/>
      <c r="M417" s="702"/>
      <c r="N417" s="702"/>
      <c r="O417" s="702"/>
      <c r="P417" s="702"/>
      <c r="Q417" s="702"/>
      <c r="R417" s="702"/>
      <c r="S417" s="702"/>
      <c r="T417" s="702"/>
      <c r="U417" s="702"/>
      <c r="V417" s="702"/>
      <c r="W417" s="702"/>
      <c r="X417" s="702"/>
      <c r="Y417" s="702"/>
      <c r="Z417" s="702"/>
      <c r="AA417" s="702"/>
      <c r="AB417" s="702"/>
      <c r="AC417" s="702"/>
    </row>
    <row r="418" ht="15.75" customHeight="1">
      <c r="A418" s="702"/>
      <c r="B418" s="702"/>
      <c r="C418" s="702"/>
      <c r="D418" s="702"/>
      <c r="E418" s="702"/>
      <c r="F418" s="702"/>
      <c r="G418" s="702"/>
      <c r="H418" s="702"/>
      <c r="I418" s="702"/>
      <c r="J418" s="702"/>
      <c r="K418" s="702"/>
      <c r="L418" s="702"/>
      <c r="M418" s="702"/>
      <c r="N418" s="702"/>
      <c r="O418" s="702"/>
      <c r="P418" s="702"/>
      <c r="Q418" s="702"/>
      <c r="R418" s="702"/>
      <c r="S418" s="702"/>
      <c r="T418" s="702"/>
      <c r="U418" s="702"/>
      <c r="V418" s="702"/>
      <c r="W418" s="702"/>
      <c r="X418" s="702"/>
      <c r="Y418" s="702"/>
      <c r="Z418" s="702"/>
      <c r="AA418" s="702"/>
      <c r="AB418" s="702"/>
      <c r="AC418" s="702"/>
    </row>
    <row r="419" ht="15.75" customHeight="1">
      <c r="A419" s="702"/>
      <c r="B419" s="702"/>
      <c r="C419" s="702"/>
      <c r="D419" s="702"/>
      <c r="E419" s="702"/>
      <c r="F419" s="702"/>
      <c r="G419" s="702"/>
      <c r="H419" s="702"/>
      <c r="I419" s="702"/>
      <c r="J419" s="702"/>
      <c r="K419" s="702"/>
      <c r="L419" s="702"/>
      <c r="M419" s="702"/>
      <c r="N419" s="702"/>
      <c r="O419" s="702"/>
      <c r="P419" s="702"/>
      <c r="Q419" s="702"/>
      <c r="R419" s="702"/>
      <c r="S419" s="702"/>
      <c r="T419" s="702"/>
      <c r="U419" s="702"/>
      <c r="V419" s="702"/>
      <c r="W419" s="702"/>
      <c r="X419" s="702"/>
      <c r="Y419" s="702"/>
      <c r="Z419" s="702"/>
      <c r="AA419" s="702"/>
      <c r="AB419" s="702"/>
      <c r="AC419" s="702"/>
    </row>
    <row r="420" ht="15.75" customHeight="1">
      <c r="A420" s="702"/>
      <c r="B420" s="702"/>
      <c r="C420" s="702"/>
      <c r="D420" s="702"/>
      <c r="E420" s="702"/>
      <c r="F420" s="702"/>
      <c r="G420" s="702"/>
      <c r="H420" s="702"/>
      <c r="I420" s="702"/>
      <c r="J420" s="702"/>
      <c r="K420" s="702"/>
      <c r="L420" s="702"/>
      <c r="M420" s="702"/>
      <c r="N420" s="702"/>
      <c r="O420" s="702"/>
      <c r="P420" s="702"/>
      <c r="Q420" s="702"/>
      <c r="R420" s="702"/>
      <c r="S420" s="702"/>
      <c r="T420" s="702"/>
      <c r="U420" s="702"/>
      <c r="V420" s="702"/>
      <c r="W420" s="702"/>
      <c r="X420" s="702"/>
      <c r="Y420" s="702"/>
      <c r="Z420" s="702"/>
      <c r="AA420" s="702"/>
      <c r="AB420" s="702"/>
      <c r="AC420" s="702"/>
    </row>
    <row r="421" ht="15.75" customHeight="1">
      <c r="A421" s="702"/>
      <c r="B421" s="702"/>
      <c r="C421" s="702"/>
      <c r="D421" s="702"/>
      <c r="E421" s="702"/>
      <c r="F421" s="702"/>
      <c r="G421" s="702"/>
      <c r="H421" s="702"/>
      <c r="I421" s="702"/>
      <c r="J421" s="702"/>
      <c r="K421" s="702"/>
      <c r="L421" s="702"/>
      <c r="M421" s="702"/>
      <c r="N421" s="702"/>
      <c r="O421" s="702"/>
      <c r="P421" s="702"/>
      <c r="Q421" s="702"/>
      <c r="R421" s="702"/>
      <c r="S421" s="702"/>
      <c r="T421" s="702"/>
      <c r="U421" s="702"/>
      <c r="V421" s="702"/>
      <c r="W421" s="702"/>
      <c r="X421" s="702"/>
      <c r="Y421" s="702"/>
      <c r="Z421" s="702"/>
      <c r="AA421" s="702"/>
      <c r="AB421" s="702"/>
      <c r="AC421" s="702"/>
    </row>
    <row r="422" ht="15.75" customHeight="1">
      <c r="A422" s="702"/>
      <c r="B422" s="702"/>
      <c r="C422" s="702"/>
      <c r="D422" s="702"/>
      <c r="E422" s="702"/>
      <c r="F422" s="702"/>
      <c r="G422" s="702"/>
      <c r="H422" s="702"/>
      <c r="I422" s="702"/>
      <c r="J422" s="702"/>
      <c r="K422" s="702"/>
      <c r="L422" s="702"/>
      <c r="M422" s="702"/>
      <c r="N422" s="702"/>
      <c r="O422" s="702"/>
      <c r="P422" s="702"/>
      <c r="Q422" s="702"/>
      <c r="R422" s="702"/>
      <c r="S422" s="702"/>
      <c r="T422" s="702"/>
      <c r="U422" s="702"/>
      <c r="V422" s="702"/>
      <c r="W422" s="702"/>
      <c r="X422" s="702"/>
      <c r="Y422" s="702"/>
      <c r="Z422" s="702"/>
      <c r="AA422" s="702"/>
      <c r="AB422" s="702"/>
      <c r="AC422" s="702"/>
    </row>
    <row r="423" ht="15.75" customHeight="1">
      <c r="A423" s="702"/>
      <c r="B423" s="702"/>
      <c r="C423" s="702"/>
      <c r="D423" s="702"/>
      <c r="E423" s="702"/>
      <c r="F423" s="702"/>
      <c r="G423" s="702"/>
      <c r="H423" s="702"/>
      <c r="I423" s="702"/>
      <c r="J423" s="702"/>
      <c r="K423" s="702"/>
      <c r="L423" s="702"/>
      <c r="M423" s="702"/>
      <c r="N423" s="702"/>
      <c r="O423" s="702"/>
      <c r="P423" s="702"/>
      <c r="Q423" s="702"/>
      <c r="R423" s="702"/>
      <c r="S423" s="702"/>
      <c r="T423" s="702"/>
      <c r="U423" s="702"/>
      <c r="V423" s="702"/>
      <c r="W423" s="702"/>
      <c r="X423" s="702"/>
      <c r="Y423" s="702"/>
      <c r="Z423" s="702"/>
      <c r="AA423" s="702"/>
      <c r="AB423" s="702"/>
      <c r="AC423" s="702"/>
    </row>
    <row r="424" ht="15.75" customHeight="1">
      <c r="A424" s="702"/>
      <c r="B424" s="702"/>
      <c r="C424" s="702"/>
      <c r="D424" s="702"/>
      <c r="E424" s="702"/>
      <c r="F424" s="702"/>
      <c r="G424" s="702"/>
      <c r="H424" s="702"/>
      <c r="I424" s="702"/>
      <c r="J424" s="702"/>
      <c r="K424" s="702"/>
      <c r="L424" s="702"/>
      <c r="M424" s="702"/>
      <c r="N424" s="702"/>
      <c r="O424" s="702"/>
      <c r="P424" s="702"/>
      <c r="Q424" s="702"/>
      <c r="R424" s="702"/>
      <c r="S424" s="702"/>
      <c r="T424" s="702"/>
      <c r="U424" s="702"/>
      <c r="V424" s="702"/>
      <c r="W424" s="702"/>
      <c r="X424" s="702"/>
      <c r="Y424" s="702"/>
      <c r="Z424" s="702"/>
      <c r="AA424" s="702"/>
      <c r="AB424" s="702"/>
      <c r="AC424" s="702"/>
    </row>
    <row r="425" ht="15.75" customHeight="1">
      <c r="A425" s="702"/>
      <c r="B425" s="702"/>
      <c r="C425" s="702"/>
      <c r="D425" s="702"/>
      <c r="E425" s="702"/>
      <c r="F425" s="702"/>
      <c r="G425" s="702"/>
      <c r="H425" s="702"/>
      <c r="I425" s="702"/>
      <c r="J425" s="702"/>
      <c r="K425" s="702"/>
      <c r="L425" s="702"/>
      <c r="M425" s="702"/>
      <c r="N425" s="702"/>
      <c r="O425" s="702"/>
      <c r="P425" s="702"/>
      <c r="Q425" s="702"/>
      <c r="R425" s="702"/>
      <c r="S425" s="702"/>
      <c r="T425" s="702"/>
      <c r="U425" s="702"/>
      <c r="V425" s="702"/>
      <c r="W425" s="702"/>
      <c r="X425" s="702"/>
      <c r="Y425" s="702"/>
      <c r="Z425" s="702"/>
      <c r="AA425" s="702"/>
      <c r="AB425" s="702"/>
      <c r="AC425" s="702"/>
    </row>
    <row r="426" ht="15.75" customHeight="1">
      <c r="A426" s="702"/>
      <c r="B426" s="702"/>
      <c r="C426" s="702"/>
      <c r="D426" s="702"/>
      <c r="E426" s="702"/>
      <c r="F426" s="702"/>
      <c r="G426" s="702"/>
      <c r="H426" s="702"/>
      <c r="I426" s="702"/>
      <c r="J426" s="702"/>
      <c r="K426" s="702"/>
      <c r="L426" s="702"/>
      <c r="M426" s="702"/>
      <c r="N426" s="702"/>
      <c r="O426" s="702"/>
      <c r="P426" s="702"/>
      <c r="Q426" s="702"/>
      <c r="R426" s="702"/>
      <c r="S426" s="702"/>
      <c r="T426" s="702"/>
      <c r="U426" s="702"/>
      <c r="V426" s="702"/>
      <c r="W426" s="702"/>
      <c r="X426" s="702"/>
      <c r="Y426" s="702"/>
      <c r="Z426" s="702"/>
      <c r="AA426" s="702"/>
      <c r="AB426" s="702"/>
      <c r="AC426" s="702"/>
    </row>
    <row r="427" ht="15.75" customHeight="1">
      <c r="A427" s="702"/>
      <c r="B427" s="702"/>
      <c r="C427" s="702"/>
      <c r="D427" s="702"/>
      <c r="E427" s="702"/>
      <c r="F427" s="702"/>
      <c r="G427" s="702"/>
      <c r="H427" s="702"/>
      <c r="I427" s="702"/>
      <c r="J427" s="702"/>
      <c r="K427" s="702"/>
      <c r="L427" s="702"/>
      <c r="M427" s="702"/>
      <c r="N427" s="702"/>
      <c r="O427" s="702"/>
      <c r="P427" s="702"/>
      <c r="Q427" s="702"/>
      <c r="R427" s="702"/>
      <c r="S427" s="702"/>
      <c r="T427" s="702"/>
      <c r="U427" s="702"/>
      <c r="V427" s="702"/>
      <c r="W427" s="702"/>
      <c r="X427" s="702"/>
      <c r="Y427" s="702"/>
      <c r="Z427" s="702"/>
      <c r="AA427" s="702"/>
      <c r="AB427" s="702"/>
      <c r="AC427" s="702"/>
    </row>
    <row r="428" ht="15.75" customHeight="1">
      <c r="A428" s="702"/>
      <c r="B428" s="702"/>
      <c r="C428" s="702"/>
      <c r="D428" s="702"/>
      <c r="E428" s="702"/>
      <c r="F428" s="702"/>
      <c r="G428" s="702"/>
      <c r="H428" s="702"/>
      <c r="I428" s="702"/>
      <c r="J428" s="702"/>
      <c r="K428" s="702"/>
      <c r="L428" s="702"/>
      <c r="M428" s="702"/>
      <c r="N428" s="702"/>
      <c r="O428" s="702"/>
      <c r="P428" s="702"/>
      <c r="Q428" s="702"/>
      <c r="R428" s="702"/>
      <c r="S428" s="702"/>
      <c r="T428" s="702"/>
      <c r="U428" s="702"/>
      <c r="V428" s="702"/>
      <c r="W428" s="702"/>
      <c r="X428" s="702"/>
      <c r="Y428" s="702"/>
      <c r="Z428" s="702"/>
      <c r="AA428" s="702"/>
      <c r="AB428" s="702"/>
      <c r="AC428" s="702"/>
    </row>
    <row r="429" ht="15.75" customHeight="1">
      <c r="A429" s="702"/>
      <c r="B429" s="702"/>
      <c r="C429" s="702"/>
      <c r="D429" s="702"/>
      <c r="E429" s="702"/>
      <c r="F429" s="702"/>
      <c r="G429" s="702"/>
      <c r="H429" s="702"/>
      <c r="I429" s="702"/>
      <c r="J429" s="702"/>
      <c r="K429" s="702"/>
      <c r="L429" s="702"/>
      <c r="M429" s="702"/>
      <c r="N429" s="702"/>
      <c r="O429" s="702"/>
      <c r="P429" s="702"/>
      <c r="Q429" s="702"/>
      <c r="R429" s="702"/>
      <c r="S429" s="702"/>
      <c r="T429" s="702"/>
      <c r="U429" s="702"/>
      <c r="V429" s="702"/>
      <c r="W429" s="702"/>
      <c r="X429" s="702"/>
      <c r="Y429" s="702"/>
      <c r="Z429" s="702"/>
      <c r="AA429" s="702"/>
      <c r="AB429" s="702"/>
      <c r="AC429" s="702"/>
    </row>
    <row r="430" ht="15.75" customHeight="1">
      <c r="A430" s="702"/>
      <c r="B430" s="702"/>
      <c r="C430" s="702"/>
      <c r="D430" s="702"/>
      <c r="E430" s="702"/>
      <c r="F430" s="702"/>
      <c r="G430" s="702"/>
      <c r="H430" s="702"/>
      <c r="I430" s="702"/>
      <c r="J430" s="702"/>
      <c r="K430" s="702"/>
      <c r="L430" s="702"/>
      <c r="M430" s="702"/>
      <c r="N430" s="702"/>
      <c r="O430" s="702"/>
      <c r="P430" s="702"/>
      <c r="Q430" s="702"/>
      <c r="R430" s="702"/>
      <c r="S430" s="702"/>
      <c r="T430" s="702"/>
      <c r="U430" s="702"/>
      <c r="V430" s="702"/>
      <c r="W430" s="702"/>
      <c r="X430" s="702"/>
      <c r="Y430" s="702"/>
      <c r="Z430" s="702"/>
      <c r="AA430" s="702"/>
      <c r="AB430" s="702"/>
      <c r="AC430" s="702"/>
    </row>
    <row r="431" ht="15.75" customHeight="1">
      <c r="A431" s="702"/>
      <c r="B431" s="702"/>
      <c r="C431" s="702"/>
      <c r="D431" s="702"/>
      <c r="E431" s="702"/>
      <c r="F431" s="702"/>
      <c r="G431" s="702"/>
      <c r="H431" s="702"/>
      <c r="I431" s="702"/>
      <c r="J431" s="702"/>
      <c r="K431" s="702"/>
      <c r="L431" s="702"/>
      <c r="M431" s="702"/>
      <c r="N431" s="702"/>
      <c r="O431" s="702"/>
      <c r="P431" s="702"/>
      <c r="Q431" s="702"/>
      <c r="R431" s="702"/>
      <c r="S431" s="702"/>
      <c r="T431" s="702"/>
      <c r="U431" s="702"/>
      <c r="V431" s="702"/>
      <c r="W431" s="702"/>
      <c r="X431" s="702"/>
      <c r="Y431" s="702"/>
      <c r="Z431" s="702"/>
      <c r="AA431" s="702"/>
      <c r="AB431" s="702"/>
      <c r="AC431" s="702"/>
    </row>
    <row r="432" ht="15.75" customHeight="1">
      <c r="A432" s="702"/>
      <c r="B432" s="702"/>
      <c r="C432" s="702"/>
      <c r="D432" s="702"/>
      <c r="E432" s="702"/>
      <c r="F432" s="702"/>
      <c r="G432" s="702"/>
      <c r="H432" s="702"/>
      <c r="I432" s="702"/>
      <c r="J432" s="702"/>
      <c r="K432" s="702"/>
      <c r="L432" s="702"/>
      <c r="M432" s="702"/>
      <c r="N432" s="702"/>
      <c r="O432" s="702"/>
      <c r="P432" s="702"/>
      <c r="Q432" s="702"/>
      <c r="R432" s="702"/>
      <c r="S432" s="702"/>
      <c r="T432" s="702"/>
      <c r="U432" s="702"/>
      <c r="V432" s="702"/>
      <c r="W432" s="702"/>
      <c r="X432" s="702"/>
      <c r="Y432" s="702"/>
      <c r="Z432" s="702"/>
      <c r="AA432" s="702"/>
      <c r="AB432" s="702"/>
      <c r="AC432" s="702"/>
    </row>
    <row r="433" ht="15.75" customHeight="1">
      <c r="A433" s="702"/>
      <c r="B433" s="702"/>
      <c r="C433" s="702"/>
      <c r="D433" s="702"/>
      <c r="E433" s="702"/>
      <c r="F433" s="702"/>
      <c r="G433" s="702"/>
      <c r="H433" s="702"/>
      <c r="I433" s="702"/>
      <c r="J433" s="702"/>
      <c r="K433" s="702"/>
      <c r="L433" s="702"/>
      <c r="M433" s="702"/>
      <c r="N433" s="702"/>
      <c r="O433" s="702"/>
      <c r="P433" s="702"/>
      <c r="Q433" s="702"/>
      <c r="R433" s="702"/>
      <c r="S433" s="702"/>
      <c r="T433" s="702"/>
      <c r="U433" s="702"/>
      <c r="V433" s="702"/>
      <c r="W433" s="702"/>
      <c r="X433" s="702"/>
      <c r="Y433" s="702"/>
      <c r="Z433" s="702"/>
      <c r="AA433" s="702"/>
      <c r="AB433" s="702"/>
      <c r="AC433" s="702"/>
    </row>
    <row r="434" ht="15.75" customHeight="1">
      <c r="A434" s="702"/>
      <c r="B434" s="702"/>
      <c r="C434" s="702"/>
      <c r="D434" s="702"/>
      <c r="E434" s="702"/>
      <c r="F434" s="702"/>
      <c r="G434" s="702"/>
      <c r="H434" s="702"/>
      <c r="I434" s="702"/>
      <c r="J434" s="702"/>
      <c r="K434" s="702"/>
      <c r="L434" s="702"/>
      <c r="M434" s="702"/>
      <c r="N434" s="702"/>
      <c r="O434" s="702"/>
      <c r="P434" s="702"/>
      <c r="Q434" s="702"/>
      <c r="R434" s="702"/>
      <c r="S434" s="702"/>
      <c r="T434" s="702"/>
      <c r="U434" s="702"/>
      <c r="V434" s="702"/>
      <c r="W434" s="702"/>
      <c r="X434" s="702"/>
      <c r="Y434" s="702"/>
      <c r="Z434" s="702"/>
      <c r="AA434" s="702"/>
      <c r="AB434" s="702"/>
      <c r="AC434" s="702"/>
    </row>
    <row r="435" ht="15.75" customHeight="1">
      <c r="A435" s="702"/>
      <c r="B435" s="702"/>
      <c r="C435" s="702"/>
      <c r="D435" s="702"/>
      <c r="E435" s="702"/>
      <c r="F435" s="702"/>
      <c r="G435" s="702"/>
      <c r="H435" s="702"/>
      <c r="I435" s="702"/>
      <c r="J435" s="702"/>
      <c r="K435" s="702"/>
      <c r="L435" s="702"/>
      <c r="M435" s="702"/>
      <c r="N435" s="702"/>
      <c r="O435" s="702"/>
      <c r="P435" s="702"/>
      <c r="Q435" s="702"/>
      <c r="R435" s="702"/>
      <c r="S435" s="702"/>
      <c r="T435" s="702"/>
      <c r="U435" s="702"/>
      <c r="V435" s="702"/>
      <c r="W435" s="702"/>
      <c r="X435" s="702"/>
      <c r="Y435" s="702"/>
      <c r="Z435" s="702"/>
      <c r="AA435" s="702"/>
      <c r="AB435" s="702"/>
      <c r="AC435" s="702"/>
    </row>
    <row r="436" ht="15.75" customHeight="1">
      <c r="A436" s="702"/>
      <c r="B436" s="702"/>
      <c r="C436" s="702"/>
      <c r="D436" s="702"/>
      <c r="E436" s="702"/>
      <c r="F436" s="702"/>
      <c r="G436" s="702"/>
      <c r="H436" s="702"/>
      <c r="I436" s="702"/>
      <c r="J436" s="702"/>
      <c r="K436" s="702"/>
      <c r="L436" s="702"/>
      <c r="M436" s="702"/>
      <c r="N436" s="702"/>
      <c r="O436" s="702"/>
      <c r="P436" s="702"/>
      <c r="Q436" s="702"/>
      <c r="R436" s="702"/>
      <c r="S436" s="702"/>
      <c r="T436" s="702"/>
      <c r="U436" s="702"/>
      <c r="V436" s="702"/>
      <c r="W436" s="702"/>
      <c r="X436" s="702"/>
      <c r="Y436" s="702"/>
      <c r="Z436" s="702"/>
      <c r="AA436" s="702"/>
      <c r="AB436" s="702"/>
      <c r="AC436" s="702"/>
    </row>
    <row r="437" ht="15.75" customHeight="1">
      <c r="A437" s="702"/>
      <c r="B437" s="702"/>
      <c r="C437" s="702"/>
      <c r="D437" s="702"/>
      <c r="E437" s="702"/>
      <c r="F437" s="702"/>
      <c r="G437" s="702"/>
      <c r="H437" s="702"/>
      <c r="I437" s="702"/>
      <c r="J437" s="702"/>
      <c r="K437" s="702"/>
      <c r="L437" s="702"/>
      <c r="M437" s="702"/>
      <c r="N437" s="702"/>
      <c r="O437" s="702"/>
      <c r="P437" s="702"/>
      <c r="Q437" s="702"/>
      <c r="R437" s="702"/>
      <c r="S437" s="702"/>
      <c r="T437" s="702"/>
      <c r="U437" s="702"/>
      <c r="V437" s="702"/>
      <c r="W437" s="702"/>
      <c r="X437" s="702"/>
      <c r="Y437" s="702"/>
      <c r="Z437" s="702"/>
      <c r="AA437" s="702"/>
      <c r="AB437" s="702"/>
      <c r="AC437" s="702"/>
    </row>
    <row r="438" ht="15.75" customHeight="1">
      <c r="A438" s="702"/>
      <c r="B438" s="702"/>
      <c r="C438" s="702"/>
      <c r="D438" s="702"/>
      <c r="E438" s="702"/>
      <c r="F438" s="702"/>
      <c r="G438" s="702"/>
      <c r="H438" s="702"/>
      <c r="I438" s="702"/>
      <c r="J438" s="702"/>
      <c r="K438" s="702"/>
      <c r="L438" s="702"/>
      <c r="M438" s="702"/>
      <c r="N438" s="702"/>
      <c r="O438" s="702"/>
      <c r="P438" s="702"/>
      <c r="Q438" s="702"/>
      <c r="R438" s="702"/>
      <c r="S438" s="702"/>
      <c r="T438" s="702"/>
      <c r="U438" s="702"/>
      <c r="V438" s="702"/>
      <c r="W438" s="702"/>
      <c r="X438" s="702"/>
      <c r="Y438" s="702"/>
      <c r="Z438" s="702"/>
      <c r="AA438" s="702"/>
      <c r="AB438" s="702"/>
      <c r="AC438" s="702"/>
    </row>
    <row r="439" ht="15.75" customHeight="1">
      <c r="A439" s="702"/>
      <c r="B439" s="702"/>
      <c r="C439" s="702"/>
      <c r="D439" s="702"/>
      <c r="E439" s="702"/>
      <c r="F439" s="702"/>
      <c r="G439" s="702"/>
      <c r="H439" s="702"/>
      <c r="I439" s="702"/>
      <c r="J439" s="702"/>
      <c r="K439" s="702"/>
      <c r="L439" s="702"/>
      <c r="M439" s="702"/>
      <c r="N439" s="702"/>
      <c r="O439" s="702"/>
      <c r="P439" s="702"/>
      <c r="Q439" s="702"/>
      <c r="R439" s="702"/>
      <c r="S439" s="702"/>
      <c r="T439" s="702"/>
      <c r="U439" s="702"/>
      <c r="V439" s="702"/>
      <c r="W439" s="702"/>
      <c r="X439" s="702"/>
      <c r="Y439" s="702"/>
      <c r="Z439" s="702"/>
      <c r="AA439" s="702"/>
      <c r="AB439" s="702"/>
      <c r="AC439" s="702"/>
    </row>
    <row r="440" ht="15.75" customHeight="1">
      <c r="A440" s="702"/>
      <c r="B440" s="702"/>
      <c r="C440" s="702"/>
      <c r="D440" s="702"/>
      <c r="E440" s="702"/>
      <c r="F440" s="702"/>
      <c r="G440" s="702"/>
      <c r="H440" s="702"/>
      <c r="I440" s="702"/>
      <c r="J440" s="702"/>
      <c r="K440" s="702"/>
      <c r="L440" s="702"/>
      <c r="M440" s="702"/>
      <c r="N440" s="702"/>
      <c r="O440" s="702"/>
      <c r="P440" s="702"/>
      <c r="Q440" s="702"/>
      <c r="R440" s="702"/>
      <c r="S440" s="702"/>
      <c r="T440" s="702"/>
      <c r="U440" s="702"/>
      <c r="V440" s="702"/>
      <c r="W440" s="702"/>
      <c r="X440" s="702"/>
      <c r="Y440" s="702"/>
      <c r="Z440" s="702"/>
      <c r="AA440" s="702"/>
      <c r="AB440" s="702"/>
      <c r="AC440" s="702"/>
    </row>
    <row r="441" ht="15.75" customHeight="1">
      <c r="A441" s="702"/>
      <c r="B441" s="702"/>
      <c r="C441" s="702"/>
      <c r="D441" s="702"/>
      <c r="E441" s="702"/>
      <c r="F441" s="702"/>
      <c r="G441" s="702"/>
      <c r="H441" s="702"/>
      <c r="I441" s="702"/>
      <c r="J441" s="702"/>
      <c r="K441" s="702"/>
      <c r="L441" s="702"/>
      <c r="M441" s="702"/>
      <c r="N441" s="702"/>
      <c r="O441" s="702"/>
      <c r="P441" s="702"/>
      <c r="Q441" s="702"/>
      <c r="R441" s="702"/>
      <c r="S441" s="702"/>
      <c r="T441" s="702"/>
      <c r="U441" s="702"/>
      <c r="V441" s="702"/>
      <c r="W441" s="702"/>
      <c r="X441" s="702"/>
      <c r="Y441" s="702"/>
      <c r="Z441" s="702"/>
      <c r="AA441" s="702"/>
      <c r="AB441" s="702"/>
      <c r="AC441" s="702"/>
    </row>
    <row r="442" ht="15.75" customHeight="1">
      <c r="A442" s="702"/>
      <c r="B442" s="702"/>
      <c r="C442" s="702"/>
      <c r="D442" s="702"/>
      <c r="E442" s="702"/>
      <c r="F442" s="702"/>
      <c r="G442" s="702"/>
      <c r="H442" s="702"/>
      <c r="I442" s="702"/>
      <c r="J442" s="702"/>
      <c r="K442" s="702"/>
      <c r="L442" s="702"/>
      <c r="M442" s="702"/>
      <c r="N442" s="702"/>
      <c r="O442" s="702"/>
      <c r="P442" s="702"/>
      <c r="Q442" s="702"/>
      <c r="R442" s="702"/>
      <c r="S442" s="702"/>
      <c r="T442" s="702"/>
      <c r="U442" s="702"/>
      <c r="V442" s="702"/>
      <c r="W442" s="702"/>
      <c r="X442" s="702"/>
      <c r="Y442" s="702"/>
      <c r="Z442" s="702"/>
      <c r="AA442" s="702"/>
      <c r="AB442" s="702"/>
      <c r="AC442" s="702"/>
    </row>
    <row r="443" ht="15.75" customHeight="1">
      <c r="A443" s="702"/>
      <c r="B443" s="702"/>
      <c r="C443" s="702"/>
      <c r="D443" s="702"/>
      <c r="E443" s="702"/>
      <c r="F443" s="702"/>
      <c r="G443" s="702"/>
      <c r="H443" s="702"/>
      <c r="I443" s="702"/>
      <c r="J443" s="702"/>
      <c r="K443" s="702"/>
      <c r="L443" s="702"/>
      <c r="M443" s="702"/>
      <c r="N443" s="702"/>
      <c r="O443" s="702"/>
      <c r="P443" s="702"/>
      <c r="Q443" s="702"/>
      <c r="R443" s="702"/>
      <c r="S443" s="702"/>
      <c r="T443" s="702"/>
      <c r="U443" s="702"/>
      <c r="V443" s="702"/>
      <c r="W443" s="702"/>
      <c r="X443" s="702"/>
      <c r="Y443" s="702"/>
      <c r="Z443" s="702"/>
      <c r="AA443" s="702"/>
      <c r="AB443" s="702"/>
      <c r="AC443" s="702"/>
    </row>
    <row r="444" ht="15.75" customHeight="1">
      <c r="A444" s="702"/>
      <c r="B444" s="702"/>
      <c r="C444" s="702"/>
      <c r="D444" s="702"/>
      <c r="E444" s="702"/>
      <c r="F444" s="702"/>
      <c r="G444" s="702"/>
      <c r="H444" s="702"/>
      <c r="I444" s="702"/>
      <c r="J444" s="702"/>
      <c r="K444" s="702"/>
      <c r="L444" s="702"/>
      <c r="M444" s="702"/>
      <c r="N444" s="702"/>
      <c r="O444" s="702"/>
      <c r="P444" s="702"/>
      <c r="Q444" s="702"/>
      <c r="R444" s="702"/>
      <c r="S444" s="702"/>
      <c r="T444" s="702"/>
      <c r="U444" s="702"/>
      <c r="V444" s="702"/>
      <c r="W444" s="702"/>
      <c r="X444" s="702"/>
      <c r="Y444" s="702"/>
      <c r="Z444" s="702"/>
      <c r="AA444" s="702"/>
      <c r="AB444" s="702"/>
      <c r="AC444" s="702"/>
    </row>
    <row r="445" ht="15.75" customHeight="1">
      <c r="A445" s="702"/>
      <c r="B445" s="702"/>
      <c r="C445" s="702"/>
      <c r="D445" s="702"/>
      <c r="E445" s="702"/>
      <c r="F445" s="702"/>
      <c r="G445" s="702"/>
      <c r="H445" s="702"/>
      <c r="I445" s="702"/>
      <c r="J445" s="702"/>
      <c r="K445" s="702"/>
      <c r="L445" s="702"/>
      <c r="M445" s="702"/>
      <c r="N445" s="702"/>
      <c r="O445" s="702"/>
      <c r="P445" s="702"/>
      <c r="Q445" s="702"/>
      <c r="R445" s="702"/>
      <c r="S445" s="702"/>
      <c r="T445" s="702"/>
      <c r="U445" s="702"/>
      <c r="V445" s="702"/>
      <c r="W445" s="702"/>
      <c r="X445" s="702"/>
      <c r="Y445" s="702"/>
      <c r="Z445" s="702"/>
      <c r="AA445" s="702"/>
      <c r="AB445" s="702"/>
      <c r="AC445" s="702"/>
    </row>
    <row r="446" ht="15.75" customHeight="1">
      <c r="A446" s="702"/>
      <c r="B446" s="702"/>
      <c r="C446" s="702"/>
      <c r="D446" s="702"/>
      <c r="E446" s="702"/>
      <c r="F446" s="702"/>
      <c r="G446" s="702"/>
      <c r="H446" s="702"/>
      <c r="I446" s="702"/>
      <c r="J446" s="702"/>
      <c r="K446" s="702"/>
      <c r="L446" s="702"/>
      <c r="M446" s="702"/>
      <c r="N446" s="702"/>
      <c r="O446" s="702"/>
      <c r="P446" s="702"/>
      <c r="Q446" s="702"/>
      <c r="R446" s="702"/>
      <c r="S446" s="702"/>
      <c r="T446" s="702"/>
      <c r="U446" s="702"/>
      <c r="V446" s="702"/>
      <c r="W446" s="702"/>
      <c r="X446" s="702"/>
      <c r="Y446" s="702"/>
      <c r="Z446" s="702"/>
      <c r="AA446" s="702"/>
      <c r="AB446" s="702"/>
      <c r="AC446" s="702"/>
    </row>
    <row r="447" ht="15.75" customHeight="1">
      <c r="A447" s="702"/>
      <c r="B447" s="702"/>
      <c r="C447" s="702"/>
      <c r="D447" s="702"/>
      <c r="E447" s="702"/>
      <c r="F447" s="702"/>
      <c r="G447" s="702"/>
      <c r="H447" s="702"/>
      <c r="I447" s="702"/>
      <c r="J447" s="702"/>
      <c r="K447" s="702"/>
      <c r="L447" s="702"/>
      <c r="M447" s="702"/>
      <c r="N447" s="702"/>
      <c r="O447" s="702"/>
      <c r="P447" s="702"/>
      <c r="Q447" s="702"/>
      <c r="R447" s="702"/>
      <c r="S447" s="702"/>
      <c r="T447" s="702"/>
      <c r="U447" s="702"/>
      <c r="V447" s="702"/>
      <c r="W447" s="702"/>
      <c r="X447" s="702"/>
      <c r="Y447" s="702"/>
      <c r="Z447" s="702"/>
      <c r="AA447" s="702"/>
      <c r="AB447" s="702"/>
      <c r="AC447" s="702"/>
    </row>
    <row r="448" ht="15.75" customHeight="1">
      <c r="A448" s="702"/>
      <c r="B448" s="702"/>
      <c r="C448" s="702"/>
      <c r="D448" s="702"/>
      <c r="E448" s="702"/>
      <c r="F448" s="702"/>
      <c r="G448" s="702"/>
      <c r="H448" s="702"/>
      <c r="I448" s="702"/>
      <c r="J448" s="702"/>
      <c r="K448" s="702"/>
      <c r="L448" s="702"/>
      <c r="M448" s="702"/>
      <c r="N448" s="702"/>
      <c r="O448" s="702"/>
      <c r="P448" s="702"/>
      <c r="Q448" s="702"/>
      <c r="R448" s="702"/>
      <c r="S448" s="702"/>
      <c r="T448" s="702"/>
      <c r="U448" s="702"/>
      <c r="V448" s="702"/>
      <c r="W448" s="702"/>
      <c r="X448" s="702"/>
      <c r="Y448" s="702"/>
      <c r="Z448" s="702"/>
      <c r="AA448" s="702"/>
      <c r="AB448" s="702"/>
      <c r="AC448" s="702"/>
    </row>
    <row r="449" ht="15.75" customHeight="1">
      <c r="A449" s="702"/>
      <c r="B449" s="702"/>
      <c r="C449" s="702"/>
      <c r="D449" s="702"/>
      <c r="E449" s="702"/>
      <c r="F449" s="702"/>
      <c r="G449" s="702"/>
      <c r="H449" s="702"/>
      <c r="I449" s="702"/>
      <c r="J449" s="702"/>
      <c r="K449" s="702"/>
      <c r="L449" s="702"/>
      <c r="M449" s="702"/>
      <c r="N449" s="702"/>
      <c r="O449" s="702"/>
      <c r="P449" s="702"/>
      <c r="Q449" s="702"/>
      <c r="R449" s="702"/>
      <c r="S449" s="702"/>
      <c r="T449" s="702"/>
      <c r="U449" s="702"/>
      <c r="V449" s="702"/>
      <c r="W449" s="702"/>
      <c r="X449" s="702"/>
      <c r="Y449" s="702"/>
      <c r="Z449" s="702"/>
      <c r="AA449" s="702"/>
      <c r="AB449" s="702"/>
      <c r="AC449" s="702"/>
    </row>
    <row r="450" ht="15.75" customHeight="1">
      <c r="A450" s="702"/>
      <c r="B450" s="702"/>
      <c r="C450" s="702"/>
      <c r="D450" s="702"/>
      <c r="E450" s="702"/>
      <c r="F450" s="702"/>
      <c r="G450" s="702"/>
      <c r="H450" s="702"/>
      <c r="I450" s="702"/>
      <c r="J450" s="702"/>
      <c r="K450" s="702"/>
      <c r="L450" s="702"/>
      <c r="M450" s="702"/>
      <c r="N450" s="702"/>
      <c r="O450" s="702"/>
      <c r="P450" s="702"/>
      <c r="Q450" s="702"/>
      <c r="R450" s="702"/>
      <c r="S450" s="702"/>
      <c r="T450" s="702"/>
      <c r="U450" s="702"/>
      <c r="V450" s="702"/>
      <c r="W450" s="702"/>
      <c r="X450" s="702"/>
      <c r="Y450" s="702"/>
      <c r="Z450" s="702"/>
      <c r="AA450" s="702"/>
      <c r="AB450" s="702"/>
      <c r="AC450" s="702"/>
    </row>
    <row r="451" ht="15.75" customHeight="1">
      <c r="A451" s="702"/>
      <c r="B451" s="702"/>
      <c r="C451" s="702"/>
      <c r="D451" s="702"/>
      <c r="E451" s="702"/>
      <c r="F451" s="702"/>
      <c r="G451" s="702"/>
      <c r="H451" s="702"/>
      <c r="I451" s="702"/>
      <c r="J451" s="702"/>
      <c r="K451" s="702"/>
      <c r="L451" s="702"/>
      <c r="M451" s="702"/>
      <c r="N451" s="702"/>
      <c r="O451" s="702"/>
      <c r="P451" s="702"/>
      <c r="Q451" s="702"/>
      <c r="R451" s="702"/>
      <c r="S451" s="702"/>
      <c r="T451" s="702"/>
      <c r="U451" s="702"/>
      <c r="V451" s="702"/>
      <c r="W451" s="702"/>
      <c r="X451" s="702"/>
      <c r="Y451" s="702"/>
      <c r="Z451" s="702"/>
      <c r="AA451" s="702"/>
      <c r="AB451" s="702"/>
      <c r="AC451" s="702"/>
    </row>
    <row r="452" ht="15.75" customHeight="1">
      <c r="A452" s="702"/>
      <c r="B452" s="702"/>
      <c r="C452" s="702"/>
      <c r="D452" s="702"/>
      <c r="E452" s="702"/>
      <c r="F452" s="702"/>
      <c r="G452" s="702"/>
      <c r="H452" s="702"/>
      <c r="I452" s="702"/>
      <c r="J452" s="702"/>
      <c r="K452" s="702"/>
      <c r="L452" s="702"/>
      <c r="M452" s="702"/>
      <c r="N452" s="702"/>
      <c r="O452" s="702"/>
      <c r="P452" s="702"/>
      <c r="Q452" s="702"/>
      <c r="R452" s="702"/>
      <c r="S452" s="702"/>
      <c r="T452" s="702"/>
      <c r="U452" s="702"/>
      <c r="V452" s="702"/>
      <c r="W452" s="702"/>
      <c r="X452" s="702"/>
      <c r="Y452" s="702"/>
      <c r="Z452" s="702"/>
      <c r="AA452" s="702"/>
      <c r="AB452" s="702"/>
      <c r="AC452" s="702"/>
    </row>
    <row r="453" ht="15.75" customHeight="1">
      <c r="A453" s="702"/>
      <c r="B453" s="702"/>
      <c r="C453" s="702"/>
      <c r="D453" s="702"/>
      <c r="E453" s="702"/>
      <c r="F453" s="702"/>
      <c r="G453" s="702"/>
      <c r="H453" s="702"/>
      <c r="I453" s="702"/>
      <c r="J453" s="702"/>
      <c r="K453" s="702"/>
      <c r="L453" s="702"/>
      <c r="M453" s="702"/>
      <c r="N453" s="702"/>
      <c r="O453" s="702"/>
      <c r="P453" s="702"/>
      <c r="Q453" s="702"/>
      <c r="R453" s="702"/>
      <c r="S453" s="702"/>
      <c r="T453" s="702"/>
      <c r="U453" s="702"/>
      <c r="V453" s="702"/>
      <c r="W453" s="702"/>
      <c r="X453" s="702"/>
      <c r="Y453" s="702"/>
      <c r="Z453" s="702"/>
      <c r="AA453" s="702"/>
      <c r="AB453" s="702"/>
      <c r="AC453" s="702"/>
    </row>
    <row r="454" ht="15.75" customHeight="1">
      <c r="A454" s="702"/>
      <c r="B454" s="702"/>
      <c r="C454" s="702"/>
      <c r="D454" s="702"/>
      <c r="E454" s="702"/>
      <c r="F454" s="702"/>
      <c r="G454" s="702"/>
      <c r="H454" s="702"/>
      <c r="I454" s="702"/>
      <c r="J454" s="702"/>
      <c r="K454" s="702"/>
      <c r="L454" s="702"/>
      <c r="M454" s="702"/>
      <c r="N454" s="702"/>
      <c r="O454" s="702"/>
      <c r="P454" s="702"/>
      <c r="Q454" s="702"/>
      <c r="R454" s="702"/>
      <c r="S454" s="702"/>
      <c r="T454" s="702"/>
      <c r="U454" s="702"/>
      <c r="V454" s="702"/>
      <c r="W454" s="702"/>
      <c r="X454" s="702"/>
      <c r="Y454" s="702"/>
      <c r="Z454" s="702"/>
      <c r="AA454" s="702"/>
      <c r="AB454" s="702"/>
      <c r="AC454" s="702"/>
    </row>
    <row r="455" ht="15.75" customHeight="1">
      <c r="A455" s="702"/>
      <c r="B455" s="702"/>
      <c r="C455" s="702"/>
      <c r="D455" s="702"/>
      <c r="E455" s="702"/>
      <c r="F455" s="702"/>
      <c r="G455" s="702"/>
      <c r="H455" s="702"/>
      <c r="I455" s="702"/>
      <c r="J455" s="702"/>
      <c r="K455" s="702"/>
      <c r="L455" s="702"/>
      <c r="M455" s="702"/>
      <c r="N455" s="702"/>
      <c r="O455" s="702"/>
      <c r="P455" s="702"/>
      <c r="Q455" s="702"/>
      <c r="R455" s="702"/>
      <c r="S455" s="702"/>
      <c r="T455" s="702"/>
      <c r="U455" s="702"/>
      <c r="V455" s="702"/>
      <c r="W455" s="702"/>
      <c r="X455" s="702"/>
      <c r="Y455" s="702"/>
      <c r="Z455" s="702"/>
      <c r="AA455" s="702"/>
      <c r="AB455" s="702"/>
      <c r="AC455" s="702"/>
    </row>
    <row r="456" ht="15.75" customHeight="1">
      <c r="A456" s="702"/>
      <c r="B456" s="702"/>
      <c r="C456" s="702"/>
      <c r="D456" s="702"/>
      <c r="E456" s="702"/>
      <c r="F456" s="702"/>
      <c r="G456" s="702"/>
      <c r="H456" s="702"/>
      <c r="I456" s="702"/>
      <c r="J456" s="702"/>
      <c r="K456" s="702"/>
      <c r="L456" s="702"/>
      <c r="M456" s="702"/>
      <c r="N456" s="702"/>
      <c r="O456" s="702"/>
      <c r="P456" s="702"/>
      <c r="Q456" s="702"/>
      <c r="R456" s="702"/>
      <c r="S456" s="702"/>
      <c r="T456" s="702"/>
      <c r="U456" s="702"/>
      <c r="V456" s="702"/>
      <c r="W456" s="702"/>
      <c r="X456" s="702"/>
      <c r="Y456" s="702"/>
      <c r="Z456" s="702"/>
      <c r="AA456" s="702"/>
      <c r="AB456" s="702"/>
      <c r="AC456" s="702"/>
    </row>
    <row r="457" ht="15.75" customHeight="1">
      <c r="A457" s="702"/>
      <c r="B457" s="702"/>
      <c r="C457" s="702"/>
      <c r="D457" s="702"/>
      <c r="E457" s="702"/>
      <c r="F457" s="702"/>
      <c r="G457" s="702"/>
      <c r="H457" s="702"/>
      <c r="I457" s="702"/>
      <c r="J457" s="702"/>
      <c r="K457" s="702"/>
      <c r="L457" s="702"/>
      <c r="M457" s="702"/>
      <c r="N457" s="702"/>
      <c r="O457" s="702"/>
      <c r="P457" s="702"/>
      <c r="Q457" s="702"/>
      <c r="R457" s="702"/>
      <c r="S457" s="702"/>
      <c r="T457" s="702"/>
      <c r="U457" s="702"/>
      <c r="V457" s="702"/>
      <c r="W457" s="702"/>
      <c r="X457" s="702"/>
      <c r="Y457" s="702"/>
      <c r="Z457" s="702"/>
      <c r="AA457" s="702"/>
      <c r="AB457" s="702"/>
      <c r="AC457" s="702"/>
    </row>
    <row r="458" ht="15.75" customHeight="1">
      <c r="A458" s="702"/>
      <c r="B458" s="702"/>
      <c r="C458" s="702"/>
      <c r="D458" s="702"/>
      <c r="E458" s="702"/>
      <c r="F458" s="702"/>
      <c r="G458" s="702"/>
      <c r="H458" s="702"/>
      <c r="I458" s="702"/>
      <c r="J458" s="702"/>
      <c r="K458" s="702"/>
      <c r="L458" s="702"/>
      <c r="M458" s="702"/>
      <c r="N458" s="702"/>
      <c r="O458" s="702"/>
      <c r="P458" s="702"/>
      <c r="Q458" s="702"/>
      <c r="R458" s="702"/>
      <c r="S458" s="702"/>
      <c r="T458" s="702"/>
      <c r="U458" s="702"/>
      <c r="V458" s="702"/>
      <c r="W458" s="702"/>
      <c r="X458" s="702"/>
      <c r="Y458" s="702"/>
      <c r="Z458" s="702"/>
      <c r="AA458" s="702"/>
      <c r="AB458" s="702"/>
      <c r="AC458" s="702"/>
    </row>
    <row r="459" ht="15.75" customHeight="1">
      <c r="A459" s="702"/>
      <c r="B459" s="702"/>
      <c r="C459" s="702"/>
      <c r="D459" s="702"/>
      <c r="E459" s="702"/>
      <c r="F459" s="702"/>
      <c r="G459" s="702"/>
      <c r="H459" s="702"/>
      <c r="I459" s="702"/>
      <c r="J459" s="702"/>
      <c r="K459" s="702"/>
      <c r="L459" s="702"/>
      <c r="M459" s="702"/>
      <c r="N459" s="702"/>
      <c r="O459" s="702"/>
      <c r="P459" s="702"/>
      <c r="Q459" s="702"/>
      <c r="R459" s="702"/>
      <c r="S459" s="702"/>
      <c r="T459" s="702"/>
      <c r="U459" s="702"/>
      <c r="V459" s="702"/>
      <c r="W459" s="702"/>
      <c r="X459" s="702"/>
      <c r="Y459" s="702"/>
      <c r="Z459" s="702"/>
      <c r="AA459" s="702"/>
      <c r="AB459" s="702"/>
      <c r="AC459" s="702"/>
    </row>
    <row r="460" ht="15.75" customHeight="1">
      <c r="A460" s="702"/>
      <c r="B460" s="702"/>
      <c r="C460" s="702"/>
      <c r="D460" s="702"/>
      <c r="E460" s="702"/>
      <c r="F460" s="702"/>
      <c r="G460" s="702"/>
      <c r="H460" s="702"/>
      <c r="I460" s="702"/>
      <c r="J460" s="702"/>
      <c r="K460" s="702"/>
      <c r="L460" s="702"/>
      <c r="M460" s="702"/>
      <c r="N460" s="702"/>
      <c r="O460" s="702"/>
      <c r="P460" s="702"/>
      <c r="Q460" s="702"/>
      <c r="R460" s="702"/>
      <c r="S460" s="702"/>
      <c r="T460" s="702"/>
      <c r="U460" s="702"/>
      <c r="V460" s="702"/>
      <c r="W460" s="702"/>
      <c r="X460" s="702"/>
      <c r="Y460" s="702"/>
      <c r="Z460" s="702"/>
      <c r="AA460" s="702"/>
      <c r="AB460" s="702"/>
      <c r="AC460" s="702"/>
    </row>
    <row r="461" ht="15.75" customHeight="1">
      <c r="A461" s="702"/>
      <c r="B461" s="702"/>
      <c r="C461" s="702"/>
      <c r="D461" s="702"/>
      <c r="E461" s="702"/>
      <c r="F461" s="702"/>
      <c r="G461" s="702"/>
      <c r="H461" s="702"/>
      <c r="I461" s="702"/>
      <c r="J461" s="702"/>
      <c r="K461" s="702"/>
      <c r="L461" s="702"/>
      <c r="M461" s="702"/>
      <c r="N461" s="702"/>
      <c r="O461" s="702"/>
      <c r="P461" s="702"/>
      <c r="Q461" s="702"/>
      <c r="R461" s="702"/>
      <c r="S461" s="702"/>
      <c r="T461" s="702"/>
      <c r="U461" s="702"/>
      <c r="V461" s="702"/>
      <c r="W461" s="702"/>
      <c r="X461" s="702"/>
      <c r="Y461" s="702"/>
      <c r="Z461" s="702"/>
      <c r="AA461" s="702"/>
      <c r="AB461" s="702"/>
      <c r="AC461" s="702"/>
    </row>
    <row r="462" ht="15.75" customHeight="1">
      <c r="A462" s="702"/>
      <c r="B462" s="702"/>
      <c r="C462" s="702"/>
      <c r="D462" s="702"/>
      <c r="E462" s="702"/>
      <c r="F462" s="702"/>
      <c r="G462" s="702"/>
      <c r="H462" s="702"/>
      <c r="I462" s="702"/>
      <c r="J462" s="702"/>
      <c r="K462" s="702"/>
      <c r="L462" s="702"/>
      <c r="M462" s="702"/>
      <c r="N462" s="702"/>
      <c r="O462" s="702"/>
      <c r="P462" s="702"/>
      <c r="Q462" s="702"/>
      <c r="R462" s="702"/>
      <c r="S462" s="702"/>
      <c r="T462" s="702"/>
      <c r="U462" s="702"/>
      <c r="V462" s="702"/>
      <c r="W462" s="702"/>
      <c r="X462" s="702"/>
      <c r="Y462" s="702"/>
      <c r="Z462" s="702"/>
      <c r="AA462" s="702"/>
      <c r="AB462" s="702"/>
      <c r="AC462" s="702"/>
    </row>
    <row r="463" ht="15.75" customHeight="1">
      <c r="A463" s="702"/>
      <c r="B463" s="702"/>
      <c r="C463" s="702"/>
      <c r="D463" s="702"/>
      <c r="E463" s="702"/>
      <c r="F463" s="702"/>
      <c r="G463" s="702"/>
      <c r="H463" s="702"/>
      <c r="I463" s="702"/>
      <c r="J463" s="702"/>
      <c r="K463" s="702"/>
      <c r="L463" s="702"/>
      <c r="M463" s="702"/>
      <c r="N463" s="702"/>
      <c r="O463" s="702"/>
      <c r="P463" s="702"/>
      <c r="Q463" s="702"/>
      <c r="R463" s="702"/>
      <c r="S463" s="702"/>
      <c r="T463" s="702"/>
      <c r="U463" s="702"/>
      <c r="V463" s="702"/>
      <c r="W463" s="702"/>
      <c r="X463" s="702"/>
      <c r="Y463" s="702"/>
      <c r="Z463" s="702"/>
      <c r="AA463" s="702"/>
      <c r="AB463" s="702"/>
      <c r="AC463" s="702"/>
    </row>
    <row r="464" ht="15.75" customHeight="1">
      <c r="A464" s="702"/>
      <c r="B464" s="702"/>
      <c r="C464" s="702"/>
      <c r="D464" s="702"/>
      <c r="E464" s="702"/>
      <c r="F464" s="702"/>
      <c r="G464" s="702"/>
      <c r="H464" s="702"/>
      <c r="I464" s="702"/>
      <c r="J464" s="702"/>
      <c r="K464" s="702"/>
      <c r="L464" s="702"/>
      <c r="M464" s="702"/>
      <c r="N464" s="702"/>
      <c r="O464" s="702"/>
      <c r="P464" s="702"/>
      <c r="Q464" s="702"/>
      <c r="R464" s="702"/>
      <c r="S464" s="702"/>
      <c r="T464" s="702"/>
      <c r="U464" s="702"/>
      <c r="V464" s="702"/>
      <c r="W464" s="702"/>
      <c r="X464" s="702"/>
      <c r="Y464" s="702"/>
      <c r="Z464" s="702"/>
      <c r="AA464" s="702"/>
      <c r="AB464" s="702"/>
      <c r="AC464" s="702"/>
    </row>
    <row r="465" ht="15.75" customHeight="1">
      <c r="A465" s="702"/>
      <c r="B465" s="702"/>
      <c r="C465" s="702"/>
      <c r="D465" s="702"/>
      <c r="E465" s="702"/>
      <c r="F465" s="702"/>
      <c r="G465" s="702"/>
      <c r="H465" s="702"/>
      <c r="I465" s="702"/>
      <c r="J465" s="702"/>
      <c r="K465" s="702"/>
      <c r="L465" s="702"/>
      <c r="M465" s="702"/>
      <c r="N465" s="702"/>
      <c r="O465" s="702"/>
      <c r="P465" s="702"/>
      <c r="Q465" s="702"/>
      <c r="R465" s="702"/>
      <c r="S465" s="702"/>
      <c r="T465" s="702"/>
      <c r="U465" s="702"/>
      <c r="V465" s="702"/>
      <c r="W465" s="702"/>
      <c r="X465" s="702"/>
      <c r="Y465" s="702"/>
      <c r="Z465" s="702"/>
      <c r="AA465" s="702"/>
      <c r="AB465" s="702"/>
      <c r="AC465" s="702"/>
    </row>
    <row r="466" ht="15.75" customHeight="1">
      <c r="A466" s="702"/>
      <c r="B466" s="702"/>
      <c r="C466" s="702"/>
      <c r="D466" s="702"/>
      <c r="E466" s="702"/>
      <c r="F466" s="702"/>
      <c r="G466" s="702"/>
      <c r="H466" s="702"/>
      <c r="I466" s="702"/>
      <c r="J466" s="702"/>
      <c r="K466" s="702"/>
      <c r="L466" s="702"/>
      <c r="M466" s="702"/>
      <c r="N466" s="702"/>
      <c r="O466" s="702"/>
      <c r="P466" s="702"/>
      <c r="Q466" s="702"/>
      <c r="R466" s="702"/>
      <c r="S466" s="702"/>
      <c r="T466" s="702"/>
      <c r="U466" s="702"/>
      <c r="V466" s="702"/>
      <c r="W466" s="702"/>
      <c r="X466" s="702"/>
      <c r="Y466" s="702"/>
      <c r="Z466" s="702"/>
      <c r="AA466" s="702"/>
      <c r="AB466" s="702"/>
      <c r="AC466" s="702"/>
    </row>
    <row r="467" ht="15.75" customHeight="1">
      <c r="A467" s="702"/>
      <c r="B467" s="702"/>
      <c r="C467" s="702"/>
      <c r="D467" s="702"/>
      <c r="E467" s="702"/>
      <c r="F467" s="702"/>
      <c r="G467" s="702"/>
      <c r="H467" s="702"/>
      <c r="I467" s="702"/>
      <c r="J467" s="702"/>
      <c r="K467" s="702"/>
      <c r="L467" s="702"/>
      <c r="M467" s="702"/>
      <c r="N467" s="702"/>
      <c r="O467" s="702"/>
      <c r="P467" s="702"/>
      <c r="Q467" s="702"/>
      <c r="R467" s="702"/>
      <c r="S467" s="702"/>
      <c r="T467" s="702"/>
      <c r="U467" s="702"/>
      <c r="V467" s="702"/>
      <c r="W467" s="702"/>
      <c r="X467" s="702"/>
      <c r="Y467" s="702"/>
      <c r="Z467" s="702"/>
      <c r="AA467" s="702"/>
      <c r="AB467" s="702"/>
      <c r="AC467" s="702"/>
    </row>
    <row r="468" ht="15.75" customHeight="1">
      <c r="A468" s="702"/>
      <c r="B468" s="702"/>
      <c r="C468" s="702"/>
      <c r="D468" s="702"/>
      <c r="E468" s="702"/>
      <c r="F468" s="702"/>
      <c r="G468" s="702"/>
      <c r="H468" s="702"/>
      <c r="I468" s="702"/>
      <c r="J468" s="702"/>
      <c r="K468" s="702"/>
      <c r="L468" s="702"/>
      <c r="M468" s="702"/>
      <c r="N468" s="702"/>
      <c r="O468" s="702"/>
      <c r="P468" s="702"/>
      <c r="Q468" s="702"/>
      <c r="R468" s="702"/>
      <c r="S468" s="702"/>
      <c r="T468" s="702"/>
      <c r="U468" s="702"/>
      <c r="V468" s="702"/>
      <c r="W468" s="702"/>
      <c r="X468" s="702"/>
      <c r="Y468" s="702"/>
      <c r="Z468" s="702"/>
      <c r="AA468" s="702"/>
      <c r="AB468" s="702"/>
      <c r="AC468" s="702"/>
    </row>
    <row r="469" ht="15.75" customHeight="1">
      <c r="A469" s="702"/>
      <c r="B469" s="702"/>
      <c r="C469" s="702"/>
      <c r="D469" s="702"/>
      <c r="E469" s="702"/>
      <c r="F469" s="702"/>
      <c r="G469" s="702"/>
      <c r="H469" s="702"/>
      <c r="I469" s="702"/>
      <c r="J469" s="702"/>
      <c r="K469" s="702"/>
      <c r="L469" s="702"/>
      <c r="M469" s="702"/>
      <c r="N469" s="702"/>
      <c r="O469" s="702"/>
      <c r="P469" s="702"/>
      <c r="Q469" s="702"/>
      <c r="R469" s="702"/>
      <c r="S469" s="702"/>
      <c r="T469" s="702"/>
      <c r="U469" s="702"/>
      <c r="V469" s="702"/>
      <c r="W469" s="702"/>
      <c r="X469" s="702"/>
      <c r="Y469" s="702"/>
      <c r="Z469" s="702"/>
      <c r="AA469" s="702"/>
      <c r="AB469" s="702"/>
      <c r="AC469" s="702"/>
    </row>
    <row r="470" ht="15.75" customHeight="1">
      <c r="A470" s="702"/>
      <c r="B470" s="702"/>
      <c r="C470" s="702"/>
      <c r="D470" s="702"/>
      <c r="E470" s="702"/>
      <c r="F470" s="702"/>
      <c r="G470" s="702"/>
      <c r="H470" s="702"/>
      <c r="I470" s="702"/>
      <c r="J470" s="702"/>
      <c r="K470" s="702"/>
      <c r="L470" s="702"/>
      <c r="M470" s="702"/>
      <c r="N470" s="702"/>
      <c r="O470" s="702"/>
      <c r="P470" s="702"/>
      <c r="Q470" s="702"/>
      <c r="R470" s="702"/>
      <c r="S470" s="702"/>
      <c r="T470" s="702"/>
      <c r="U470" s="702"/>
      <c r="V470" s="702"/>
      <c r="W470" s="702"/>
      <c r="X470" s="702"/>
      <c r="Y470" s="702"/>
      <c r="Z470" s="702"/>
      <c r="AA470" s="702"/>
      <c r="AB470" s="702"/>
      <c r="AC470" s="702"/>
    </row>
    <row r="471" ht="15.75" customHeight="1">
      <c r="A471" s="702"/>
      <c r="B471" s="702"/>
      <c r="C471" s="702"/>
      <c r="D471" s="702"/>
      <c r="E471" s="702"/>
      <c r="F471" s="702"/>
      <c r="G471" s="702"/>
      <c r="H471" s="702"/>
      <c r="I471" s="702"/>
      <c r="J471" s="702"/>
      <c r="K471" s="702"/>
      <c r="L471" s="702"/>
      <c r="M471" s="702"/>
      <c r="N471" s="702"/>
      <c r="O471" s="702"/>
      <c r="P471" s="702"/>
      <c r="Q471" s="702"/>
      <c r="R471" s="702"/>
      <c r="S471" s="702"/>
      <c r="T471" s="702"/>
      <c r="U471" s="702"/>
      <c r="V471" s="702"/>
      <c r="W471" s="702"/>
      <c r="X471" s="702"/>
      <c r="Y471" s="702"/>
      <c r="Z471" s="702"/>
      <c r="AA471" s="702"/>
      <c r="AB471" s="702"/>
      <c r="AC471" s="702"/>
    </row>
    <row r="472" ht="15.75" customHeight="1">
      <c r="A472" s="702"/>
      <c r="B472" s="702"/>
      <c r="C472" s="702"/>
      <c r="D472" s="702"/>
      <c r="E472" s="702"/>
      <c r="F472" s="702"/>
      <c r="G472" s="702"/>
      <c r="H472" s="702"/>
      <c r="I472" s="702"/>
      <c r="J472" s="702"/>
      <c r="K472" s="702"/>
      <c r="L472" s="702"/>
      <c r="M472" s="702"/>
      <c r="N472" s="702"/>
      <c r="O472" s="702"/>
      <c r="P472" s="702"/>
      <c r="Q472" s="702"/>
      <c r="R472" s="702"/>
      <c r="S472" s="702"/>
      <c r="T472" s="702"/>
      <c r="U472" s="702"/>
      <c r="V472" s="702"/>
      <c r="W472" s="702"/>
      <c r="X472" s="702"/>
      <c r="Y472" s="702"/>
      <c r="Z472" s="702"/>
      <c r="AA472" s="702"/>
      <c r="AB472" s="702"/>
      <c r="AC472" s="702"/>
    </row>
    <row r="473" ht="15.75" customHeight="1">
      <c r="A473" s="702"/>
      <c r="B473" s="702"/>
      <c r="C473" s="702"/>
      <c r="D473" s="702"/>
      <c r="E473" s="702"/>
      <c r="F473" s="702"/>
      <c r="G473" s="702"/>
      <c r="H473" s="702"/>
      <c r="I473" s="702"/>
      <c r="J473" s="702"/>
      <c r="K473" s="702"/>
      <c r="L473" s="702"/>
      <c r="M473" s="702"/>
      <c r="N473" s="702"/>
      <c r="O473" s="702"/>
      <c r="P473" s="702"/>
      <c r="Q473" s="702"/>
      <c r="R473" s="702"/>
      <c r="S473" s="702"/>
      <c r="T473" s="702"/>
      <c r="U473" s="702"/>
      <c r="V473" s="702"/>
      <c r="W473" s="702"/>
      <c r="X473" s="702"/>
      <c r="Y473" s="702"/>
      <c r="Z473" s="702"/>
      <c r="AA473" s="702"/>
      <c r="AB473" s="702"/>
      <c r="AC473" s="702"/>
    </row>
    <row r="474" ht="15.75" customHeight="1">
      <c r="A474" s="702"/>
      <c r="B474" s="702"/>
      <c r="C474" s="702"/>
      <c r="D474" s="702"/>
      <c r="E474" s="702"/>
      <c r="F474" s="702"/>
      <c r="G474" s="702"/>
      <c r="H474" s="702"/>
      <c r="I474" s="702"/>
      <c r="J474" s="702"/>
      <c r="K474" s="702"/>
      <c r="L474" s="702"/>
      <c r="M474" s="702"/>
      <c r="N474" s="702"/>
      <c r="O474" s="702"/>
      <c r="P474" s="702"/>
      <c r="Q474" s="702"/>
      <c r="R474" s="702"/>
      <c r="S474" s="702"/>
      <c r="T474" s="702"/>
      <c r="U474" s="702"/>
      <c r="V474" s="702"/>
      <c r="W474" s="702"/>
      <c r="X474" s="702"/>
      <c r="Y474" s="702"/>
      <c r="Z474" s="702"/>
      <c r="AA474" s="702"/>
      <c r="AB474" s="702"/>
      <c r="AC474" s="702"/>
    </row>
    <row r="475" ht="15.75" customHeight="1">
      <c r="A475" s="702"/>
      <c r="B475" s="702"/>
      <c r="C475" s="702"/>
      <c r="D475" s="702"/>
      <c r="E475" s="702"/>
      <c r="F475" s="702"/>
      <c r="G475" s="702"/>
      <c r="H475" s="702"/>
      <c r="I475" s="702"/>
      <c r="J475" s="702"/>
      <c r="K475" s="702"/>
      <c r="L475" s="702"/>
      <c r="M475" s="702"/>
      <c r="N475" s="702"/>
      <c r="O475" s="702"/>
      <c r="P475" s="702"/>
      <c r="Q475" s="702"/>
      <c r="R475" s="702"/>
      <c r="S475" s="702"/>
      <c r="T475" s="702"/>
      <c r="U475" s="702"/>
      <c r="V475" s="702"/>
      <c r="W475" s="702"/>
      <c r="X475" s="702"/>
      <c r="Y475" s="702"/>
      <c r="Z475" s="702"/>
      <c r="AA475" s="702"/>
      <c r="AB475" s="702"/>
      <c r="AC475" s="702"/>
    </row>
    <row r="476" ht="15.75" customHeight="1">
      <c r="A476" s="702"/>
      <c r="B476" s="702"/>
      <c r="C476" s="702"/>
      <c r="D476" s="702"/>
      <c r="E476" s="702"/>
      <c r="F476" s="702"/>
      <c r="G476" s="702"/>
      <c r="H476" s="702"/>
      <c r="I476" s="702"/>
      <c r="J476" s="702"/>
      <c r="K476" s="702"/>
      <c r="L476" s="702"/>
      <c r="M476" s="702"/>
      <c r="N476" s="702"/>
      <c r="O476" s="702"/>
      <c r="P476" s="702"/>
      <c r="Q476" s="702"/>
      <c r="R476" s="702"/>
      <c r="S476" s="702"/>
      <c r="T476" s="702"/>
      <c r="U476" s="702"/>
      <c r="V476" s="702"/>
      <c r="W476" s="702"/>
      <c r="X476" s="702"/>
      <c r="Y476" s="702"/>
      <c r="Z476" s="702"/>
      <c r="AA476" s="702"/>
      <c r="AB476" s="702"/>
      <c r="AC476" s="702"/>
    </row>
    <row r="477" ht="15.75" customHeight="1">
      <c r="A477" s="702"/>
      <c r="B477" s="702"/>
      <c r="C477" s="702"/>
      <c r="D477" s="702"/>
      <c r="E477" s="702"/>
      <c r="F477" s="702"/>
      <c r="G477" s="702"/>
      <c r="H477" s="702"/>
      <c r="I477" s="702"/>
      <c r="J477" s="702"/>
      <c r="K477" s="702"/>
      <c r="L477" s="702"/>
      <c r="M477" s="702"/>
      <c r="N477" s="702"/>
      <c r="O477" s="702"/>
      <c r="P477" s="702"/>
      <c r="Q477" s="702"/>
      <c r="R477" s="702"/>
      <c r="S477" s="702"/>
      <c r="T477" s="702"/>
      <c r="U477" s="702"/>
      <c r="V477" s="702"/>
      <c r="W477" s="702"/>
      <c r="X477" s="702"/>
      <c r="Y477" s="702"/>
      <c r="Z477" s="702"/>
      <c r="AA477" s="702"/>
      <c r="AB477" s="702"/>
      <c r="AC477" s="702"/>
    </row>
    <row r="478" ht="15.75" customHeight="1">
      <c r="A478" s="702"/>
      <c r="B478" s="702"/>
      <c r="C478" s="702"/>
      <c r="D478" s="702"/>
      <c r="E478" s="702"/>
      <c r="F478" s="702"/>
      <c r="G478" s="702"/>
      <c r="H478" s="702"/>
      <c r="I478" s="702"/>
      <c r="J478" s="702"/>
      <c r="K478" s="702"/>
      <c r="L478" s="702"/>
      <c r="M478" s="702"/>
      <c r="N478" s="702"/>
      <c r="O478" s="702"/>
      <c r="P478" s="702"/>
      <c r="Q478" s="702"/>
      <c r="R478" s="702"/>
      <c r="S478" s="702"/>
      <c r="T478" s="702"/>
      <c r="U478" s="702"/>
      <c r="V478" s="702"/>
      <c r="W478" s="702"/>
      <c r="X478" s="702"/>
      <c r="Y478" s="702"/>
      <c r="Z478" s="702"/>
      <c r="AA478" s="702"/>
      <c r="AB478" s="702"/>
      <c r="AC478" s="702"/>
    </row>
    <row r="479" ht="15.75" customHeight="1">
      <c r="A479" s="702"/>
      <c r="B479" s="702"/>
      <c r="C479" s="702"/>
      <c r="D479" s="702"/>
      <c r="E479" s="702"/>
      <c r="F479" s="702"/>
      <c r="G479" s="702"/>
      <c r="H479" s="702"/>
      <c r="I479" s="702"/>
      <c r="J479" s="702"/>
      <c r="K479" s="702"/>
      <c r="L479" s="702"/>
      <c r="M479" s="702"/>
      <c r="N479" s="702"/>
      <c r="O479" s="702"/>
      <c r="P479" s="702"/>
      <c r="Q479" s="702"/>
      <c r="R479" s="702"/>
      <c r="S479" s="702"/>
      <c r="T479" s="702"/>
      <c r="U479" s="702"/>
      <c r="V479" s="702"/>
      <c r="W479" s="702"/>
      <c r="X479" s="702"/>
      <c r="Y479" s="702"/>
      <c r="Z479" s="702"/>
      <c r="AA479" s="702"/>
      <c r="AB479" s="702"/>
      <c r="AC479" s="702"/>
    </row>
    <row r="480" ht="15.75" customHeight="1">
      <c r="A480" s="702"/>
      <c r="B480" s="702"/>
      <c r="C480" s="702"/>
      <c r="D480" s="702"/>
      <c r="E480" s="702"/>
      <c r="F480" s="702"/>
      <c r="G480" s="702"/>
      <c r="H480" s="702"/>
      <c r="I480" s="702"/>
      <c r="J480" s="702"/>
      <c r="K480" s="702"/>
      <c r="L480" s="702"/>
      <c r="M480" s="702"/>
      <c r="N480" s="702"/>
      <c r="O480" s="702"/>
      <c r="P480" s="702"/>
      <c r="Q480" s="702"/>
      <c r="R480" s="702"/>
      <c r="S480" s="702"/>
      <c r="T480" s="702"/>
      <c r="U480" s="702"/>
      <c r="V480" s="702"/>
      <c r="W480" s="702"/>
      <c r="X480" s="702"/>
      <c r="Y480" s="702"/>
      <c r="Z480" s="702"/>
      <c r="AA480" s="702"/>
      <c r="AB480" s="702"/>
      <c r="AC480" s="702"/>
    </row>
    <row r="481" ht="15.75" customHeight="1">
      <c r="A481" s="702"/>
      <c r="B481" s="702"/>
      <c r="C481" s="702"/>
      <c r="D481" s="702"/>
      <c r="E481" s="702"/>
      <c r="F481" s="702"/>
      <c r="G481" s="702"/>
      <c r="H481" s="702"/>
      <c r="I481" s="702"/>
      <c r="J481" s="702"/>
      <c r="K481" s="702"/>
      <c r="L481" s="702"/>
      <c r="M481" s="702"/>
      <c r="N481" s="702"/>
      <c r="O481" s="702"/>
      <c r="P481" s="702"/>
      <c r="Q481" s="702"/>
      <c r="R481" s="702"/>
      <c r="S481" s="702"/>
      <c r="T481" s="702"/>
      <c r="U481" s="702"/>
      <c r="V481" s="702"/>
      <c r="W481" s="702"/>
      <c r="X481" s="702"/>
      <c r="Y481" s="702"/>
      <c r="Z481" s="702"/>
      <c r="AA481" s="702"/>
      <c r="AB481" s="702"/>
      <c r="AC481" s="702"/>
    </row>
    <row r="482" ht="15.75" customHeight="1">
      <c r="A482" s="702"/>
      <c r="B482" s="702"/>
      <c r="C482" s="702"/>
      <c r="D482" s="702"/>
      <c r="E482" s="702"/>
      <c r="F482" s="702"/>
      <c r="G482" s="702"/>
      <c r="H482" s="702"/>
      <c r="I482" s="702"/>
      <c r="J482" s="702"/>
      <c r="K482" s="702"/>
      <c r="L482" s="702"/>
      <c r="M482" s="702"/>
      <c r="N482" s="702"/>
      <c r="O482" s="702"/>
      <c r="P482" s="702"/>
      <c r="Q482" s="702"/>
      <c r="R482" s="702"/>
      <c r="S482" s="702"/>
      <c r="T482" s="702"/>
      <c r="U482" s="702"/>
      <c r="V482" s="702"/>
      <c r="W482" s="702"/>
      <c r="X482" s="702"/>
      <c r="Y482" s="702"/>
      <c r="Z482" s="702"/>
      <c r="AA482" s="702"/>
      <c r="AB482" s="702"/>
      <c r="AC482" s="702"/>
    </row>
    <row r="483" ht="15.75" customHeight="1">
      <c r="A483" s="702"/>
      <c r="B483" s="702"/>
      <c r="C483" s="702"/>
      <c r="D483" s="702"/>
      <c r="E483" s="702"/>
      <c r="F483" s="702"/>
      <c r="G483" s="702"/>
      <c r="H483" s="702"/>
      <c r="I483" s="702"/>
      <c r="J483" s="702"/>
      <c r="K483" s="702"/>
      <c r="L483" s="702"/>
      <c r="M483" s="702"/>
      <c r="N483" s="702"/>
      <c r="O483" s="702"/>
      <c r="P483" s="702"/>
      <c r="Q483" s="702"/>
      <c r="R483" s="702"/>
      <c r="S483" s="702"/>
      <c r="T483" s="702"/>
      <c r="U483" s="702"/>
      <c r="V483" s="702"/>
      <c r="W483" s="702"/>
      <c r="X483" s="702"/>
      <c r="Y483" s="702"/>
      <c r="Z483" s="702"/>
      <c r="AA483" s="702"/>
      <c r="AB483" s="702"/>
      <c r="AC483" s="702"/>
    </row>
    <row r="484" ht="15.75" customHeight="1">
      <c r="A484" s="702"/>
      <c r="B484" s="702"/>
      <c r="C484" s="702"/>
      <c r="D484" s="702"/>
      <c r="E484" s="702"/>
      <c r="F484" s="702"/>
      <c r="G484" s="702"/>
      <c r="H484" s="702"/>
      <c r="I484" s="702"/>
      <c r="J484" s="702"/>
      <c r="K484" s="702"/>
      <c r="L484" s="702"/>
      <c r="M484" s="702"/>
      <c r="N484" s="702"/>
      <c r="O484" s="702"/>
      <c r="P484" s="702"/>
      <c r="Q484" s="702"/>
      <c r="R484" s="702"/>
      <c r="S484" s="702"/>
      <c r="T484" s="702"/>
      <c r="U484" s="702"/>
      <c r="V484" s="702"/>
      <c r="W484" s="702"/>
      <c r="X484" s="702"/>
      <c r="Y484" s="702"/>
      <c r="Z484" s="702"/>
      <c r="AA484" s="702"/>
      <c r="AB484" s="702"/>
      <c r="AC484" s="702"/>
    </row>
    <row r="485" ht="15.75" customHeight="1">
      <c r="A485" s="702"/>
      <c r="B485" s="702"/>
      <c r="C485" s="702"/>
      <c r="D485" s="702"/>
      <c r="E485" s="702"/>
      <c r="F485" s="702"/>
      <c r="G485" s="702"/>
      <c r="H485" s="702"/>
      <c r="I485" s="702"/>
      <c r="J485" s="702"/>
      <c r="K485" s="702"/>
      <c r="L485" s="702"/>
      <c r="M485" s="702"/>
      <c r="N485" s="702"/>
      <c r="O485" s="702"/>
      <c r="P485" s="702"/>
      <c r="Q485" s="702"/>
      <c r="R485" s="702"/>
      <c r="S485" s="702"/>
      <c r="T485" s="702"/>
      <c r="U485" s="702"/>
      <c r="V485" s="702"/>
      <c r="W485" s="702"/>
      <c r="X485" s="702"/>
      <c r="Y485" s="702"/>
      <c r="Z485" s="702"/>
      <c r="AA485" s="702"/>
      <c r="AB485" s="702"/>
      <c r="AC485" s="702"/>
    </row>
    <row r="486" ht="15.75" customHeight="1">
      <c r="A486" s="702"/>
      <c r="B486" s="702"/>
      <c r="C486" s="702"/>
      <c r="D486" s="702"/>
      <c r="E486" s="702"/>
      <c r="F486" s="702"/>
      <c r="G486" s="702"/>
      <c r="H486" s="702"/>
      <c r="I486" s="702"/>
      <c r="J486" s="702"/>
      <c r="K486" s="702"/>
      <c r="L486" s="702"/>
      <c r="M486" s="702"/>
      <c r="N486" s="702"/>
      <c r="O486" s="702"/>
      <c r="P486" s="702"/>
      <c r="Q486" s="702"/>
      <c r="R486" s="702"/>
      <c r="S486" s="702"/>
      <c r="T486" s="702"/>
      <c r="U486" s="702"/>
      <c r="V486" s="702"/>
      <c r="W486" s="702"/>
      <c r="X486" s="702"/>
      <c r="Y486" s="702"/>
      <c r="Z486" s="702"/>
      <c r="AA486" s="702"/>
      <c r="AB486" s="702"/>
      <c r="AC486" s="702"/>
    </row>
    <row r="487" ht="15.75" customHeight="1">
      <c r="A487" s="702"/>
      <c r="B487" s="702"/>
      <c r="C487" s="702"/>
      <c r="D487" s="702"/>
      <c r="E487" s="702"/>
      <c r="F487" s="702"/>
      <c r="G487" s="702"/>
      <c r="H487" s="702"/>
      <c r="I487" s="702"/>
      <c r="J487" s="702"/>
      <c r="K487" s="702"/>
      <c r="L487" s="702"/>
      <c r="M487" s="702"/>
      <c r="N487" s="702"/>
      <c r="O487" s="702"/>
      <c r="P487" s="702"/>
      <c r="Q487" s="702"/>
      <c r="R487" s="702"/>
      <c r="S487" s="702"/>
      <c r="T487" s="702"/>
      <c r="U487" s="702"/>
      <c r="V487" s="702"/>
      <c r="W487" s="702"/>
      <c r="X487" s="702"/>
      <c r="Y487" s="702"/>
      <c r="Z487" s="702"/>
      <c r="AA487" s="702"/>
      <c r="AB487" s="702"/>
      <c r="AC487" s="702"/>
    </row>
    <row r="488" ht="15.75" customHeight="1">
      <c r="A488" s="702"/>
      <c r="B488" s="702"/>
      <c r="C488" s="702"/>
      <c r="D488" s="702"/>
      <c r="E488" s="702"/>
      <c r="F488" s="702"/>
      <c r="G488" s="702"/>
      <c r="H488" s="702"/>
      <c r="I488" s="702"/>
      <c r="J488" s="702"/>
      <c r="K488" s="702"/>
      <c r="L488" s="702"/>
      <c r="M488" s="702"/>
      <c r="N488" s="702"/>
      <c r="O488" s="702"/>
      <c r="P488" s="702"/>
      <c r="Q488" s="702"/>
      <c r="R488" s="702"/>
      <c r="S488" s="702"/>
      <c r="T488" s="702"/>
      <c r="U488" s="702"/>
      <c r="V488" s="702"/>
      <c r="W488" s="702"/>
      <c r="X488" s="702"/>
      <c r="Y488" s="702"/>
      <c r="Z488" s="702"/>
      <c r="AA488" s="702"/>
      <c r="AB488" s="702"/>
      <c r="AC488" s="702"/>
    </row>
    <row r="489" ht="15.75" customHeight="1">
      <c r="A489" s="702"/>
      <c r="B489" s="702"/>
      <c r="C489" s="702"/>
      <c r="D489" s="702"/>
      <c r="E489" s="702"/>
      <c r="F489" s="702"/>
      <c r="G489" s="702"/>
      <c r="H489" s="702"/>
      <c r="I489" s="702"/>
      <c r="J489" s="702"/>
      <c r="K489" s="702"/>
      <c r="L489" s="702"/>
      <c r="M489" s="702"/>
      <c r="N489" s="702"/>
      <c r="O489" s="702"/>
      <c r="P489" s="702"/>
      <c r="Q489" s="702"/>
      <c r="R489" s="702"/>
      <c r="S489" s="702"/>
      <c r="T489" s="702"/>
      <c r="U489" s="702"/>
      <c r="V489" s="702"/>
      <c r="W489" s="702"/>
      <c r="X489" s="702"/>
      <c r="Y489" s="702"/>
      <c r="Z489" s="702"/>
      <c r="AA489" s="702"/>
      <c r="AB489" s="702"/>
      <c r="AC489" s="702"/>
    </row>
    <row r="490" ht="15.75" customHeight="1">
      <c r="A490" s="702"/>
      <c r="B490" s="702"/>
      <c r="C490" s="702"/>
      <c r="D490" s="702"/>
      <c r="E490" s="702"/>
      <c r="F490" s="702"/>
      <c r="G490" s="702"/>
      <c r="H490" s="702"/>
      <c r="I490" s="702"/>
      <c r="J490" s="702"/>
      <c r="K490" s="702"/>
      <c r="L490" s="702"/>
      <c r="M490" s="702"/>
      <c r="N490" s="702"/>
      <c r="O490" s="702"/>
      <c r="P490" s="702"/>
      <c r="Q490" s="702"/>
      <c r="R490" s="702"/>
      <c r="S490" s="702"/>
      <c r="T490" s="702"/>
      <c r="U490" s="702"/>
      <c r="V490" s="702"/>
      <c r="W490" s="702"/>
      <c r="X490" s="702"/>
      <c r="Y490" s="702"/>
      <c r="Z490" s="702"/>
      <c r="AA490" s="702"/>
      <c r="AB490" s="702"/>
      <c r="AC490" s="702"/>
    </row>
    <row r="491" ht="15.75" customHeight="1">
      <c r="A491" s="702"/>
      <c r="B491" s="702"/>
      <c r="C491" s="702"/>
      <c r="D491" s="702"/>
      <c r="E491" s="702"/>
      <c r="F491" s="702"/>
      <c r="G491" s="702"/>
      <c r="H491" s="702"/>
      <c r="I491" s="702"/>
      <c r="J491" s="702"/>
      <c r="K491" s="702"/>
      <c r="L491" s="702"/>
      <c r="M491" s="702"/>
      <c r="N491" s="702"/>
      <c r="O491" s="702"/>
      <c r="P491" s="702"/>
      <c r="Q491" s="702"/>
      <c r="R491" s="702"/>
      <c r="S491" s="702"/>
      <c r="T491" s="702"/>
      <c r="U491" s="702"/>
      <c r="V491" s="702"/>
      <c r="W491" s="702"/>
      <c r="X491" s="702"/>
      <c r="Y491" s="702"/>
      <c r="Z491" s="702"/>
      <c r="AA491" s="702"/>
      <c r="AB491" s="702"/>
      <c r="AC491" s="702"/>
    </row>
    <row r="492" ht="15.75" customHeight="1">
      <c r="A492" s="702"/>
      <c r="B492" s="702"/>
      <c r="C492" s="702"/>
      <c r="D492" s="702"/>
      <c r="E492" s="702"/>
      <c r="F492" s="702"/>
      <c r="G492" s="702"/>
      <c r="H492" s="702"/>
      <c r="I492" s="702"/>
      <c r="J492" s="702"/>
      <c r="K492" s="702"/>
      <c r="L492" s="702"/>
      <c r="M492" s="702"/>
      <c r="N492" s="702"/>
      <c r="O492" s="702"/>
      <c r="P492" s="702"/>
      <c r="Q492" s="702"/>
      <c r="R492" s="702"/>
      <c r="S492" s="702"/>
      <c r="T492" s="702"/>
      <c r="U492" s="702"/>
      <c r="V492" s="702"/>
      <c r="W492" s="702"/>
      <c r="X492" s="702"/>
      <c r="Y492" s="702"/>
      <c r="Z492" s="702"/>
      <c r="AA492" s="702"/>
      <c r="AB492" s="702"/>
      <c r="AC492" s="702"/>
    </row>
    <row r="493" ht="15.75" customHeight="1">
      <c r="A493" s="702"/>
      <c r="B493" s="702"/>
      <c r="C493" s="702"/>
      <c r="D493" s="702"/>
      <c r="E493" s="702"/>
      <c r="F493" s="702"/>
      <c r="G493" s="702"/>
      <c r="H493" s="702"/>
      <c r="I493" s="702"/>
      <c r="J493" s="702"/>
      <c r="K493" s="702"/>
      <c r="L493" s="702"/>
      <c r="M493" s="702"/>
      <c r="N493" s="702"/>
      <c r="O493" s="702"/>
      <c r="P493" s="702"/>
      <c r="Q493" s="702"/>
      <c r="R493" s="702"/>
      <c r="S493" s="702"/>
      <c r="T493" s="702"/>
      <c r="U493" s="702"/>
      <c r="V493" s="702"/>
      <c r="W493" s="702"/>
      <c r="X493" s="702"/>
      <c r="Y493" s="702"/>
      <c r="Z493" s="702"/>
      <c r="AA493" s="702"/>
      <c r="AB493" s="702"/>
      <c r="AC493" s="702"/>
    </row>
    <row r="494" ht="15.75" customHeight="1">
      <c r="A494" s="702"/>
      <c r="B494" s="702"/>
      <c r="C494" s="702"/>
      <c r="D494" s="702"/>
      <c r="E494" s="702"/>
      <c r="F494" s="702"/>
      <c r="G494" s="702"/>
      <c r="H494" s="702"/>
      <c r="I494" s="702"/>
      <c r="J494" s="702"/>
      <c r="K494" s="702"/>
      <c r="L494" s="702"/>
      <c r="M494" s="702"/>
      <c r="N494" s="702"/>
      <c r="O494" s="702"/>
      <c r="P494" s="702"/>
      <c r="Q494" s="702"/>
      <c r="R494" s="702"/>
      <c r="S494" s="702"/>
      <c r="T494" s="702"/>
      <c r="U494" s="702"/>
      <c r="V494" s="702"/>
      <c r="W494" s="702"/>
      <c r="X494" s="702"/>
      <c r="Y494" s="702"/>
      <c r="Z494" s="702"/>
      <c r="AA494" s="702"/>
      <c r="AB494" s="702"/>
      <c r="AC494" s="702"/>
    </row>
    <row r="495" ht="15.75" customHeight="1">
      <c r="A495" s="702"/>
      <c r="B495" s="702"/>
      <c r="C495" s="702"/>
      <c r="D495" s="702"/>
      <c r="E495" s="702"/>
      <c r="F495" s="702"/>
      <c r="G495" s="702"/>
      <c r="H495" s="702"/>
      <c r="I495" s="702"/>
      <c r="J495" s="702"/>
      <c r="K495" s="702"/>
      <c r="L495" s="702"/>
      <c r="M495" s="702"/>
      <c r="N495" s="702"/>
      <c r="O495" s="702"/>
      <c r="P495" s="702"/>
      <c r="Q495" s="702"/>
      <c r="R495" s="702"/>
      <c r="S495" s="702"/>
      <c r="T495" s="702"/>
      <c r="U495" s="702"/>
      <c r="V495" s="702"/>
      <c r="W495" s="702"/>
      <c r="X495" s="702"/>
      <c r="Y495" s="702"/>
      <c r="Z495" s="702"/>
      <c r="AA495" s="702"/>
      <c r="AB495" s="702"/>
      <c r="AC495" s="702"/>
    </row>
    <row r="496" ht="15.75" customHeight="1">
      <c r="A496" s="702"/>
      <c r="B496" s="702"/>
      <c r="C496" s="702"/>
      <c r="D496" s="702"/>
      <c r="E496" s="702"/>
      <c r="F496" s="702"/>
      <c r="G496" s="702"/>
      <c r="H496" s="702"/>
      <c r="I496" s="702"/>
      <c r="J496" s="702"/>
      <c r="K496" s="702"/>
      <c r="L496" s="702"/>
      <c r="M496" s="702"/>
      <c r="N496" s="702"/>
      <c r="O496" s="702"/>
      <c r="P496" s="702"/>
      <c r="Q496" s="702"/>
      <c r="R496" s="702"/>
      <c r="S496" s="702"/>
      <c r="T496" s="702"/>
      <c r="U496" s="702"/>
      <c r="V496" s="702"/>
      <c r="W496" s="702"/>
      <c r="X496" s="702"/>
      <c r="Y496" s="702"/>
      <c r="Z496" s="702"/>
      <c r="AA496" s="702"/>
      <c r="AB496" s="702"/>
      <c r="AC496" s="702"/>
    </row>
    <row r="497" ht="15.75" customHeight="1">
      <c r="A497" s="702"/>
      <c r="B497" s="702"/>
      <c r="C497" s="702"/>
      <c r="D497" s="702"/>
      <c r="E497" s="702"/>
      <c r="F497" s="702"/>
      <c r="G497" s="702"/>
      <c r="H497" s="702"/>
      <c r="I497" s="702"/>
      <c r="J497" s="702"/>
      <c r="K497" s="702"/>
      <c r="L497" s="702"/>
      <c r="M497" s="702"/>
      <c r="N497" s="702"/>
      <c r="O497" s="702"/>
      <c r="P497" s="702"/>
      <c r="Q497" s="702"/>
      <c r="R497" s="702"/>
      <c r="S497" s="702"/>
      <c r="T497" s="702"/>
      <c r="U497" s="702"/>
      <c r="V497" s="702"/>
      <c r="W497" s="702"/>
      <c r="X497" s="702"/>
      <c r="Y497" s="702"/>
      <c r="Z497" s="702"/>
      <c r="AA497" s="702"/>
      <c r="AB497" s="702"/>
      <c r="AC497" s="702"/>
    </row>
    <row r="498" ht="15.75" customHeight="1">
      <c r="A498" s="702"/>
      <c r="B498" s="702"/>
      <c r="C498" s="702"/>
      <c r="D498" s="702"/>
      <c r="E498" s="702"/>
      <c r="F498" s="702"/>
      <c r="G498" s="702"/>
      <c r="H498" s="702"/>
      <c r="I498" s="702"/>
      <c r="J498" s="702"/>
      <c r="K498" s="702"/>
      <c r="L498" s="702"/>
      <c r="M498" s="702"/>
      <c r="N498" s="702"/>
      <c r="O498" s="702"/>
      <c r="P498" s="702"/>
      <c r="Q498" s="702"/>
      <c r="R498" s="702"/>
      <c r="S498" s="702"/>
      <c r="T498" s="702"/>
      <c r="U498" s="702"/>
      <c r="V498" s="702"/>
      <c r="W498" s="702"/>
      <c r="X498" s="702"/>
      <c r="Y498" s="702"/>
      <c r="Z498" s="702"/>
      <c r="AA498" s="702"/>
      <c r="AB498" s="702"/>
      <c r="AC498" s="702"/>
    </row>
    <row r="499" ht="15.75" customHeight="1">
      <c r="A499" s="702"/>
      <c r="B499" s="702"/>
      <c r="C499" s="702"/>
      <c r="D499" s="702"/>
      <c r="E499" s="702"/>
      <c r="F499" s="702"/>
      <c r="G499" s="702"/>
      <c r="H499" s="702"/>
      <c r="I499" s="702"/>
      <c r="J499" s="702"/>
      <c r="K499" s="702"/>
      <c r="L499" s="702"/>
      <c r="M499" s="702"/>
      <c r="N499" s="702"/>
      <c r="O499" s="702"/>
      <c r="P499" s="702"/>
      <c r="Q499" s="702"/>
      <c r="R499" s="702"/>
      <c r="S499" s="702"/>
      <c r="T499" s="702"/>
      <c r="U499" s="702"/>
      <c r="V499" s="702"/>
      <c r="W499" s="702"/>
      <c r="X499" s="702"/>
      <c r="Y499" s="702"/>
      <c r="Z499" s="702"/>
      <c r="AA499" s="702"/>
      <c r="AB499" s="702"/>
      <c r="AC499" s="702"/>
    </row>
    <row r="500" ht="15.75" customHeight="1">
      <c r="A500" s="702"/>
      <c r="B500" s="702"/>
      <c r="C500" s="702"/>
      <c r="D500" s="702"/>
      <c r="E500" s="702"/>
      <c r="F500" s="702"/>
      <c r="G500" s="702"/>
      <c r="H500" s="702"/>
      <c r="I500" s="702"/>
      <c r="J500" s="702"/>
      <c r="K500" s="702"/>
      <c r="L500" s="702"/>
      <c r="M500" s="702"/>
      <c r="N500" s="702"/>
      <c r="O500" s="702"/>
      <c r="P500" s="702"/>
      <c r="Q500" s="702"/>
      <c r="R500" s="702"/>
      <c r="S500" s="702"/>
      <c r="T500" s="702"/>
      <c r="U500" s="702"/>
      <c r="V500" s="702"/>
      <c r="W500" s="702"/>
      <c r="X500" s="702"/>
      <c r="Y500" s="702"/>
      <c r="Z500" s="702"/>
      <c r="AA500" s="702"/>
      <c r="AB500" s="702"/>
      <c r="AC500" s="702"/>
    </row>
    <row r="501" ht="15.75" customHeight="1">
      <c r="A501" s="702"/>
      <c r="B501" s="702"/>
      <c r="C501" s="702"/>
      <c r="D501" s="702"/>
      <c r="E501" s="702"/>
      <c r="F501" s="702"/>
      <c r="G501" s="702"/>
      <c r="H501" s="702"/>
      <c r="I501" s="702"/>
      <c r="J501" s="702"/>
      <c r="K501" s="702"/>
      <c r="L501" s="702"/>
      <c r="M501" s="702"/>
      <c r="N501" s="702"/>
      <c r="O501" s="702"/>
      <c r="P501" s="702"/>
      <c r="Q501" s="702"/>
      <c r="R501" s="702"/>
      <c r="S501" s="702"/>
      <c r="T501" s="702"/>
      <c r="U501" s="702"/>
      <c r="V501" s="702"/>
      <c r="W501" s="702"/>
      <c r="X501" s="702"/>
      <c r="Y501" s="702"/>
      <c r="Z501" s="702"/>
      <c r="AA501" s="702"/>
      <c r="AB501" s="702"/>
      <c r="AC501" s="702"/>
    </row>
    <row r="502" ht="15.75" customHeight="1">
      <c r="A502" s="702"/>
      <c r="B502" s="702"/>
      <c r="C502" s="702"/>
      <c r="D502" s="702"/>
      <c r="E502" s="702"/>
      <c r="F502" s="702"/>
      <c r="G502" s="702"/>
      <c r="H502" s="702"/>
      <c r="I502" s="702"/>
      <c r="J502" s="702"/>
      <c r="K502" s="702"/>
      <c r="L502" s="702"/>
      <c r="M502" s="702"/>
      <c r="N502" s="702"/>
      <c r="O502" s="702"/>
      <c r="P502" s="702"/>
      <c r="Q502" s="702"/>
      <c r="R502" s="702"/>
      <c r="S502" s="702"/>
      <c r="T502" s="702"/>
      <c r="U502" s="702"/>
      <c r="V502" s="702"/>
      <c r="W502" s="702"/>
      <c r="X502" s="702"/>
      <c r="Y502" s="702"/>
      <c r="Z502" s="702"/>
      <c r="AA502" s="702"/>
      <c r="AB502" s="702"/>
      <c r="AC502" s="702"/>
    </row>
    <row r="503" ht="15.75" customHeight="1">
      <c r="A503" s="702"/>
      <c r="B503" s="702"/>
      <c r="C503" s="702"/>
      <c r="D503" s="702"/>
      <c r="E503" s="702"/>
      <c r="F503" s="702"/>
      <c r="G503" s="702"/>
      <c r="H503" s="702"/>
      <c r="I503" s="702"/>
      <c r="J503" s="702"/>
      <c r="K503" s="702"/>
      <c r="L503" s="702"/>
      <c r="M503" s="702"/>
      <c r="N503" s="702"/>
      <c r="O503" s="702"/>
      <c r="P503" s="702"/>
      <c r="Q503" s="702"/>
      <c r="R503" s="702"/>
      <c r="S503" s="702"/>
      <c r="T503" s="702"/>
      <c r="U503" s="702"/>
      <c r="V503" s="702"/>
      <c r="W503" s="702"/>
      <c r="X503" s="702"/>
      <c r="Y503" s="702"/>
      <c r="Z503" s="702"/>
      <c r="AA503" s="702"/>
      <c r="AB503" s="702"/>
      <c r="AC503" s="702"/>
    </row>
    <row r="504" ht="15.75" customHeight="1">
      <c r="A504" s="702"/>
      <c r="B504" s="702"/>
      <c r="C504" s="702"/>
      <c r="D504" s="702"/>
      <c r="E504" s="702"/>
      <c r="F504" s="702"/>
      <c r="G504" s="702"/>
      <c r="H504" s="702"/>
      <c r="I504" s="702"/>
      <c r="J504" s="702"/>
      <c r="K504" s="702"/>
      <c r="L504" s="702"/>
      <c r="M504" s="702"/>
      <c r="N504" s="702"/>
      <c r="O504" s="702"/>
      <c r="P504" s="702"/>
      <c r="Q504" s="702"/>
      <c r="R504" s="702"/>
      <c r="S504" s="702"/>
      <c r="T504" s="702"/>
      <c r="U504" s="702"/>
      <c r="V504" s="702"/>
      <c r="W504" s="702"/>
      <c r="X504" s="702"/>
      <c r="Y504" s="702"/>
      <c r="Z504" s="702"/>
      <c r="AA504" s="702"/>
      <c r="AB504" s="702"/>
      <c r="AC504" s="702"/>
    </row>
    <row r="505" ht="15.75" customHeight="1">
      <c r="A505" s="702"/>
      <c r="B505" s="702"/>
      <c r="C505" s="702"/>
      <c r="D505" s="702"/>
      <c r="E505" s="702"/>
      <c r="F505" s="702"/>
      <c r="G505" s="702"/>
      <c r="H505" s="702"/>
      <c r="I505" s="702"/>
      <c r="J505" s="702"/>
      <c r="K505" s="702"/>
      <c r="L505" s="702"/>
      <c r="M505" s="702"/>
      <c r="N505" s="702"/>
      <c r="O505" s="702"/>
      <c r="P505" s="702"/>
      <c r="Q505" s="702"/>
      <c r="R505" s="702"/>
      <c r="S505" s="702"/>
      <c r="T505" s="702"/>
      <c r="U505" s="702"/>
      <c r="V505" s="702"/>
      <c r="W505" s="702"/>
      <c r="X505" s="702"/>
      <c r="Y505" s="702"/>
      <c r="Z505" s="702"/>
      <c r="AA505" s="702"/>
      <c r="AB505" s="702"/>
      <c r="AC505" s="702"/>
    </row>
    <row r="506" ht="15.75" customHeight="1">
      <c r="A506" s="702"/>
      <c r="B506" s="702"/>
      <c r="C506" s="702"/>
      <c r="D506" s="702"/>
      <c r="E506" s="702"/>
      <c r="F506" s="702"/>
      <c r="G506" s="702"/>
      <c r="H506" s="702"/>
      <c r="I506" s="702"/>
      <c r="J506" s="702"/>
      <c r="K506" s="702"/>
      <c r="L506" s="702"/>
      <c r="M506" s="702"/>
      <c r="N506" s="702"/>
      <c r="O506" s="702"/>
      <c r="P506" s="702"/>
      <c r="Q506" s="702"/>
      <c r="R506" s="702"/>
      <c r="S506" s="702"/>
      <c r="T506" s="702"/>
      <c r="U506" s="702"/>
      <c r="V506" s="702"/>
      <c r="W506" s="702"/>
      <c r="X506" s="702"/>
      <c r="Y506" s="702"/>
      <c r="Z506" s="702"/>
      <c r="AA506" s="702"/>
      <c r="AB506" s="702"/>
      <c r="AC506" s="702"/>
    </row>
    <row r="507" ht="15.75" customHeight="1">
      <c r="A507" s="702"/>
      <c r="B507" s="702"/>
      <c r="C507" s="702"/>
      <c r="D507" s="702"/>
      <c r="E507" s="702"/>
      <c r="F507" s="702"/>
      <c r="G507" s="702"/>
      <c r="H507" s="702"/>
      <c r="I507" s="702"/>
      <c r="J507" s="702"/>
      <c r="K507" s="702"/>
      <c r="L507" s="702"/>
      <c r="M507" s="702"/>
      <c r="N507" s="702"/>
      <c r="O507" s="702"/>
      <c r="P507" s="702"/>
      <c r="Q507" s="702"/>
      <c r="R507" s="702"/>
      <c r="S507" s="702"/>
      <c r="T507" s="702"/>
      <c r="U507" s="702"/>
      <c r="V507" s="702"/>
      <c r="W507" s="702"/>
      <c r="X507" s="702"/>
      <c r="Y507" s="702"/>
      <c r="Z507" s="702"/>
      <c r="AA507" s="702"/>
      <c r="AB507" s="702"/>
      <c r="AC507" s="702"/>
    </row>
    <row r="508" ht="15.75" customHeight="1">
      <c r="A508" s="702"/>
      <c r="B508" s="702"/>
      <c r="C508" s="702"/>
      <c r="D508" s="702"/>
      <c r="E508" s="702"/>
      <c r="F508" s="702"/>
      <c r="G508" s="702"/>
      <c r="H508" s="702"/>
      <c r="I508" s="702"/>
      <c r="J508" s="702"/>
      <c r="K508" s="702"/>
      <c r="L508" s="702"/>
      <c r="M508" s="702"/>
      <c r="N508" s="702"/>
      <c r="O508" s="702"/>
      <c r="P508" s="702"/>
      <c r="Q508" s="702"/>
      <c r="R508" s="702"/>
      <c r="S508" s="702"/>
      <c r="T508" s="702"/>
      <c r="U508" s="702"/>
      <c r="V508" s="702"/>
      <c r="W508" s="702"/>
      <c r="X508" s="702"/>
      <c r="Y508" s="702"/>
      <c r="Z508" s="702"/>
      <c r="AA508" s="702"/>
      <c r="AB508" s="702"/>
      <c r="AC508" s="702"/>
    </row>
    <row r="509" ht="15.75" customHeight="1">
      <c r="A509" s="702"/>
      <c r="B509" s="702"/>
      <c r="C509" s="702"/>
      <c r="D509" s="702"/>
      <c r="E509" s="702"/>
      <c r="F509" s="702"/>
      <c r="G509" s="702"/>
      <c r="H509" s="702"/>
      <c r="I509" s="702"/>
      <c r="J509" s="702"/>
      <c r="K509" s="702"/>
      <c r="L509" s="702"/>
      <c r="M509" s="702"/>
      <c r="N509" s="702"/>
      <c r="O509" s="702"/>
      <c r="P509" s="702"/>
      <c r="Q509" s="702"/>
      <c r="R509" s="702"/>
      <c r="S509" s="702"/>
      <c r="T509" s="702"/>
      <c r="U509" s="702"/>
      <c r="V509" s="702"/>
      <c r="W509" s="702"/>
      <c r="X509" s="702"/>
      <c r="Y509" s="702"/>
      <c r="Z509" s="702"/>
      <c r="AA509" s="702"/>
      <c r="AB509" s="702"/>
      <c r="AC509" s="702"/>
    </row>
    <row r="510" ht="15.75" customHeight="1">
      <c r="A510" s="702"/>
      <c r="B510" s="702"/>
      <c r="C510" s="702"/>
      <c r="D510" s="702"/>
      <c r="E510" s="702"/>
      <c r="F510" s="702"/>
      <c r="G510" s="702"/>
      <c r="H510" s="702"/>
      <c r="I510" s="702"/>
      <c r="J510" s="702"/>
      <c r="K510" s="702"/>
      <c r="L510" s="702"/>
      <c r="M510" s="702"/>
      <c r="N510" s="702"/>
      <c r="O510" s="702"/>
      <c r="P510" s="702"/>
      <c r="Q510" s="702"/>
      <c r="R510" s="702"/>
      <c r="S510" s="702"/>
      <c r="T510" s="702"/>
      <c r="U510" s="702"/>
      <c r="V510" s="702"/>
      <c r="W510" s="702"/>
      <c r="X510" s="702"/>
      <c r="Y510" s="702"/>
      <c r="Z510" s="702"/>
      <c r="AA510" s="702"/>
      <c r="AB510" s="702"/>
      <c r="AC510" s="702"/>
    </row>
    <row r="511" ht="15.75" customHeight="1">
      <c r="A511" s="702"/>
      <c r="B511" s="702"/>
      <c r="C511" s="702"/>
      <c r="D511" s="702"/>
      <c r="E511" s="702"/>
      <c r="F511" s="702"/>
      <c r="G511" s="702"/>
      <c r="H511" s="702"/>
      <c r="I511" s="702"/>
      <c r="J511" s="702"/>
      <c r="K511" s="702"/>
      <c r="L511" s="702"/>
      <c r="M511" s="702"/>
      <c r="N511" s="702"/>
      <c r="O511" s="702"/>
      <c r="P511" s="702"/>
      <c r="Q511" s="702"/>
      <c r="R511" s="702"/>
      <c r="S511" s="702"/>
      <c r="T511" s="702"/>
      <c r="U511" s="702"/>
      <c r="V511" s="702"/>
      <c r="W511" s="702"/>
      <c r="X511" s="702"/>
      <c r="Y511" s="702"/>
      <c r="Z511" s="702"/>
      <c r="AA511" s="702"/>
      <c r="AB511" s="702"/>
      <c r="AC511" s="702"/>
    </row>
    <row r="512" ht="15.75" customHeight="1">
      <c r="A512" s="702"/>
      <c r="B512" s="702"/>
      <c r="C512" s="702"/>
      <c r="D512" s="702"/>
      <c r="E512" s="702"/>
      <c r="F512" s="702"/>
      <c r="G512" s="702"/>
      <c r="H512" s="702"/>
      <c r="I512" s="702"/>
      <c r="J512" s="702"/>
      <c r="K512" s="702"/>
      <c r="L512" s="702"/>
      <c r="M512" s="702"/>
      <c r="N512" s="702"/>
      <c r="O512" s="702"/>
      <c r="P512" s="702"/>
      <c r="Q512" s="702"/>
      <c r="R512" s="702"/>
      <c r="S512" s="702"/>
      <c r="T512" s="702"/>
      <c r="U512" s="702"/>
      <c r="V512" s="702"/>
      <c r="W512" s="702"/>
      <c r="X512" s="702"/>
      <c r="Y512" s="702"/>
      <c r="Z512" s="702"/>
      <c r="AA512" s="702"/>
      <c r="AB512" s="702"/>
      <c r="AC512" s="702"/>
    </row>
    <row r="513" ht="15.75" customHeight="1">
      <c r="A513" s="702"/>
      <c r="B513" s="702"/>
      <c r="C513" s="702"/>
      <c r="D513" s="702"/>
      <c r="E513" s="702"/>
      <c r="F513" s="702"/>
      <c r="G513" s="702"/>
      <c r="H513" s="702"/>
      <c r="I513" s="702"/>
      <c r="J513" s="702"/>
      <c r="K513" s="702"/>
      <c r="L513" s="702"/>
      <c r="M513" s="702"/>
      <c r="N513" s="702"/>
      <c r="O513" s="702"/>
      <c r="P513" s="702"/>
      <c r="Q513" s="702"/>
      <c r="R513" s="702"/>
      <c r="S513" s="702"/>
      <c r="T513" s="702"/>
      <c r="U513" s="702"/>
      <c r="V513" s="702"/>
      <c r="W513" s="702"/>
      <c r="X513" s="702"/>
      <c r="Y513" s="702"/>
      <c r="Z513" s="702"/>
      <c r="AA513" s="702"/>
      <c r="AB513" s="702"/>
      <c r="AC513" s="702"/>
    </row>
    <row r="514" ht="15.75" customHeight="1">
      <c r="A514" s="702"/>
      <c r="B514" s="702"/>
      <c r="C514" s="702"/>
      <c r="D514" s="702"/>
      <c r="E514" s="702"/>
      <c r="F514" s="702"/>
      <c r="G514" s="702"/>
      <c r="H514" s="702"/>
      <c r="I514" s="702"/>
      <c r="J514" s="702"/>
      <c r="K514" s="702"/>
      <c r="L514" s="702"/>
      <c r="M514" s="702"/>
      <c r="N514" s="702"/>
      <c r="O514" s="702"/>
      <c r="P514" s="702"/>
      <c r="Q514" s="702"/>
      <c r="R514" s="702"/>
      <c r="S514" s="702"/>
      <c r="T514" s="702"/>
      <c r="U514" s="702"/>
      <c r="V514" s="702"/>
      <c r="W514" s="702"/>
      <c r="X514" s="702"/>
      <c r="Y514" s="702"/>
      <c r="Z514" s="702"/>
      <c r="AA514" s="702"/>
      <c r="AB514" s="702"/>
      <c r="AC514" s="702"/>
    </row>
    <row r="515" ht="15.75" customHeight="1">
      <c r="A515" s="702"/>
      <c r="B515" s="702"/>
      <c r="C515" s="702"/>
      <c r="D515" s="702"/>
      <c r="E515" s="702"/>
      <c r="F515" s="702"/>
      <c r="G515" s="702"/>
      <c r="H515" s="702"/>
      <c r="I515" s="702"/>
      <c r="J515" s="702"/>
      <c r="K515" s="702"/>
      <c r="L515" s="702"/>
      <c r="M515" s="702"/>
      <c r="N515" s="702"/>
      <c r="O515" s="702"/>
      <c r="P515" s="702"/>
      <c r="Q515" s="702"/>
      <c r="R515" s="702"/>
      <c r="S515" s="702"/>
      <c r="T515" s="702"/>
      <c r="U515" s="702"/>
      <c r="V515" s="702"/>
      <c r="W515" s="702"/>
      <c r="X515" s="702"/>
      <c r="Y515" s="702"/>
      <c r="Z515" s="702"/>
      <c r="AA515" s="702"/>
      <c r="AB515" s="702"/>
      <c r="AC515" s="702"/>
    </row>
    <row r="516" ht="15.75" customHeight="1">
      <c r="A516" s="702"/>
      <c r="B516" s="702"/>
      <c r="C516" s="702"/>
      <c r="D516" s="702"/>
      <c r="E516" s="702"/>
      <c r="F516" s="702"/>
      <c r="G516" s="702"/>
      <c r="H516" s="702"/>
      <c r="I516" s="702"/>
      <c r="J516" s="702"/>
      <c r="K516" s="702"/>
      <c r="L516" s="702"/>
      <c r="M516" s="702"/>
      <c r="N516" s="702"/>
      <c r="O516" s="702"/>
      <c r="P516" s="702"/>
      <c r="Q516" s="702"/>
      <c r="R516" s="702"/>
      <c r="S516" s="702"/>
      <c r="T516" s="702"/>
      <c r="U516" s="702"/>
      <c r="V516" s="702"/>
      <c r="W516" s="702"/>
      <c r="X516" s="702"/>
      <c r="Y516" s="702"/>
      <c r="Z516" s="702"/>
      <c r="AA516" s="702"/>
      <c r="AB516" s="702"/>
      <c r="AC516" s="702"/>
    </row>
    <row r="517" ht="15.75" customHeight="1">
      <c r="A517" s="702"/>
      <c r="B517" s="702"/>
      <c r="C517" s="702"/>
      <c r="D517" s="702"/>
      <c r="E517" s="702"/>
      <c r="F517" s="702"/>
      <c r="G517" s="702"/>
      <c r="H517" s="702"/>
      <c r="I517" s="702"/>
      <c r="J517" s="702"/>
      <c r="K517" s="702"/>
      <c r="L517" s="702"/>
      <c r="M517" s="702"/>
      <c r="N517" s="702"/>
      <c r="O517" s="702"/>
      <c r="P517" s="702"/>
      <c r="Q517" s="702"/>
      <c r="R517" s="702"/>
      <c r="S517" s="702"/>
      <c r="T517" s="702"/>
      <c r="U517" s="702"/>
      <c r="V517" s="702"/>
      <c r="W517" s="702"/>
      <c r="X517" s="702"/>
      <c r="Y517" s="702"/>
      <c r="Z517" s="702"/>
      <c r="AA517" s="702"/>
      <c r="AB517" s="702"/>
      <c r="AC517" s="702"/>
    </row>
    <row r="518" ht="15.75" customHeight="1">
      <c r="A518" s="702"/>
      <c r="B518" s="702"/>
      <c r="C518" s="702"/>
      <c r="D518" s="702"/>
      <c r="E518" s="702"/>
      <c r="F518" s="702"/>
      <c r="G518" s="702"/>
      <c r="H518" s="702"/>
      <c r="I518" s="702"/>
      <c r="J518" s="702"/>
      <c r="K518" s="702"/>
      <c r="L518" s="702"/>
      <c r="M518" s="702"/>
      <c r="N518" s="702"/>
      <c r="O518" s="702"/>
      <c r="P518" s="702"/>
      <c r="Q518" s="702"/>
      <c r="R518" s="702"/>
      <c r="S518" s="702"/>
      <c r="T518" s="702"/>
      <c r="U518" s="702"/>
      <c r="V518" s="702"/>
      <c r="W518" s="702"/>
      <c r="X518" s="702"/>
      <c r="Y518" s="702"/>
      <c r="Z518" s="702"/>
      <c r="AA518" s="702"/>
      <c r="AB518" s="702"/>
      <c r="AC518" s="702"/>
    </row>
    <row r="519" ht="15.75" customHeight="1">
      <c r="A519" s="702"/>
      <c r="B519" s="702"/>
      <c r="C519" s="702"/>
      <c r="D519" s="702"/>
      <c r="E519" s="702"/>
      <c r="F519" s="702"/>
      <c r="G519" s="702"/>
      <c r="H519" s="702"/>
      <c r="I519" s="702"/>
      <c r="J519" s="702"/>
      <c r="K519" s="702"/>
      <c r="L519" s="702"/>
      <c r="M519" s="702"/>
      <c r="N519" s="702"/>
      <c r="O519" s="702"/>
      <c r="P519" s="702"/>
      <c r="Q519" s="702"/>
      <c r="R519" s="702"/>
      <c r="S519" s="702"/>
      <c r="T519" s="702"/>
      <c r="U519" s="702"/>
      <c r="V519" s="702"/>
      <c r="W519" s="702"/>
      <c r="X519" s="702"/>
      <c r="Y519" s="702"/>
      <c r="Z519" s="702"/>
      <c r="AA519" s="702"/>
      <c r="AB519" s="702"/>
      <c r="AC519" s="702"/>
    </row>
    <row r="520" ht="15.75" customHeight="1">
      <c r="A520" s="702"/>
      <c r="B520" s="702"/>
      <c r="C520" s="702"/>
      <c r="D520" s="702"/>
      <c r="E520" s="702"/>
      <c r="F520" s="702"/>
      <c r="G520" s="702"/>
      <c r="H520" s="702"/>
      <c r="I520" s="702"/>
      <c r="J520" s="702"/>
      <c r="K520" s="702"/>
      <c r="L520" s="702"/>
      <c r="M520" s="702"/>
      <c r="N520" s="702"/>
      <c r="O520" s="702"/>
      <c r="P520" s="702"/>
      <c r="Q520" s="702"/>
      <c r="R520" s="702"/>
      <c r="S520" s="702"/>
      <c r="T520" s="702"/>
      <c r="U520" s="702"/>
      <c r="V520" s="702"/>
      <c r="W520" s="702"/>
      <c r="X520" s="702"/>
      <c r="Y520" s="702"/>
      <c r="Z520" s="702"/>
      <c r="AA520" s="702"/>
      <c r="AB520" s="702"/>
      <c r="AC520" s="702"/>
    </row>
    <row r="521" ht="15.75" customHeight="1">
      <c r="A521" s="702"/>
      <c r="B521" s="702"/>
      <c r="C521" s="702"/>
      <c r="D521" s="702"/>
      <c r="E521" s="702"/>
      <c r="F521" s="702"/>
      <c r="G521" s="702"/>
      <c r="H521" s="702"/>
      <c r="I521" s="702"/>
      <c r="J521" s="702"/>
      <c r="K521" s="702"/>
      <c r="L521" s="702"/>
      <c r="M521" s="702"/>
      <c r="N521" s="702"/>
      <c r="O521" s="702"/>
      <c r="P521" s="702"/>
      <c r="Q521" s="702"/>
      <c r="R521" s="702"/>
      <c r="S521" s="702"/>
      <c r="T521" s="702"/>
      <c r="U521" s="702"/>
      <c r="V521" s="702"/>
      <c r="W521" s="702"/>
      <c r="X521" s="702"/>
      <c r="Y521" s="702"/>
      <c r="Z521" s="702"/>
      <c r="AA521" s="702"/>
      <c r="AB521" s="702"/>
      <c r="AC521" s="702"/>
    </row>
    <row r="522" ht="15.75" customHeight="1">
      <c r="A522" s="702"/>
      <c r="B522" s="702"/>
      <c r="C522" s="702"/>
      <c r="D522" s="702"/>
      <c r="E522" s="702"/>
      <c r="F522" s="702"/>
      <c r="G522" s="702"/>
      <c r="H522" s="702"/>
      <c r="I522" s="702"/>
      <c r="J522" s="702"/>
      <c r="K522" s="702"/>
      <c r="L522" s="702"/>
      <c r="M522" s="702"/>
      <c r="N522" s="702"/>
      <c r="O522" s="702"/>
      <c r="P522" s="702"/>
      <c r="Q522" s="702"/>
      <c r="R522" s="702"/>
      <c r="S522" s="702"/>
      <c r="T522" s="702"/>
      <c r="U522" s="702"/>
      <c r="V522" s="702"/>
      <c r="W522" s="702"/>
      <c r="X522" s="702"/>
      <c r="Y522" s="702"/>
      <c r="Z522" s="702"/>
      <c r="AA522" s="702"/>
      <c r="AB522" s="702"/>
      <c r="AC522" s="702"/>
    </row>
    <row r="523" ht="15.75" customHeight="1">
      <c r="A523" s="702"/>
      <c r="B523" s="702"/>
      <c r="C523" s="702"/>
      <c r="D523" s="702"/>
      <c r="E523" s="702"/>
      <c r="F523" s="702"/>
      <c r="G523" s="702"/>
      <c r="H523" s="702"/>
      <c r="I523" s="702"/>
      <c r="J523" s="702"/>
      <c r="K523" s="702"/>
      <c r="L523" s="702"/>
      <c r="M523" s="702"/>
      <c r="N523" s="702"/>
      <c r="O523" s="702"/>
      <c r="P523" s="702"/>
      <c r="Q523" s="702"/>
      <c r="R523" s="702"/>
      <c r="S523" s="702"/>
      <c r="T523" s="702"/>
      <c r="U523" s="702"/>
      <c r="V523" s="702"/>
      <c r="W523" s="702"/>
      <c r="X523" s="702"/>
      <c r="Y523" s="702"/>
      <c r="Z523" s="702"/>
      <c r="AA523" s="702"/>
      <c r="AB523" s="702"/>
      <c r="AC523" s="702"/>
    </row>
    <row r="524" ht="15.75" customHeight="1">
      <c r="A524" s="702"/>
      <c r="B524" s="702"/>
      <c r="C524" s="702"/>
      <c r="D524" s="702"/>
      <c r="E524" s="702"/>
      <c r="F524" s="702"/>
      <c r="G524" s="702"/>
      <c r="H524" s="702"/>
      <c r="I524" s="702"/>
      <c r="J524" s="702"/>
      <c r="K524" s="702"/>
      <c r="L524" s="702"/>
      <c r="M524" s="702"/>
      <c r="N524" s="702"/>
      <c r="O524" s="702"/>
      <c r="P524" s="702"/>
      <c r="Q524" s="702"/>
      <c r="R524" s="702"/>
      <c r="S524" s="702"/>
      <c r="T524" s="702"/>
      <c r="U524" s="702"/>
      <c r="V524" s="702"/>
      <c r="W524" s="702"/>
      <c r="X524" s="702"/>
      <c r="Y524" s="702"/>
      <c r="Z524" s="702"/>
      <c r="AA524" s="702"/>
      <c r="AB524" s="702"/>
      <c r="AC524" s="702"/>
    </row>
    <row r="525" ht="15.75" customHeight="1">
      <c r="A525" s="702"/>
      <c r="B525" s="702"/>
      <c r="C525" s="702"/>
      <c r="D525" s="702"/>
      <c r="E525" s="702"/>
      <c r="F525" s="702"/>
      <c r="G525" s="702"/>
      <c r="H525" s="702"/>
      <c r="I525" s="702"/>
      <c r="J525" s="702"/>
      <c r="K525" s="702"/>
      <c r="L525" s="702"/>
      <c r="M525" s="702"/>
      <c r="N525" s="702"/>
      <c r="O525" s="702"/>
      <c r="P525" s="702"/>
      <c r="Q525" s="702"/>
      <c r="R525" s="702"/>
      <c r="S525" s="702"/>
      <c r="T525" s="702"/>
      <c r="U525" s="702"/>
      <c r="V525" s="702"/>
      <c r="W525" s="702"/>
      <c r="X525" s="702"/>
      <c r="Y525" s="702"/>
      <c r="Z525" s="702"/>
      <c r="AA525" s="702"/>
      <c r="AB525" s="702"/>
      <c r="AC525" s="702"/>
    </row>
    <row r="526" ht="15.75" customHeight="1">
      <c r="A526" s="702"/>
      <c r="B526" s="702"/>
      <c r="C526" s="702"/>
      <c r="D526" s="702"/>
      <c r="E526" s="702"/>
      <c r="F526" s="702"/>
      <c r="G526" s="702"/>
      <c r="H526" s="702"/>
      <c r="I526" s="702"/>
      <c r="J526" s="702"/>
      <c r="K526" s="702"/>
      <c r="L526" s="702"/>
      <c r="M526" s="702"/>
      <c r="N526" s="702"/>
      <c r="O526" s="702"/>
      <c r="P526" s="702"/>
      <c r="Q526" s="702"/>
      <c r="R526" s="702"/>
      <c r="S526" s="702"/>
      <c r="T526" s="702"/>
      <c r="U526" s="702"/>
      <c r="V526" s="702"/>
      <c r="W526" s="702"/>
      <c r="X526" s="702"/>
      <c r="Y526" s="702"/>
      <c r="Z526" s="702"/>
      <c r="AA526" s="702"/>
      <c r="AB526" s="702"/>
      <c r="AC526" s="702"/>
    </row>
    <row r="527" ht="15.75" customHeight="1">
      <c r="A527" s="702"/>
      <c r="B527" s="702"/>
      <c r="C527" s="702"/>
      <c r="D527" s="702"/>
      <c r="E527" s="702"/>
      <c r="F527" s="702"/>
      <c r="G527" s="702"/>
      <c r="H527" s="702"/>
      <c r="I527" s="702"/>
      <c r="J527" s="702"/>
      <c r="K527" s="702"/>
      <c r="L527" s="702"/>
      <c r="M527" s="702"/>
      <c r="N527" s="702"/>
      <c r="O527" s="702"/>
      <c r="P527" s="702"/>
      <c r="Q527" s="702"/>
      <c r="R527" s="702"/>
      <c r="S527" s="702"/>
      <c r="T527" s="702"/>
      <c r="U527" s="702"/>
      <c r="V527" s="702"/>
      <c r="W527" s="702"/>
      <c r="X527" s="702"/>
      <c r="Y527" s="702"/>
      <c r="Z527" s="702"/>
      <c r="AA527" s="702"/>
      <c r="AB527" s="702"/>
      <c r="AC527" s="702"/>
    </row>
    <row r="528" ht="15.75" customHeight="1">
      <c r="A528" s="702"/>
      <c r="B528" s="702"/>
      <c r="C528" s="702"/>
      <c r="D528" s="702"/>
      <c r="E528" s="702"/>
      <c r="F528" s="702"/>
      <c r="G528" s="702"/>
      <c r="H528" s="702"/>
      <c r="I528" s="702"/>
      <c r="J528" s="702"/>
      <c r="K528" s="702"/>
      <c r="L528" s="702"/>
      <c r="M528" s="702"/>
      <c r="N528" s="702"/>
      <c r="O528" s="702"/>
      <c r="P528" s="702"/>
      <c r="Q528" s="702"/>
      <c r="R528" s="702"/>
      <c r="S528" s="702"/>
      <c r="T528" s="702"/>
      <c r="U528" s="702"/>
      <c r="V528" s="702"/>
      <c r="W528" s="702"/>
      <c r="X528" s="702"/>
      <c r="Y528" s="702"/>
      <c r="Z528" s="702"/>
      <c r="AA528" s="702"/>
      <c r="AB528" s="702"/>
      <c r="AC528" s="702"/>
    </row>
    <row r="529" ht="15.75" customHeight="1">
      <c r="A529" s="702"/>
      <c r="B529" s="702"/>
      <c r="C529" s="702"/>
      <c r="D529" s="702"/>
      <c r="E529" s="702"/>
      <c r="F529" s="702"/>
      <c r="G529" s="702"/>
      <c r="H529" s="702"/>
      <c r="I529" s="702"/>
      <c r="J529" s="702"/>
      <c r="K529" s="702"/>
      <c r="L529" s="702"/>
      <c r="M529" s="702"/>
      <c r="N529" s="702"/>
      <c r="O529" s="702"/>
      <c r="P529" s="702"/>
      <c r="Q529" s="702"/>
      <c r="R529" s="702"/>
      <c r="S529" s="702"/>
      <c r="T529" s="702"/>
      <c r="U529" s="702"/>
      <c r="V529" s="702"/>
      <c r="W529" s="702"/>
      <c r="X529" s="702"/>
      <c r="Y529" s="702"/>
      <c r="Z529" s="702"/>
      <c r="AA529" s="702"/>
      <c r="AB529" s="702"/>
      <c r="AC529" s="702"/>
    </row>
    <row r="530" ht="15.75" customHeight="1">
      <c r="A530" s="702"/>
      <c r="B530" s="702"/>
      <c r="C530" s="702"/>
      <c r="D530" s="702"/>
      <c r="E530" s="702"/>
      <c r="F530" s="702"/>
      <c r="G530" s="702"/>
      <c r="H530" s="702"/>
      <c r="I530" s="702"/>
      <c r="J530" s="702"/>
      <c r="K530" s="702"/>
      <c r="L530" s="702"/>
      <c r="M530" s="702"/>
      <c r="N530" s="702"/>
      <c r="O530" s="702"/>
      <c r="P530" s="702"/>
      <c r="Q530" s="702"/>
      <c r="R530" s="702"/>
      <c r="S530" s="702"/>
      <c r="T530" s="702"/>
      <c r="U530" s="702"/>
      <c r="V530" s="702"/>
      <c r="W530" s="702"/>
      <c r="X530" s="702"/>
      <c r="Y530" s="702"/>
      <c r="Z530" s="702"/>
      <c r="AA530" s="702"/>
      <c r="AB530" s="702"/>
      <c r="AC530" s="702"/>
    </row>
    <row r="531" ht="15.75" customHeight="1">
      <c r="A531" s="702"/>
      <c r="B531" s="702"/>
      <c r="C531" s="702"/>
      <c r="D531" s="702"/>
      <c r="E531" s="702"/>
      <c r="F531" s="702"/>
      <c r="G531" s="702"/>
      <c r="H531" s="702"/>
      <c r="I531" s="702"/>
      <c r="J531" s="702"/>
      <c r="K531" s="702"/>
      <c r="L531" s="702"/>
      <c r="M531" s="702"/>
      <c r="N531" s="702"/>
      <c r="O531" s="702"/>
      <c r="P531" s="702"/>
      <c r="Q531" s="702"/>
      <c r="R531" s="702"/>
      <c r="S531" s="702"/>
      <c r="T531" s="702"/>
      <c r="U531" s="702"/>
      <c r="V531" s="702"/>
      <c r="W531" s="702"/>
      <c r="X531" s="702"/>
      <c r="Y531" s="702"/>
      <c r="Z531" s="702"/>
      <c r="AA531" s="702"/>
      <c r="AB531" s="702"/>
      <c r="AC531" s="702"/>
    </row>
    <row r="532" ht="15.75" customHeight="1">
      <c r="A532" s="702"/>
      <c r="B532" s="702"/>
      <c r="C532" s="702"/>
      <c r="D532" s="702"/>
      <c r="E532" s="702"/>
      <c r="F532" s="702"/>
      <c r="G532" s="702"/>
      <c r="H532" s="702"/>
      <c r="I532" s="702"/>
      <c r="J532" s="702"/>
      <c r="K532" s="702"/>
      <c r="L532" s="702"/>
      <c r="M532" s="702"/>
      <c r="N532" s="702"/>
      <c r="O532" s="702"/>
      <c r="P532" s="702"/>
      <c r="Q532" s="702"/>
      <c r="R532" s="702"/>
      <c r="S532" s="702"/>
      <c r="T532" s="702"/>
      <c r="U532" s="702"/>
      <c r="V532" s="702"/>
      <c r="W532" s="702"/>
      <c r="X532" s="702"/>
      <c r="Y532" s="702"/>
      <c r="Z532" s="702"/>
      <c r="AA532" s="702"/>
      <c r="AB532" s="702"/>
      <c r="AC532" s="702"/>
    </row>
    <row r="533" ht="15.75" customHeight="1">
      <c r="A533" s="702"/>
      <c r="B533" s="702"/>
      <c r="C533" s="702"/>
      <c r="D533" s="702"/>
      <c r="E533" s="702"/>
      <c r="F533" s="702"/>
      <c r="G533" s="702"/>
      <c r="H533" s="702"/>
      <c r="I533" s="702"/>
      <c r="J533" s="702"/>
      <c r="K533" s="702"/>
      <c r="L533" s="702"/>
      <c r="M533" s="702"/>
      <c r="N533" s="702"/>
      <c r="O533" s="702"/>
      <c r="P533" s="702"/>
      <c r="Q533" s="702"/>
      <c r="R533" s="702"/>
      <c r="S533" s="702"/>
      <c r="T533" s="702"/>
      <c r="U533" s="702"/>
      <c r="V533" s="702"/>
      <c r="W533" s="702"/>
      <c r="X533" s="702"/>
      <c r="Y533" s="702"/>
      <c r="Z533" s="702"/>
      <c r="AA533" s="702"/>
      <c r="AB533" s="702"/>
      <c r="AC533" s="702"/>
    </row>
    <row r="534" ht="15.75" customHeight="1">
      <c r="A534" s="702"/>
      <c r="B534" s="702"/>
      <c r="C534" s="702"/>
      <c r="D534" s="702"/>
      <c r="E534" s="702"/>
      <c r="F534" s="702"/>
      <c r="G534" s="702"/>
      <c r="H534" s="702"/>
      <c r="I534" s="702"/>
      <c r="J534" s="702"/>
      <c r="K534" s="702"/>
      <c r="L534" s="702"/>
      <c r="M534" s="702"/>
      <c r="N534" s="702"/>
      <c r="O534" s="702"/>
      <c r="P534" s="702"/>
      <c r="Q534" s="702"/>
      <c r="R534" s="702"/>
      <c r="S534" s="702"/>
      <c r="T534" s="702"/>
      <c r="U534" s="702"/>
      <c r="V534" s="702"/>
      <c r="W534" s="702"/>
      <c r="X534" s="702"/>
      <c r="Y534" s="702"/>
      <c r="Z534" s="702"/>
      <c r="AA534" s="702"/>
      <c r="AB534" s="702"/>
      <c r="AC534" s="702"/>
    </row>
    <row r="535" ht="15.75" customHeight="1">
      <c r="A535" s="702"/>
      <c r="B535" s="702"/>
      <c r="C535" s="702"/>
      <c r="D535" s="702"/>
      <c r="E535" s="702"/>
      <c r="F535" s="702"/>
      <c r="G535" s="702"/>
      <c r="H535" s="702"/>
      <c r="I535" s="702"/>
      <c r="J535" s="702"/>
      <c r="K535" s="702"/>
      <c r="L535" s="702"/>
      <c r="M535" s="702"/>
      <c r="N535" s="702"/>
      <c r="O535" s="702"/>
      <c r="P535" s="702"/>
      <c r="Q535" s="702"/>
      <c r="R535" s="702"/>
      <c r="S535" s="702"/>
      <c r="T535" s="702"/>
      <c r="U535" s="702"/>
      <c r="V535" s="702"/>
      <c r="W535" s="702"/>
      <c r="X535" s="702"/>
      <c r="Y535" s="702"/>
      <c r="Z535" s="702"/>
      <c r="AA535" s="702"/>
      <c r="AB535" s="702"/>
      <c r="AC535" s="702"/>
    </row>
    <row r="536" ht="15.75" customHeight="1">
      <c r="A536" s="702"/>
      <c r="B536" s="702"/>
      <c r="C536" s="702"/>
      <c r="D536" s="702"/>
      <c r="E536" s="702"/>
      <c r="F536" s="702"/>
      <c r="G536" s="702"/>
      <c r="H536" s="702"/>
      <c r="I536" s="702"/>
      <c r="J536" s="702"/>
      <c r="K536" s="702"/>
      <c r="L536" s="702"/>
      <c r="M536" s="702"/>
      <c r="N536" s="702"/>
      <c r="O536" s="702"/>
      <c r="P536" s="702"/>
      <c r="Q536" s="702"/>
      <c r="R536" s="702"/>
      <c r="S536" s="702"/>
      <c r="T536" s="702"/>
      <c r="U536" s="702"/>
      <c r="V536" s="702"/>
      <c r="W536" s="702"/>
      <c r="X536" s="702"/>
      <c r="Y536" s="702"/>
      <c r="Z536" s="702"/>
      <c r="AA536" s="702"/>
      <c r="AB536" s="702"/>
      <c r="AC536" s="702"/>
    </row>
    <row r="537" ht="15.75" customHeight="1">
      <c r="A537" s="702"/>
      <c r="B537" s="702"/>
      <c r="C537" s="702"/>
      <c r="D537" s="702"/>
      <c r="E537" s="702"/>
      <c r="F537" s="702"/>
      <c r="G537" s="702"/>
      <c r="H537" s="702"/>
      <c r="I537" s="702"/>
      <c r="J537" s="702"/>
      <c r="K537" s="702"/>
      <c r="L537" s="702"/>
      <c r="M537" s="702"/>
      <c r="N537" s="702"/>
      <c r="O537" s="702"/>
      <c r="P537" s="702"/>
      <c r="Q537" s="702"/>
      <c r="R537" s="702"/>
      <c r="S537" s="702"/>
      <c r="T537" s="702"/>
      <c r="U537" s="702"/>
      <c r="V537" s="702"/>
      <c r="W537" s="702"/>
      <c r="X537" s="702"/>
      <c r="Y537" s="702"/>
      <c r="Z537" s="702"/>
      <c r="AA537" s="702"/>
      <c r="AB537" s="702"/>
      <c r="AC537" s="702"/>
    </row>
    <row r="538" ht="15.75" customHeight="1">
      <c r="A538" s="702"/>
      <c r="B538" s="702"/>
      <c r="C538" s="702"/>
      <c r="D538" s="702"/>
      <c r="E538" s="702"/>
      <c r="F538" s="702"/>
      <c r="G538" s="702"/>
      <c r="H538" s="702"/>
      <c r="I538" s="702"/>
      <c r="J538" s="702"/>
      <c r="K538" s="702"/>
      <c r="L538" s="702"/>
      <c r="M538" s="702"/>
      <c r="N538" s="702"/>
      <c r="O538" s="702"/>
      <c r="P538" s="702"/>
      <c r="Q538" s="702"/>
      <c r="R538" s="702"/>
      <c r="S538" s="702"/>
      <c r="T538" s="702"/>
      <c r="U538" s="702"/>
      <c r="V538" s="702"/>
      <c r="W538" s="702"/>
      <c r="X538" s="702"/>
      <c r="Y538" s="702"/>
      <c r="Z538" s="702"/>
      <c r="AA538" s="702"/>
      <c r="AB538" s="702"/>
      <c r="AC538" s="702"/>
    </row>
    <row r="539" ht="15.75" customHeight="1">
      <c r="A539" s="702"/>
      <c r="B539" s="702"/>
      <c r="C539" s="702"/>
      <c r="D539" s="702"/>
      <c r="E539" s="702"/>
      <c r="F539" s="702"/>
      <c r="G539" s="702"/>
      <c r="H539" s="702"/>
      <c r="I539" s="702"/>
      <c r="J539" s="702"/>
      <c r="K539" s="702"/>
      <c r="L539" s="702"/>
      <c r="M539" s="702"/>
      <c r="N539" s="702"/>
      <c r="O539" s="702"/>
      <c r="P539" s="702"/>
      <c r="Q539" s="702"/>
      <c r="R539" s="702"/>
      <c r="S539" s="702"/>
      <c r="T539" s="702"/>
      <c r="U539" s="702"/>
      <c r="V539" s="702"/>
      <c r="W539" s="702"/>
      <c r="X539" s="702"/>
      <c r="Y539" s="702"/>
      <c r="Z539" s="702"/>
      <c r="AA539" s="702"/>
      <c r="AB539" s="702"/>
      <c r="AC539" s="702"/>
    </row>
    <row r="540" ht="15.75" customHeight="1">
      <c r="A540" s="702"/>
      <c r="B540" s="702"/>
      <c r="C540" s="702"/>
      <c r="D540" s="702"/>
      <c r="E540" s="702"/>
      <c r="F540" s="702"/>
      <c r="G540" s="702"/>
      <c r="H540" s="702"/>
      <c r="I540" s="702"/>
      <c r="J540" s="702"/>
      <c r="K540" s="702"/>
      <c r="L540" s="702"/>
      <c r="M540" s="702"/>
      <c r="N540" s="702"/>
      <c r="O540" s="702"/>
      <c r="P540" s="702"/>
      <c r="Q540" s="702"/>
      <c r="R540" s="702"/>
      <c r="S540" s="702"/>
      <c r="T540" s="702"/>
      <c r="U540" s="702"/>
      <c r="V540" s="702"/>
      <c r="W540" s="702"/>
      <c r="X540" s="702"/>
      <c r="Y540" s="702"/>
      <c r="Z540" s="702"/>
      <c r="AA540" s="702"/>
      <c r="AB540" s="702"/>
      <c r="AC540" s="702"/>
    </row>
    <row r="541" ht="15.75" customHeight="1">
      <c r="A541" s="702"/>
      <c r="B541" s="702"/>
      <c r="C541" s="702"/>
      <c r="D541" s="702"/>
      <c r="E541" s="702"/>
      <c r="F541" s="702"/>
      <c r="G541" s="702"/>
      <c r="H541" s="702"/>
      <c r="I541" s="702"/>
      <c r="J541" s="702"/>
      <c r="K541" s="702"/>
      <c r="L541" s="702"/>
      <c r="M541" s="702"/>
      <c r="N541" s="702"/>
      <c r="O541" s="702"/>
      <c r="P541" s="702"/>
      <c r="Q541" s="702"/>
      <c r="R541" s="702"/>
      <c r="S541" s="702"/>
      <c r="T541" s="702"/>
      <c r="U541" s="702"/>
      <c r="V541" s="702"/>
      <c r="W541" s="702"/>
      <c r="X541" s="702"/>
      <c r="Y541" s="702"/>
      <c r="Z541" s="702"/>
      <c r="AA541" s="702"/>
      <c r="AB541" s="702"/>
      <c r="AC541" s="702"/>
    </row>
    <row r="542" ht="15.75" customHeight="1">
      <c r="A542" s="702"/>
      <c r="B542" s="702"/>
      <c r="C542" s="702"/>
      <c r="D542" s="702"/>
      <c r="E542" s="702"/>
      <c r="F542" s="702"/>
      <c r="G542" s="702"/>
      <c r="H542" s="702"/>
      <c r="I542" s="702"/>
      <c r="J542" s="702"/>
      <c r="K542" s="702"/>
      <c r="L542" s="702"/>
      <c r="M542" s="702"/>
      <c r="N542" s="702"/>
      <c r="O542" s="702"/>
      <c r="P542" s="702"/>
      <c r="Q542" s="702"/>
      <c r="R542" s="702"/>
      <c r="S542" s="702"/>
      <c r="T542" s="702"/>
      <c r="U542" s="702"/>
      <c r="V542" s="702"/>
      <c r="W542" s="702"/>
      <c r="X542" s="702"/>
      <c r="Y542" s="702"/>
      <c r="Z542" s="702"/>
      <c r="AA542" s="702"/>
      <c r="AB542" s="702"/>
      <c r="AC542" s="702"/>
    </row>
    <row r="543" ht="15.75" customHeight="1">
      <c r="A543" s="702"/>
      <c r="B543" s="702"/>
      <c r="C543" s="702"/>
      <c r="D543" s="702"/>
      <c r="E543" s="702"/>
      <c r="F543" s="702"/>
      <c r="G543" s="702"/>
      <c r="H543" s="702"/>
      <c r="I543" s="702"/>
      <c r="J543" s="702"/>
      <c r="K543" s="702"/>
      <c r="L543" s="702"/>
      <c r="M543" s="702"/>
      <c r="N543" s="702"/>
      <c r="O543" s="702"/>
      <c r="P543" s="702"/>
      <c r="Q543" s="702"/>
      <c r="R543" s="702"/>
      <c r="S543" s="702"/>
      <c r="T543" s="702"/>
      <c r="U543" s="702"/>
      <c r="V543" s="702"/>
      <c r="W543" s="702"/>
      <c r="X543" s="702"/>
      <c r="Y543" s="702"/>
      <c r="Z543" s="702"/>
      <c r="AA543" s="702"/>
      <c r="AB543" s="702"/>
      <c r="AC543" s="702"/>
    </row>
    <row r="544" ht="15.75" customHeight="1">
      <c r="A544" s="702"/>
      <c r="B544" s="702"/>
      <c r="C544" s="702"/>
      <c r="D544" s="702"/>
      <c r="E544" s="702"/>
      <c r="F544" s="702"/>
      <c r="G544" s="702"/>
      <c r="H544" s="702"/>
      <c r="I544" s="702"/>
      <c r="J544" s="702"/>
      <c r="K544" s="702"/>
      <c r="L544" s="702"/>
      <c r="M544" s="702"/>
      <c r="N544" s="702"/>
      <c r="O544" s="702"/>
      <c r="P544" s="702"/>
      <c r="Q544" s="702"/>
      <c r="R544" s="702"/>
      <c r="S544" s="702"/>
      <c r="T544" s="702"/>
      <c r="U544" s="702"/>
      <c r="V544" s="702"/>
      <c r="W544" s="702"/>
      <c r="X544" s="702"/>
      <c r="Y544" s="702"/>
      <c r="Z544" s="702"/>
      <c r="AA544" s="702"/>
      <c r="AB544" s="702"/>
      <c r="AC544" s="702"/>
    </row>
    <row r="545" ht="15.75" customHeight="1">
      <c r="A545" s="702"/>
      <c r="B545" s="702"/>
      <c r="C545" s="702"/>
      <c r="D545" s="702"/>
      <c r="E545" s="702"/>
      <c r="F545" s="702"/>
      <c r="G545" s="702"/>
      <c r="H545" s="702"/>
      <c r="I545" s="702"/>
      <c r="J545" s="702"/>
      <c r="K545" s="702"/>
      <c r="L545" s="702"/>
      <c r="M545" s="702"/>
      <c r="N545" s="702"/>
      <c r="O545" s="702"/>
      <c r="P545" s="702"/>
      <c r="Q545" s="702"/>
      <c r="R545" s="702"/>
      <c r="S545" s="702"/>
      <c r="T545" s="702"/>
      <c r="U545" s="702"/>
      <c r="V545" s="702"/>
      <c r="W545" s="702"/>
      <c r="X545" s="702"/>
      <c r="Y545" s="702"/>
      <c r="Z545" s="702"/>
      <c r="AA545" s="702"/>
      <c r="AB545" s="702"/>
      <c r="AC545" s="702"/>
    </row>
    <row r="546" ht="15.75" customHeight="1">
      <c r="A546" s="702"/>
      <c r="B546" s="702"/>
      <c r="C546" s="702"/>
      <c r="D546" s="702"/>
      <c r="E546" s="702"/>
      <c r="F546" s="702"/>
      <c r="G546" s="702"/>
      <c r="H546" s="702"/>
      <c r="I546" s="702"/>
      <c r="J546" s="702"/>
      <c r="K546" s="702"/>
      <c r="L546" s="702"/>
      <c r="M546" s="702"/>
      <c r="N546" s="702"/>
      <c r="O546" s="702"/>
      <c r="P546" s="702"/>
      <c r="Q546" s="702"/>
      <c r="R546" s="702"/>
      <c r="S546" s="702"/>
      <c r="T546" s="702"/>
      <c r="U546" s="702"/>
      <c r="V546" s="702"/>
      <c r="W546" s="702"/>
      <c r="X546" s="702"/>
      <c r="Y546" s="702"/>
      <c r="Z546" s="702"/>
      <c r="AA546" s="702"/>
      <c r="AB546" s="702"/>
      <c r="AC546" s="702"/>
    </row>
    <row r="547" ht="15.75" customHeight="1">
      <c r="A547" s="702"/>
      <c r="B547" s="702"/>
      <c r="C547" s="702"/>
      <c r="D547" s="702"/>
      <c r="E547" s="702"/>
      <c r="F547" s="702"/>
      <c r="G547" s="702"/>
      <c r="H547" s="702"/>
      <c r="I547" s="702"/>
      <c r="J547" s="702"/>
      <c r="K547" s="702"/>
      <c r="L547" s="702"/>
      <c r="M547" s="702"/>
      <c r="N547" s="702"/>
      <c r="O547" s="702"/>
      <c r="P547" s="702"/>
      <c r="Q547" s="702"/>
      <c r="R547" s="702"/>
      <c r="S547" s="702"/>
      <c r="T547" s="702"/>
      <c r="U547" s="702"/>
      <c r="V547" s="702"/>
      <c r="W547" s="702"/>
      <c r="X547" s="702"/>
      <c r="Y547" s="702"/>
      <c r="Z547" s="702"/>
      <c r="AA547" s="702"/>
      <c r="AB547" s="702"/>
      <c r="AC547" s="702"/>
    </row>
    <row r="548" ht="15.75" customHeight="1">
      <c r="A548" s="702"/>
      <c r="B548" s="702"/>
      <c r="C548" s="702"/>
      <c r="D548" s="702"/>
      <c r="E548" s="702"/>
      <c r="F548" s="702"/>
      <c r="G548" s="702"/>
      <c r="H548" s="702"/>
      <c r="I548" s="702"/>
      <c r="J548" s="702"/>
      <c r="K548" s="702"/>
      <c r="L548" s="702"/>
      <c r="M548" s="702"/>
      <c r="N548" s="702"/>
      <c r="O548" s="702"/>
      <c r="P548" s="702"/>
      <c r="Q548" s="702"/>
      <c r="R548" s="702"/>
      <c r="S548" s="702"/>
      <c r="T548" s="702"/>
      <c r="U548" s="702"/>
      <c r="V548" s="702"/>
      <c r="W548" s="702"/>
      <c r="X548" s="702"/>
      <c r="Y548" s="702"/>
      <c r="Z548" s="702"/>
      <c r="AA548" s="702"/>
      <c r="AB548" s="702"/>
      <c r="AC548" s="702"/>
    </row>
    <row r="549" ht="15.75" customHeight="1">
      <c r="A549" s="702"/>
      <c r="B549" s="702"/>
      <c r="C549" s="702"/>
      <c r="D549" s="702"/>
      <c r="E549" s="702"/>
      <c r="F549" s="702"/>
      <c r="G549" s="702"/>
      <c r="H549" s="702"/>
      <c r="I549" s="702"/>
      <c r="J549" s="702"/>
      <c r="K549" s="702"/>
      <c r="L549" s="702"/>
      <c r="M549" s="702"/>
      <c r="N549" s="702"/>
      <c r="O549" s="702"/>
      <c r="P549" s="702"/>
      <c r="Q549" s="702"/>
      <c r="R549" s="702"/>
      <c r="S549" s="702"/>
      <c r="T549" s="702"/>
      <c r="U549" s="702"/>
      <c r="V549" s="702"/>
      <c r="W549" s="702"/>
      <c r="X549" s="702"/>
      <c r="Y549" s="702"/>
      <c r="Z549" s="702"/>
      <c r="AA549" s="702"/>
      <c r="AB549" s="702"/>
      <c r="AC549" s="702"/>
    </row>
    <row r="550" ht="15.75" customHeight="1">
      <c r="A550" s="702"/>
      <c r="B550" s="702"/>
      <c r="C550" s="702"/>
      <c r="D550" s="702"/>
      <c r="E550" s="702"/>
      <c r="F550" s="702"/>
      <c r="G550" s="702"/>
      <c r="H550" s="702"/>
      <c r="I550" s="702"/>
      <c r="J550" s="702"/>
      <c r="K550" s="702"/>
      <c r="L550" s="702"/>
      <c r="M550" s="702"/>
      <c r="N550" s="702"/>
      <c r="O550" s="702"/>
      <c r="P550" s="702"/>
      <c r="Q550" s="702"/>
      <c r="R550" s="702"/>
      <c r="S550" s="702"/>
      <c r="T550" s="702"/>
      <c r="U550" s="702"/>
      <c r="V550" s="702"/>
      <c r="W550" s="702"/>
      <c r="X550" s="702"/>
      <c r="Y550" s="702"/>
      <c r="Z550" s="702"/>
      <c r="AA550" s="702"/>
      <c r="AB550" s="702"/>
      <c r="AC550" s="702"/>
    </row>
    <row r="551" ht="15.75" customHeight="1">
      <c r="A551" s="702"/>
      <c r="B551" s="702"/>
      <c r="C551" s="702"/>
      <c r="D551" s="702"/>
      <c r="E551" s="702"/>
      <c r="F551" s="702"/>
      <c r="G551" s="702"/>
      <c r="H551" s="702"/>
      <c r="I551" s="702"/>
      <c r="J551" s="702"/>
      <c r="K551" s="702"/>
      <c r="L551" s="702"/>
      <c r="M551" s="702"/>
      <c r="N551" s="702"/>
      <c r="O551" s="702"/>
      <c r="P551" s="702"/>
      <c r="Q551" s="702"/>
      <c r="R551" s="702"/>
      <c r="S551" s="702"/>
      <c r="T551" s="702"/>
      <c r="U551" s="702"/>
      <c r="V551" s="702"/>
      <c r="W551" s="702"/>
      <c r="X551" s="702"/>
      <c r="Y551" s="702"/>
      <c r="Z551" s="702"/>
      <c r="AA551" s="702"/>
      <c r="AB551" s="702"/>
      <c r="AC551" s="702"/>
    </row>
    <row r="552" ht="15.75" customHeight="1">
      <c r="A552" s="702"/>
      <c r="B552" s="702"/>
      <c r="C552" s="702"/>
      <c r="D552" s="702"/>
      <c r="E552" s="702"/>
      <c r="F552" s="702"/>
      <c r="G552" s="702"/>
      <c r="H552" s="702"/>
      <c r="I552" s="702"/>
      <c r="J552" s="702"/>
      <c r="K552" s="702"/>
      <c r="L552" s="702"/>
      <c r="M552" s="702"/>
      <c r="N552" s="702"/>
      <c r="O552" s="702"/>
      <c r="P552" s="702"/>
      <c r="Q552" s="702"/>
      <c r="R552" s="702"/>
      <c r="S552" s="702"/>
      <c r="T552" s="702"/>
      <c r="U552" s="702"/>
      <c r="V552" s="702"/>
      <c r="W552" s="702"/>
      <c r="X552" s="702"/>
      <c r="Y552" s="702"/>
      <c r="Z552" s="702"/>
      <c r="AA552" s="702"/>
      <c r="AB552" s="702"/>
      <c r="AC552" s="702"/>
    </row>
    <row r="553" ht="15.75" customHeight="1">
      <c r="A553" s="702"/>
      <c r="B553" s="702"/>
      <c r="C553" s="702"/>
      <c r="D553" s="702"/>
      <c r="E553" s="702"/>
      <c r="F553" s="702"/>
      <c r="G553" s="702"/>
      <c r="H553" s="702"/>
      <c r="I553" s="702"/>
      <c r="J553" s="702"/>
      <c r="K553" s="702"/>
      <c r="L553" s="702"/>
      <c r="M553" s="702"/>
      <c r="N553" s="702"/>
      <c r="O553" s="702"/>
      <c r="P553" s="702"/>
      <c r="Q553" s="702"/>
      <c r="R553" s="702"/>
      <c r="S553" s="702"/>
      <c r="T553" s="702"/>
      <c r="U553" s="702"/>
      <c r="V553" s="702"/>
      <c r="W553" s="702"/>
      <c r="X553" s="702"/>
      <c r="Y553" s="702"/>
      <c r="Z553" s="702"/>
      <c r="AA553" s="702"/>
      <c r="AB553" s="702"/>
      <c r="AC553" s="702"/>
    </row>
    <row r="554" ht="15.75" customHeight="1">
      <c r="A554" s="702"/>
      <c r="B554" s="702"/>
      <c r="C554" s="702"/>
      <c r="D554" s="702"/>
      <c r="E554" s="702"/>
      <c r="F554" s="702"/>
      <c r="G554" s="702"/>
      <c r="H554" s="702"/>
      <c r="I554" s="702"/>
      <c r="J554" s="702"/>
      <c r="K554" s="702"/>
      <c r="L554" s="702"/>
      <c r="M554" s="702"/>
      <c r="N554" s="702"/>
      <c r="O554" s="702"/>
      <c r="P554" s="702"/>
      <c r="Q554" s="702"/>
      <c r="R554" s="702"/>
      <c r="S554" s="702"/>
      <c r="T554" s="702"/>
      <c r="U554" s="702"/>
      <c r="V554" s="702"/>
      <c r="W554" s="702"/>
      <c r="X554" s="702"/>
      <c r="Y554" s="702"/>
      <c r="Z554" s="702"/>
      <c r="AA554" s="702"/>
      <c r="AB554" s="702"/>
      <c r="AC554" s="702"/>
    </row>
    <row r="555" ht="15.75" customHeight="1">
      <c r="A555" s="702"/>
      <c r="B555" s="702"/>
      <c r="C555" s="702"/>
      <c r="D555" s="702"/>
      <c r="E555" s="702"/>
      <c r="F555" s="702"/>
      <c r="G555" s="702"/>
      <c r="H555" s="702"/>
      <c r="I555" s="702"/>
      <c r="J555" s="702"/>
      <c r="K555" s="702"/>
      <c r="L555" s="702"/>
      <c r="M555" s="702"/>
      <c r="N555" s="702"/>
      <c r="O555" s="702"/>
      <c r="P555" s="702"/>
      <c r="Q555" s="702"/>
      <c r="R555" s="702"/>
      <c r="S555" s="702"/>
      <c r="T555" s="702"/>
      <c r="U555" s="702"/>
      <c r="V555" s="702"/>
      <c r="W555" s="702"/>
      <c r="X555" s="702"/>
      <c r="Y555" s="702"/>
      <c r="Z555" s="702"/>
      <c r="AA555" s="702"/>
      <c r="AB555" s="702"/>
      <c r="AC555" s="702"/>
    </row>
    <row r="556" ht="15.75" customHeight="1">
      <c r="A556" s="702"/>
      <c r="B556" s="702"/>
      <c r="C556" s="702"/>
      <c r="D556" s="702"/>
      <c r="E556" s="702"/>
      <c r="F556" s="702"/>
      <c r="G556" s="702"/>
      <c r="H556" s="702"/>
      <c r="I556" s="702"/>
      <c r="J556" s="702"/>
      <c r="K556" s="702"/>
      <c r="L556" s="702"/>
      <c r="M556" s="702"/>
      <c r="N556" s="702"/>
      <c r="O556" s="702"/>
      <c r="P556" s="702"/>
      <c r="Q556" s="702"/>
      <c r="R556" s="702"/>
      <c r="S556" s="702"/>
      <c r="T556" s="702"/>
      <c r="U556" s="702"/>
      <c r="V556" s="702"/>
      <c r="W556" s="702"/>
      <c r="X556" s="702"/>
      <c r="Y556" s="702"/>
      <c r="Z556" s="702"/>
      <c r="AA556" s="702"/>
      <c r="AB556" s="702"/>
      <c r="AC556" s="702"/>
    </row>
    <row r="557" ht="15.75" customHeight="1">
      <c r="A557" s="702"/>
      <c r="B557" s="702"/>
      <c r="C557" s="702"/>
      <c r="D557" s="702"/>
      <c r="E557" s="702"/>
      <c r="F557" s="702"/>
      <c r="G557" s="702"/>
      <c r="H557" s="702"/>
      <c r="I557" s="702"/>
      <c r="J557" s="702"/>
      <c r="K557" s="702"/>
      <c r="L557" s="702"/>
      <c r="M557" s="702"/>
      <c r="N557" s="702"/>
      <c r="O557" s="702"/>
      <c r="P557" s="702"/>
      <c r="Q557" s="702"/>
      <c r="R557" s="702"/>
      <c r="S557" s="702"/>
      <c r="T557" s="702"/>
      <c r="U557" s="702"/>
      <c r="V557" s="702"/>
      <c r="W557" s="702"/>
      <c r="X557" s="702"/>
      <c r="Y557" s="702"/>
      <c r="Z557" s="702"/>
      <c r="AA557" s="702"/>
      <c r="AB557" s="702"/>
      <c r="AC557" s="702"/>
    </row>
    <row r="558" ht="15.75" customHeight="1">
      <c r="A558" s="702"/>
      <c r="B558" s="702"/>
      <c r="C558" s="702"/>
      <c r="D558" s="702"/>
      <c r="E558" s="702"/>
      <c r="F558" s="702"/>
      <c r="G558" s="702"/>
      <c r="H558" s="702"/>
      <c r="I558" s="702"/>
      <c r="J558" s="702"/>
      <c r="K558" s="702"/>
      <c r="L558" s="702"/>
      <c r="M558" s="702"/>
      <c r="N558" s="702"/>
      <c r="O558" s="702"/>
      <c r="P558" s="702"/>
      <c r="Q558" s="702"/>
      <c r="R558" s="702"/>
      <c r="S558" s="702"/>
      <c r="T558" s="702"/>
      <c r="U558" s="702"/>
      <c r="V558" s="702"/>
      <c r="W558" s="702"/>
      <c r="X558" s="702"/>
      <c r="Y558" s="702"/>
      <c r="Z558" s="702"/>
      <c r="AA558" s="702"/>
      <c r="AB558" s="702"/>
      <c r="AC558" s="702"/>
    </row>
    <row r="559" ht="15.75" customHeight="1">
      <c r="A559" s="702"/>
      <c r="B559" s="702"/>
      <c r="C559" s="702"/>
      <c r="D559" s="702"/>
      <c r="E559" s="702"/>
      <c r="F559" s="702"/>
      <c r="G559" s="702"/>
      <c r="H559" s="702"/>
      <c r="I559" s="702"/>
      <c r="J559" s="702"/>
      <c r="K559" s="702"/>
      <c r="L559" s="702"/>
      <c r="M559" s="702"/>
      <c r="N559" s="702"/>
      <c r="O559" s="702"/>
      <c r="P559" s="702"/>
      <c r="Q559" s="702"/>
      <c r="R559" s="702"/>
      <c r="S559" s="702"/>
      <c r="T559" s="702"/>
      <c r="U559" s="702"/>
      <c r="V559" s="702"/>
      <c r="W559" s="702"/>
      <c r="X559" s="702"/>
      <c r="Y559" s="702"/>
      <c r="Z559" s="702"/>
      <c r="AA559" s="702"/>
      <c r="AB559" s="702"/>
      <c r="AC559" s="702"/>
    </row>
    <row r="560" ht="15.75" customHeight="1">
      <c r="A560" s="702"/>
      <c r="B560" s="702"/>
      <c r="C560" s="702"/>
      <c r="D560" s="702"/>
      <c r="E560" s="702"/>
      <c r="F560" s="702"/>
      <c r="G560" s="702"/>
      <c r="H560" s="702"/>
      <c r="I560" s="702"/>
      <c r="J560" s="702"/>
      <c r="K560" s="702"/>
      <c r="L560" s="702"/>
      <c r="M560" s="702"/>
      <c r="N560" s="702"/>
      <c r="O560" s="702"/>
      <c r="P560" s="702"/>
      <c r="Q560" s="702"/>
      <c r="R560" s="702"/>
      <c r="S560" s="702"/>
      <c r="T560" s="702"/>
      <c r="U560" s="702"/>
      <c r="V560" s="702"/>
      <c r="W560" s="702"/>
      <c r="X560" s="702"/>
      <c r="Y560" s="702"/>
      <c r="Z560" s="702"/>
      <c r="AA560" s="702"/>
      <c r="AB560" s="702"/>
      <c r="AC560" s="702"/>
    </row>
    <row r="561" ht="15.75" customHeight="1">
      <c r="A561" s="702"/>
      <c r="B561" s="702"/>
      <c r="C561" s="702"/>
      <c r="D561" s="702"/>
      <c r="E561" s="702"/>
      <c r="F561" s="702"/>
      <c r="G561" s="702"/>
      <c r="H561" s="702"/>
      <c r="I561" s="702"/>
      <c r="J561" s="702"/>
      <c r="K561" s="702"/>
      <c r="L561" s="702"/>
      <c r="M561" s="702"/>
      <c r="N561" s="702"/>
      <c r="O561" s="702"/>
      <c r="P561" s="702"/>
      <c r="Q561" s="702"/>
      <c r="R561" s="702"/>
      <c r="S561" s="702"/>
      <c r="T561" s="702"/>
      <c r="U561" s="702"/>
      <c r="V561" s="702"/>
      <c r="W561" s="702"/>
      <c r="X561" s="702"/>
      <c r="Y561" s="702"/>
      <c r="Z561" s="702"/>
      <c r="AA561" s="702"/>
      <c r="AB561" s="702"/>
      <c r="AC561" s="702"/>
    </row>
    <row r="562" ht="15.75" customHeight="1">
      <c r="A562" s="702"/>
      <c r="B562" s="702"/>
      <c r="C562" s="702"/>
      <c r="D562" s="702"/>
      <c r="E562" s="702"/>
      <c r="F562" s="702"/>
      <c r="G562" s="702"/>
      <c r="H562" s="702"/>
      <c r="I562" s="702"/>
      <c r="J562" s="702"/>
      <c r="K562" s="702"/>
      <c r="L562" s="702"/>
      <c r="M562" s="702"/>
      <c r="N562" s="702"/>
      <c r="O562" s="702"/>
      <c r="P562" s="702"/>
      <c r="Q562" s="702"/>
      <c r="R562" s="702"/>
      <c r="S562" s="702"/>
      <c r="T562" s="702"/>
      <c r="U562" s="702"/>
      <c r="V562" s="702"/>
      <c r="W562" s="702"/>
      <c r="X562" s="702"/>
      <c r="Y562" s="702"/>
      <c r="Z562" s="702"/>
      <c r="AA562" s="702"/>
      <c r="AB562" s="702"/>
      <c r="AC562" s="702"/>
    </row>
    <row r="563" ht="15.75" customHeight="1">
      <c r="A563" s="702"/>
      <c r="B563" s="702"/>
      <c r="C563" s="702"/>
      <c r="D563" s="702"/>
      <c r="E563" s="702"/>
      <c r="F563" s="702"/>
      <c r="G563" s="702"/>
      <c r="H563" s="702"/>
      <c r="I563" s="702"/>
      <c r="J563" s="702"/>
      <c r="K563" s="702"/>
      <c r="L563" s="702"/>
      <c r="M563" s="702"/>
      <c r="N563" s="702"/>
      <c r="O563" s="702"/>
      <c r="P563" s="702"/>
      <c r="Q563" s="702"/>
      <c r="R563" s="702"/>
      <c r="S563" s="702"/>
      <c r="T563" s="702"/>
      <c r="U563" s="702"/>
      <c r="V563" s="702"/>
      <c r="W563" s="702"/>
      <c r="X563" s="702"/>
      <c r="Y563" s="702"/>
      <c r="Z563" s="702"/>
      <c r="AA563" s="702"/>
      <c r="AB563" s="702"/>
      <c r="AC563" s="702"/>
    </row>
    <row r="564" ht="15.75" customHeight="1">
      <c r="A564" s="702"/>
      <c r="B564" s="702"/>
      <c r="C564" s="702"/>
      <c r="D564" s="702"/>
      <c r="E564" s="702"/>
      <c r="F564" s="702"/>
      <c r="G564" s="702"/>
      <c r="H564" s="702"/>
      <c r="I564" s="702"/>
      <c r="J564" s="702"/>
      <c r="K564" s="702"/>
      <c r="L564" s="702"/>
      <c r="M564" s="702"/>
      <c r="N564" s="702"/>
      <c r="O564" s="702"/>
      <c r="P564" s="702"/>
      <c r="Q564" s="702"/>
      <c r="R564" s="702"/>
      <c r="S564" s="702"/>
      <c r="T564" s="702"/>
      <c r="U564" s="702"/>
      <c r="V564" s="702"/>
      <c r="W564" s="702"/>
      <c r="X564" s="702"/>
      <c r="Y564" s="702"/>
      <c r="Z564" s="702"/>
      <c r="AA564" s="702"/>
      <c r="AB564" s="702"/>
      <c r="AC564" s="702"/>
    </row>
    <row r="565" ht="15.75" customHeight="1">
      <c r="A565" s="702"/>
      <c r="B565" s="702"/>
      <c r="C565" s="702"/>
      <c r="D565" s="702"/>
      <c r="E565" s="702"/>
      <c r="F565" s="702"/>
      <c r="G565" s="702"/>
      <c r="H565" s="702"/>
      <c r="I565" s="702"/>
      <c r="J565" s="702"/>
      <c r="K565" s="702"/>
      <c r="L565" s="702"/>
      <c r="M565" s="702"/>
      <c r="N565" s="702"/>
      <c r="O565" s="702"/>
      <c r="P565" s="702"/>
      <c r="Q565" s="702"/>
      <c r="R565" s="702"/>
      <c r="S565" s="702"/>
      <c r="T565" s="702"/>
      <c r="U565" s="702"/>
      <c r="V565" s="702"/>
      <c r="W565" s="702"/>
      <c r="X565" s="702"/>
      <c r="Y565" s="702"/>
      <c r="Z565" s="702"/>
      <c r="AA565" s="702"/>
      <c r="AB565" s="702"/>
      <c r="AC565" s="702"/>
    </row>
    <row r="566" ht="15.75" customHeight="1">
      <c r="A566" s="702"/>
      <c r="B566" s="702"/>
      <c r="C566" s="702"/>
      <c r="D566" s="702"/>
      <c r="E566" s="702"/>
      <c r="F566" s="702"/>
      <c r="G566" s="702"/>
      <c r="H566" s="702"/>
      <c r="I566" s="702"/>
      <c r="J566" s="702"/>
      <c r="K566" s="702"/>
      <c r="L566" s="702"/>
      <c r="M566" s="702"/>
      <c r="N566" s="702"/>
      <c r="O566" s="702"/>
      <c r="P566" s="702"/>
      <c r="Q566" s="702"/>
      <c r="R566" s="702"/>
      <c r="S566" s="702"/>
      <c r="T566" s="702"/>
      <c r="U566" s="702"/>
      <c r="V566" s="702"/>
      <c r="W566" s="702"/>
      <c r="X566" s="702"/>
      <c r="Y566" s="702"/>
      <c r="Z566" s="702"/>
      <c r="AA566" s="702"/>
      <c r="AB566" s="702"/>
      <c r="AC566" s="702"/>
    </row>
    <row r="567" ht="15.75" customHeight="1">
      <c r="A567" s="702"/>
      <c r="B567" s="702"/>
      <c r="C567" s="702"/>
      <c r="D567" s="702"/>
      <c r="E567" s="702"/>
      <c r="F567" s="702"/>
      <c r="G567" s="702"/>
      <c r="H567" s="702"/>
      <c r="I567" s="702"/>
      <c r="J567" s="702"/>
      <c r="K567" s="702"/>
      <c r="L567" s="702"/>
      <c r="M567" s="702"/>
      <c r="N567" s="702"/>
      <c r="O567" s="702"/>
      <c r="P567" s="702"/>
      <c r="Q567" s="702"/>
      <c r="R567" s="702"/>
      <c r="S567" s="702"/>
      <c r="T567" s="702"/>
      <c r="U567" s="702"/>
      <c r="V567" s="702"/>
      <c r="W567" s="702"/>
      <c r="X567" s="702"/>
      <c r="Y567" s="702"/>
      <c r="Z567" s="702"/>
      <c r="AA567" s="702"/>
      <c r="AB567" s="702"/>
      <c r="AC567" s="702"/>
    </row>
    <row r="568" ht="15.75" customHeight="1">
      <c r="A568" s="702"/>
      <c r="B568" s="702"/>
      <c r="C568" s="702"/>
      <c r="D568" s="702"/>
      <c r="E568" s="702"/>
      <c r="F568" s="702"/>
      <c r="G568" s="702"/>
      <c r="H568" s="702"/>
      <c r="I568" s="702"/>
      <c r="J568" s="702"/>
      <c r="K568" s="702"/>
      <c r="L568" s="702"/>
      <c r="M568" s="702"/>
      <c r="N568" s="702"/>
      <c r="O568" s="702"/>
      <c r="P568" s="702"/>
      <c r="Q568" s="702"/>
      <c r="R568" s="702"/>
      <c r="S568" s="702"/>
      <c r="T568" s="702"/>
      <c r="U568" s="702"/>
      <c r="V568" s="702"/>
      <c r="W568" s="702"/>
      <c r="X568" s="702"/>
      <c r="Y568" s="702"/>
      <c r="Z568" s="702"/>
      <c r="AA568" s="702"/>
      <c r="AB568" s="702"/>
      <c r="AC568" s="702"/>
    </row>
    <row r="569" ht="15.75" customHeight="1">
      <c r="A569" s="702"/>
      <c r="B569" s="702"/>
      <c r="C569" s="702"/>
      <c r="D569" s="702"/>
      <c r="E569" s="702"/>
      <c r="F569" s="702"/>
      <c r="G569" s="702"/>
      <c r="H569" s="702"/>
      <c r="I569" s="702"/>
      <c r="J569" s="702"/>
      <c r="K569" s="702"/>
      <c r="L569" s="702"/>
      <c r="M569" s="702"/>
      <c r="N569" s="702"/>
      <c r="O569" s="702"/>
      <c r="P569" s="702"/>
      <c r="Q569" s="702"/>
      <c r="R569" s="702"/>
      <c r="S569" s="702"/>
      <c r="T569" s="702"/>
      <c r="U569" s="702"/>
      <c r="V569" s="702"/>
      <c r="W569" s="702"/>
      <c r="X569" s="702"/>
      <c r="Y569" s="702"/>
      <c r="Z569" s="702"/>
      <c r="AA569" s="702"/>
      <c r="AB569" s="702"/>
      <c r="AC569" s="702"/>
    </row>
    <row r="570" ht="15.75" customHeight="1">
      <c r="A570" s="702"/>
      <c r="B570" s="702"/>
      <c r="C570" s="702"/>
      <c r="D570" s="702"/>
      <c r="E570" s="702"/>
      <c r="F570" s="702"/>
      <c r="G570" s="702"/>
      <c r="H570" s="702"/>
      <c r="I570" s="702"/>
      <c r="J570" s="702"/>
      <c r="K570" s="702"/>
      <c r="L570" s="702"/>
      <c r="M570" s="702"/>
      <c r="N570" s="702"/>
      <c r="O570" s="702"/>
      <c r="P570" s="702"/>
      <c r="Q570" s="702"/>
      <c r="R570" s="702"/>
      <c r="S570" s="702"/>
      <c r="T570" s="702"/>
      <c r="U570" s="702"/>
      <c r="V570" s="702"/>
      <c r="W570" s="702"/>
      <c r="X570" s="702"/>
      <c r="Y570" s="702"/>
      <c r="Z570" s="702"/>
      <c r="AA570" s="702"/>
      <c r="AB570" s="702"/>
      <c r="AC570" s="702"/>
    </row>
    <row r="571" ht="15.75" customHeight="1">
      <c r="A571" s="702"/>
      <c r="B571" s="702"/>
      <c r="C571" s="702"/>
      <c r="D571" s="702"/>
      <c r="E571" s="702"/>
      <c r="F571" s="702"/>
      <c r="G571" s="702"/>
      <c r="H571" s="702"/>
      <c r="I571" s="702"/>
      <c r="J571" s="702"/>
      <c r="K571" s="702"/>
      <c r="L571" s="702"/>
      <c r="M571" s="702"/>
      <c r="N571" s="702"/>
      <c r="O571" s="702"/>
      <c r="P571" s="702"/>
      <c r="Q571" s="702"/>
      <c r="R571" s="702"/>
      <c r="S571" s="702"/>
      <c r="T571" s="702"/>
      <c r="U571" s="702"/>
      <c r="V571" s="702"/>
      <c r="W571" s="702"/>
      <c r="X571" s="702"/>
      <c r="Y571" s="702"/>
      <c r="Z571" s="702"/>
      <c r="AA571" s="702"/>
      <c r="AB571" s="702"/>
      <c r="AC571" s="702"/>
    </row>
    <row r="572" ht="15.75" customHeight="1">
      <c r="A572" s="702"/>
      <c r="B572" s="702"/>
      <c r="C572" s="702"/>
      <c r="D572" s="702"/>
      <c r="E572" s="702"/>
      <c r="F572" s="702"/>
      <c r="G572" s="702"/>
      <c r="H572" s="702"/>
      <c r="I572" s="702"/>
      <c r="J572" s="702"/>
      <c r="K572" s="702"/>
      <c r="L572" s="702"/>
      <c r="M572" s="702"/>
      <c r="N572" s="702"/>
      <c r="O572" s="702"/>
      <c r="P572" s="702"/>
      <c r="Q572" s="702"/>
      <c r="R572" s="702"/>
      <c r="S572" s="702"/>
      <c r="T572" s="702"/>
      <c r="U572" s="702"/>
      <c r="V572" s="702"/>
      <c r="W572" s="702"/>
      <c r="X572" s="702"/>
      <c r="Y572" s="702"/>
      <c r="Z572" s="702"/>
      <c r="AA572" s="702"/>
      <c r="AB572" s="702"/>
      <c r="AC572" s="702"/>
    </row>
    <row r="573" ht="15.75" customHeight="1">
      <c r="A573" s="702"/>
      <c r="B573" s="702"/>
      <c r="C573" s="702"/>
      <c r="D573" s="702"/>
      <c r="E573" s="702"/>
      <c r="F573" s="702"/>
      <c r="G573" s="702"/>
      <c r="H573" s="702"/>
      <c r="I573" s="702"/>
      <c r="J573" s="702"/>
      <c r="K573" s="702"/>
      <c r="L573" s="702"/>
      <c r="M573" s="702"/>
      <c r="N573" s="702"/>
      <c r="O573" s="702"/>
      <c r="P573" s="702"/>
      <c r="Q573" s="702"/>
      <c r="R573" s="702"/>
      <c r="S573" s="702"/>
      <c r="T573" s="702"/>
      <c r="U573" s="702"/>
      <c r="V573" s="702"/>
      <c r="W573" s="702"/>
      <c r="X573" s="702"/>
      <c r="Y573" s="702"/>
      <c r="Z573" s="702"/>
      <c r="AA573" s="702"/>
      <c r="AB573" s="702"/>
      <c r="AC573" s="702"/>
    </row>
    <row r="574" ht="15.75" customHeight="1">
      <c r="A574" s="702"/>
      <c r="B574" s="702"/>
      <c r="C574" s="702"/>
      <c r="D574" s="702"/>
      <c r="E574" s="702"/>
      <c r="F574" s="702"/>
      <c r="G574" s="702"/>
      <c r="H574" s="702"/>
      <c r="I574" s="702"/>
      <c r="J574" s="702"/>
      <c r="K574" s="702"/>
      <c r="L574" s="702"/>
      <c r="M574" s="702"/>
      <c r="N574" s="702"/>
      <c r="O574" s="702"/>
      <c r="P574" s="702"/>
      <c r="Q574" s="702"/>
      <c r="R574" s="702"/>
      <c r="S574" s="702"/>
      <c r="T574" s="702"/>
      <c r="U574" s="702"/>
      <c r="V574" s="702"/>
      <c r="W574" s="702"/>
      <c r="X574" s="702"/>
      <c r="Y574" s="702"/>
      <c r="Z574" s="702"/>
      <c r="AA574" s="702"/>
      <c r="AB574" s="702"/>
      <c r="AC574" s="702"/>
    </row>
    <row r="575" ht="15.75" customHeight="1">
      <c r="A575" s="702"/>
      <c r="B575" s="702"/>
      <c r="C575" s="702"/>
      <c r="D575" s="702"/>
      <c r="E575" s="702"/>
      <c r="F575" s="702"/>
      <c r="G575" s="702"/>
      <c r="H575" s="702"/>
      <c r="I575" s="702"/>
      <c r="J575" s="702"/>
      <c r="K575" s="702"/>
      <c r="L575" s="702"/>
      <c r="M575" s="702"/>
      <c r="N575" s="702"/>
      <c r="O575" s="702"/>
      <c r="P575" s="702"/>
      <c r="Q575" s="702"/>
      <c r="R575" s="702"/>
      <c r="S575" s="702"/>
      <c r="T575" s="702"/>
      <c r="U575" s="702"/>
      <c r="V575" s="702"/>
      <c r="W575" s="702"/>
      <c r="X575" s="702"/>
      <c r="Y575" s="702"/>
      <c r="Z575" s="702"/>
      <c r="AA575" s="702"/>
      <c r="AB575" s="702"/>
      <c r="AC575" s="702"/>
    </row>
    <row r="576" ht="15.75" customHeight="1">
      <c r="A576" s="702"/>
      <c r="B576" s="702"/>
      <c r="C576" s="702"/>
      <c r="D576" s="702"/>
      <c r="E576" s="702"/>
      <c r="F576" s="702"/>
      <c r="G576" s="702"/>
      <c r="H576" s="702"/>
      <c r="I576" s="702"/>
      <c r="J576" s="702"/>
      <c r="K576" s="702"/>
      <c r="L576" s="702"/>
      <c r="M576" s="702"/>
      <c r="N576" s="702"/>
      <c r="O576" s="702"/>
      <c r="P576" s="702"/>
      <c r="Q576" s="702"/>
      <c r="R576" s="702"/>
      <c r="S576" s="702"/>
      <c r="T576" s="702"/>
      <c r="U576" s="702"/>
      <c r="V576" s="702"/>
      <c r="W576" s="702"/>
      <c r="X576" s="702"/>
      <c r="Y576" s="702"/>
      <c r="Z576" s="702"/>
      <c r="AA576" s="702"/>
      <c r="AB576" s="702"/>
      <c r="AC576" s="702"/>
    </row>
    <row r="577" ht="15.75" customHeight="1">
      <c r="A577" s="702"/>
      <c r="B577" s="702"/>
      <c r="C577" s="702"/>
      <c r="D577" s="702"/>
      <c r="E577" s="702"/>
      <c r="F577" s="702"/>
      <c r="G577" s="702"/>
      <c r="H577" s="702"/>
      <c r="I577" s="702"/>
      <c r="J577" s="702"/>
      <c r="K577" s="702"/>
      <c r="L577" s="702"/>
      <c r="M577" s="702"/>
      <c r="N577" s="702"/>
      <c r="O577" s="702"/>
      <c r="P577" s="702"/>
      <c r="Q577" s="702"/>
      <c r="R577" s="702"/>
      <c r="S577" s="702"/>
      <c r="T577" s="702"/>
      <c r="U577" s="702"/>
      <c r="V577" s="702"/>
      <c r="W577" s="702"/>
      <c r="X577" s="702"/>
      <c r="Y577" s="702"/>
      <c r="Z577" s="702"/>
      <c r="AA577" s="702"/>
      <c r="AB577" s="702"/>
      <c r="AC577" s="702"/>
    </row>
    <row r="578" ht="15.75" customHeight="1">
      <c r="A578" s="702"/>
      <c r="B578" s="702"/>
      <c r="C578" s="702"/>
      <c r="D578" s="702"/>
      <c r="E578" s="702"/>
      <c r="F578" s="702"/>
      <c r="G578" s="702"/>
      <c r="H578" s="702"/>
      <c r="I578" s="702"/>
      <c r="J578" s="702"/>
      <c r="K578" s="702"/>
      <c r="L578" s="702"/>
      <c r="M578" s="702"/>
      <c r="N578" s="702"/>
      <c r="O578" s="702"/>
      <c r="P578" s="702"/>
      <c r="Q578" s="702"/>
      <c r="R578" s="702"/>
      <c r="S578" s="702"/>
      <c r="T578" s="702"/>
      <c r="U578" s="702"/>
      <c r="V578" s="702"/>
      <c r="W578" s="702"/>
      <c r="X578" s="702"/>
      <c r="Y578" s="702"/>
      <c r="Z578" s="702"/>
      <c r="AA578" s="702"/>
      <c r="AB578" s="702"/>
      <c r="AC578" s="702"/>
    </row>
    <row r="579" ht="15.75" customHeight="1">
      <c r="A579" s="702"/>
      <c r="B579" s="702"/>
      <c r="C579" s="702"/>
      <c r="D579" s="702"/>
      <c r="E579" s="702"/>
      <c r="F579" s="702"/>
      <c r="G579" s="702"/>
      <c r="H579" s="702"/>
      <c r="I579" s="702"/>
      <c r="J579" s="702"/>
      <c r="K579" s="702"/>
      <c r="L579" s="702"/>
      <c r="M579" s="702"/>
      <c r="N579" s="702"/>
      <c r="O579" s="702"/>
      <c r="P579" s="702"/>
      <c r="Q579" s="702"/>
      <c r="R579" s="702"/>
      <c r="S579" s="702"/>
      <c r="T579" s="702"/>
      <c r="U579" s="702"/>
      <c r="V579" s="702"/>
      <c r="W579" s="702"/>
      <c r="X579" s="702"/>
      <c r="Y579" s="702"/>
      <c r="Z579" s="702"/>
      <c r="AA579" s="702"/>
      <c r="AB579" s="702"/>
      <c r="AC579" s="702"/>
    </row>
    <row r="580" ht="15.75" customHeight="1">
      <c r="A580" s="702"/>
      <c r="B580" s="702"/>
      <c r="C580" s="702"/>
      <c r="D580" s="702"/>
      <c r="E580" s="702"/>
      <c r="F580" s="702"/>
      <c r="G580" s="702"/>
      <c r="H580" s="702"/>
      <c r="I580" s="702"/>
      <c r="J580" s="702"/>
      <c r="K580" s="702"/>
      <c r="L580" s="702"/>
      <c r="M580" s="702"/>
      <c r="N580" s="702"/>
      <c r="O580" s="702"/>
      <c r="P580" s="702"/>
      <c r="Q580" s="702"/>
      <c r="R580" s="702"/>
      <c r="S580" s="702"/>
      <c r="T580" s="702"/>
      <c r="U580" s="702"/>
      <c r="V580" s="702"/>
      <c r="W580" s="702"/>
      <c r="X580" s="702"/>
      <c r="Y580" s="702"/>
      <c r="Z580" s="702"/>
      <c r="AA580" s="702"/>
      <c r="AB580" s="702"/>
      <c r="AC580" s="702"/>
    </row>
    <row r="581" ht="15.75" customHeight="1">
      <c r="A581" s="702"/>
      <c r="B581" s="702"/>
      <c r="C581" s="702"/>
      <c r="D581" s="702"/>
      <c r="E581" s="702"/>
      <c r="F581" s="702"/>
      <c r="G581" s="702"/>
      <c r="H581" s="702"/>
      <c r="I581" s="702"/>
      <c r="J581" s="702"/>
      <c r="K581" s="702"/>
      <c r="L581" s="702"/>
      <c r="M581" s="702"/>
      <c r="N581" s="702"/>
      <c r="O581" s="702"/>
      <c r="P581" s="702"/>
      <c r="Q581" s="702"/>
      <c r="R581" s="702"/>
      <c r="S581" s="702"/>
      <c r="T581" s="702"/>
      <c r="U581" s="702"/>
      <c r="V581" s="702"/>
      <c r="W581" s="702"/>
      <c r="X581" s="702"/>
      <c r="Y581" s="702"/>
      <c r="Z581" s="702"/>
      <c r="AA581" s="702"/>
      <c r="AB581" s="702"/>
      <c r="AC581" s="702"/>
    </row>
    <row r="582" ht="15.75" customHeight="1">
      <c r="A582" s="702"/>
      <c r="B582" s="702"/>
      <c r="C582" s="702"/>
      <c r="D582" s="702"/>
      <c r="E582" s="702"/>
      <c r="F582" s="702"/>
      <c r="G582" s="702"/>
      <c r="H582" s="702"/>
      <c r="I582" s="702"/>
      <c r="J582" s="702"/>
      <c r="K582" s="702"/>
      <c r="L582" s="702"/>
      <c r="M582" s="702"/>
      <c r="N582" s="702"/>
      <c r="O582" s="702"/>
      <c r="P582" s="702"/>
      <c r="Q582" s="702"/>
      <c r="R582" s="702"/>
      <c r="S582" s="702"/>
      <c r="T582" s="702"/>
      <c r="U582" s="702"/>
      <c r="V582" s="702"/>
      <c r="W582" s="702"/>
      <c r="X582" s="702"/>
      <c r="Y582" s="702"/>
      <c r="Z582" s="702"/>
      <c r="AA582" s="702"/>
      <c r="AB582" s="702"/>
      <c r="AC582" s="702"/>
    </row>
    <row r="583" ht="15.75" customHeight="1">
      <c r="A583" s="702"/>
      <c r="B583" s="702"/>
      <c r="C583" s="702"/>
      <c r="D583" s="702"/>
      <c r="E583" s="702"/>
      <c r="F583" s="702"/>
      <c r="G583" s="702"/>
      <c r="H583" s="702"/>
      <c r="I583" s="702"/>
      <c r="J583" s="702"/>
      <c r="K583" s="702"/>
      <c r="L583" s="702"/>
      <c r="M583" s="702"/>
      <c r="N583" s="702"/>
      <c r="O583" s="702"/>
      <c r="P583" s="702"/>
      <c r="Q583" s="702"/>
      <c r="R583" s="702"/>
      <c r="S583" s="702"/>
      <c r="T583" s="702"/>
      <c r="U583" s="702"/>
      <c r="V583" s="702"/>
      <c r="W583" s="702"/>
      <c r="X583" s="702"/>
      <c r="Y583" s="702"/>
      <c r="Z583" s="702"/>
      <c r="AA583" s="702"/>
      <c r="AB583" s="702"/>
      <c r="AC583" s="702"/>
    </row>
    <row r="584" ht="15.75" customHeight="1">
      <c r="A584" s="702"/>
      <c r="B584" s="702"/>
      <c r="C584" s="702"/>
      <c r="D584" s="702"/>
      <c r="E584" s="702"/>
      <c r="F584" s="702"/>
      <c r="G584" s="702"/>
      <c r="H584" s="702"/>
      <c r="I584" s="702"/>
      <c r="J584" s="702"/>
      <c r="K584" s="702"/>
      <c r="L584" s="702"/>
      <c r="M584" s="702"/>
      <c r="N584" s="702"/>
      <c r="O584" s="702"/>
      <c r="P584" s="702"/>
      <c r="Q584" s="702"/>
      <c r="R584" s="702"/>
      <c r="S584" s="702"/>
      <c r="T584" s="702"/>
      <c r="U584" s="702"/>
      <c r="V584" s="702"/>
      <c r="W584" s="702"/>
      <c r="X584" s="702"/>
      <c r="Y584" s="702"/>
      <c r="Z584" s="702"/>
      <c r="AA584" s="702"/>
      <c r="AB584" s="702"/>
      <c r="AC584" s="702"/>
    </row>
    <row r="585" ht="15.75" customHeight="1">
      <c r="A585" s="702"/>
      <c r="B585" s="702"/>
      <c r="C585" s="702"/>
      <c r="D585" s="702"/>
      <c r="E585" s="702"/>
      <c r="F585" s="702"/>
      <c r="G585" s="702"/>
      <c r="H585" s="702"/>
      <c r="I585" s="702"/>
      <c r="J585" s="702"/>
      <c r="K585" s="702"/>
      <c r="L585" s="702"/>
      <c r="M585" s="702"/>
      <c r="N585" s="702"/>
      <c r="O585" s="702"/>
      <c r="P585" s="702"/>
      <c r="Q585" s="702"/>
      <c r="R585" s="702"/>
      <c r="S585" s="702"/>
      <c r="T585" s="702"/>
      <c r="U585" s="702"/>
      <c r="V585" s="702"/>
      <c r="W585" s="702"/>
      <c r="X585" s="702"/>
      <c r="Y585" s="702"/>
      <c r="Z585" s="702"/>
      <c r="AA585" s="702"/>
      <c r="AB585" s="702"/>
      <c r="AC585" s="702"/>
    </row>
    <row r="586" ht="15.75" customHeight="1">
      <c r="A586" s="702"/>
      <c r="B586" s="702"/>
      <c r="C586" s="702"/>
      <c r="D586" s="702"/>
      <c r="E586" s="702"/>
      <c r="F586" s="702"/>
      <c r="G586" s="702"/>
      <c r="H586" s="702"/>
      <c r="I586" s="702"/>
      <c r="J586" s="702"/>
      <c r="K586" s="702"/>
      <c r="L586" s="702"/>
      <c r="M586" s="702"/>
      <c r="N586" s="702"/>
      <c r="O586" s="702"/>
      <c r="P586" s="702"/>
      <c r="Q586" s="702"/>
      <c r="R586" s="702"/>
      <c r="S586" s="702"/>
      <c r="T586" s="702"/>
      <c r="U586" s="702"/>
      <c r="V586" s="702"/>
      <c r="W586" s="702"/>
      <c r="X586" s="702"/>
      <c r="Y586" s="702"/>
      <c r="Z586" s="702"/>
      <c r="AA586" s="702"/>
      <c r="AB586" s="702"/>
      <c r="AC586" s="702"/>
    </row>
    <row r="587" ht="15.75" customHeight="1">
      <c r="A587" s="702"/>
      <c r="B587" s="702"/>
      <c r="C587" s="702"/>
      <c r="D587" s="702"/>
      <c r="E587" s="702"/>
      <c r="F587" s="702"/>
      <c r="G587" s="702"/>
      <c r="H587" s="702"/>
      <c r="I587" s="702"/>
      <c r="J587" s="702"/>
      <c r="K587" s="702"/>
      <c r="L587" s="702"/>
      <c r="M587" s="702"/>
      <c r="N587" s="702"/>
      <c r="O587" s="702"/>
      <c r="P587" s="702"/>
      <c r="Q587" s="702"/>
      <c r="R587" s="702"/>
      <c r="S587" s="702"/>
      <c r="T587" s="702"/>
      <c r="U587" s="702"/>
      <c r="V587" s="702"/>
      <c r="W587" s="702"/>
      <c r="X587" s="702"/>
      <c r="Y587" s="702"/>
      <c r="Z587" s="702"/>
      <c r="AA587" s="702"/>
      <c r="AB587" s="702"/>
      <c r="AC587" s="702"/>
    </row>
    <row r="588" ht="15.75" customHeight="1">
      <c r="A588" s="702"/>
      <c r="B588" s="702"/>
      <c r="C588" s="702"/>
      <c r="D588" s="702"/>
      <c r="E588" s="702"/>
      <c r="F588" s="702"/>
      <c r="G588" s="702"/>
      <c r="H588" s="702"/>
      <c r="I588" s="702"/>
      <c r="J588" s="702"/>
      <c r="K588" s="702"/>
      <c r="L588" s="702"/>
      <c r="M588" s="702"/>
      <c r="N588" s="702"/>
      <c r="O588" s="702"/>
      <c r="P588" s="702"/>
      <c r="Q588" s="702"/>
      <c r="R588" s="702"/>
      <c r="S588" s="702"/>
      <c r="T588" s="702"/>
      <c r="U588" s="702"/>
      <c r="V588" s="702"/>
      <c r="W588" s="702"/>
      <c r="X588" s="702"/>
      <c r="Y588" s="702"/>
      <c r="Z588" s="702"/>
      <c r="AA588" s="702"/>
      <c r="AB588" s="702"/>
      <c r="AC588" s="702"/>
    </row>
    <row r="589" ht="15.75" customHeight="1">
      <c r="A589" s="702"/>
      <c r="B589" s="702"/>
      <c r="C589" s="702"/>
      <c r="D589" s="702"/>
      <c r="E589" s="702"/>
      <c r="F589" s="702"/>
      <c r="G589" s="702"/>
      <c r="H589" s="702"/>
      <c r="I589" s="702"/>
      <c r="J589" s="702"/>
      <c r="K589" s="702"/>
      <c r="L589" s="702"/>
      <c r="M589" s="702"/>
      <c r="N589" s="702"/>
      <c r="O589" s="702"/>
      <c r="P589" s="702"/>
      <c r="Q589" s="702"/>
      <c r="R589" s="702"/>
      <c r="S589" s="702"/>
      <c r="T589" s="702"/>
      <c r="U589" s="702"/>
      <c r="V589" s="702"/>
      <c r="W589" s="702"/>
      <c r="X589" s="702"/>
      <c r="Y589" s="702"/>
      <c r="Z589" s="702"/>
      <c r="AA589" s="702"/>
      <c r="AB589" s="702"/>
      <c r="AC589" s="702"/>
    </row>
    <row r="590" ht="15.75" customHeight="1">
      <c r="A590" s="702"/>
      <c r="B590" s="702"/>
      <c r="C590" s="702"/>
      <c r="D590" s="702"/>
      <c r="E590" s="702"/>
      <c r="F590" s="702"/>
      <c r="G590" s="702"/>
      <c r="H590" s="702"/>
      <c r="I590" s="702"/>
      <c r="J590" s="702"/>
      <c r="K590" s="702"/>
      <c r="L590" s="702"/>
      <c r="M590" s="702"/>
      <c r="N590" s="702"/>
      <c r="O590" s="702"/>
      <c r="P590" s="702"/>
      <c r="Q590" s="702"/>
      <c r="R590" s="702"/>
      <c r="S590" s="702"/>
      <c r="T590" s="702"/>
      <c r="U590" s="702"/>
      <c r="V590" s="702"/>
      <c r="W590" s="702"/>
      <c r="X590" s="702"/>
      <c r="Y590" s="702"/>
      <c r="Z590" s="702"/>
      <c r="AA590" s="702"/>
      <c r="AB590" s="702"/>
      <c r="AC590" s="702"/>
    </row>
    <row r="591" ht="15.75" customHeight="1">
      <c r="A591" s="702"/>
      <c r="B591" s="702"/>
      <c r="C591" s="702"/>
      <c r="D591" s="702"/>
      <c r="E591" s="702"/>
      <c r="F591" s="702"/>
      <c r="G591" s="702"/>
      <c r="H591" s="702"/>
      <c r="I591" s="702"/>
      <c r="J591" s="702"/>
      <c r="K591" s="702"/>
      <c r="L591" s="702"/>
      <c r="M591" s="702"/>
      <c r="N591" s="702"/>
      <c r="O591" s="702"/>
      <c r="P591" s="702"/>
      <c r="Q591" s="702"/>
      <c r="R591" s="702"/>
      <c r="S591" s="702"/>
      <c r="T591" s="702"/>
      <c r="U591" s="702"/>
      <c r="V591" s="702"/>
      <c r="W591" s="702"/>
      <c r="X591" s="702"/>
      <c r="Y591" s="702"/>
      <c r="Z591" s="702"/>
      <c r="AA591" s="702"/>
      <c r="AB591" s="702"/>
      <c r="AC591" s="702"/>
    </row>
    <row r="592" ht="15.75" customHeight="1">
      <c r="A592" s="702"/>
      <c r="B592" s="702"/>
      <c r="C592" s="702"/>
      <c r="D592" s="702"/>
      <c r="E592" s="702"/>
      <c r="F592" s="702"/>
      <c r="G592" s="702"/>
      <c r="H592" s="702"/>
      <c r="I592" s="702"/>
      <c r="J592" s="702"/>
      <c r="K592" s="702"/>
      <c r="L592" s="702"/>
      <c r="M592" s="702"/>
      <c r="N592" s="702"/>
      <c r="O592" s="702"/>
      <c r="P592" s="702"/>
      <c r="Q592" s="702"/>
      <c r="R592" s="702"/>
      <c r="S592" s="702"/>
      <c r="T592" s="702"/>
      <c r="U592" s="702"/>
      <c r="V592" s="702"/>
      <c r="W592" s="702"/>
      <c r="X592" s="702"/>
      <c r="Y592" s="702"/>
      <c r="Z592" s="702"/>
      <c r="AA592" s="702"/>
      <c r="AB592" s="702"/>
      <c r="AC592" s="702"/>
    </row>
    <row r="593" ht="15.75" customHeight="1">
      <c r="A593" s="702"/>
      <c r="B593" s="702"/>
      <c r="C593" s="702"/>
      <c r="D593" s="702"/>
      <c r="E593" s="702"/>
      <c r="F593" s="702"/>
      <c r="G593" s="702"/>
      <c r="H593" s="702"/>
      <c r="I593" s="702"/>
      <c r="J593" s="702"/>
      <c r="K593" s="702"/>
      <c r="L593" s="702"/>
      <c r="M593" s="702"/>
      <c r="N593" s="702"/>
      <c r="O593" s="702"/>
      <c r="P593" s="702"/>
      <c r="Q593" s="702"/>
      <c r="R593" s="702"/>
      <c r="S593" s="702"/>
      <c r="T593" s="702"/>
      <c r="U593" s="702"/>
      <c r="V593" s="702"/>
      <c r="W593" s="702"/>
      <c r="X593" s="702"/>
      <c r="Y593" s="702"/>
      <c r="Z593" s="702"/>
      <c r="AA593" s="702"/>
      <c r="AB593" s="702"/>
      <c r="AC593" s="702"/>
    </row>
    <row r="594" ht="15.75" customHeight="1">
      <c r="A594" s="702"/>
      <c r="B594" s="702"/>
      <c r="C594" s="702"/>
      <c r="D594" s="702"/>
      <c r="E594" s="702"/>
      <c r="F594" s="702"/>
      <c r="G594" s="702"/>
      <c r="H594" s="702"/>
      <c r="I594" s="702"/>
      <c r="J594" s="702"/>
      <c r="K594" s="702"/>
      <c r="L594" s="702"/>
      <c r="M594" s="702"/>
      <c r="N594" s="702"/>
      <c r="O594" s="702"/>
      <c r="P594" s="702"/>
      <c r="Q594" s="702"/>
      <c r="R594" s="702"/>
      <c r="S594" s="702"/>
      <c r="T594" s="702"/>
      <c r="U594" s="702"/>
      <c r="V594" s="702"/>
      <c r="W594" s="702"/>
      <c r="X594" s="702"/>
      <c r="Y594" s="702"/>
      <c r="Z594" s="702"/>
      <c r="AA594" s="702"/>
      <c r="AB594" s="702"/>
      <c r="AC594" s="702"/>
    </row>
    <row r="595" ht="15.75" customHeight="1">
      <c r="A595" s="702"/>
      <c r="B595" s="702"/>
      <c r="C595" s="702"/>
      <c r="D595" s="702"/>
      <c r="E595" s="702"/>
      <c r="F595" s="702"/>
      <c r="G595" s="702"/>
      <c r="H595" s="702"/>
      <c r="I595" s="702"/>
      <c r="J595" s="702"/>
      <c r="K595" s="702"/>
      <c r="L595" s="702"/>
      <c r="M595" s="702"/>
      <c r="N595" s="702"/>
      <c r="O595" s="702"/>
      <c r="P595" s="702"/>
      <c r="Q595" s="702"/>
      <c r="R595" s="702"/>
      <c r="S595" s="702"/>
      <c r="T595" s="702"/>
      <c r="U595" s="702"/>
      <c r="V595" s="702"/>
      <c r="W595" s="702"/>
      <c r="X595" s="702"/>
      <c r="Y595" s="702"/>
      <c r="Z595" s="702"/>
      <c r="AA595" s="702"/>
      <c r="AB595" s="702"/>
      <c r="AC595" s="702"/>
    </row>
    <row r="596" ht="15.75" customHeight="1">
      <c r="A596" s="702"/>
      <c r="B596" s="702"/>
      <c r="C596" s="702"/>
      <c r="D596" s="702"/>
      <c r="E596" s="702"/>
      <c r="F596" s="702"/>
      <c r="G596" s="702"/>
      <c r="H596" s="702"/>
      <c r="I596" s="702"/>
      <c r="J596" s="702"/>
      <c r="K596" s="702"/>
      <c r="L596" s="702"/>
      <c r="M596" s="702"/>
      <c r="N596" s="702"/>
      <c r="O596" s="702"/>
      <c r="P596" s="702"/>
      <c r="Q596" s="702"/>
      <c r="R596" s="702"/>
      <c r="S596" s="702"/>
      <c r="T596" s="702"/>
      <c r="U596" s="702"/>
      <c r="V596" s="702"/>
      <c r="W596" s="702"/>
      <c r="X596" s="702"/>
      <c r="Y596" s="702"/>
      <c r="Z596" s="702"/>
      <c r="AA596" s="702"/>
      <c r="AB596" s="702"/>
      <c r="AC596" s="702"/>
    </row>
    <row r="597" ht="15.75" customHeight="1">
      <c r="A597" s="702"/>
      <c r="B597" s="702"/>
      <c r="C597" s="702"/>
      <c r="D597" s="702"/>
      <c r="E597" s="702"/>
      <c r="F597" s="702"/>
      <c r="G597" s="702"/>
      <c r="H597" s="702"/>
      <c r="I597" s="702"/>
      <c r="J597" s="702"/>
      <c r="K597" s="702"/>
      <c r="L597" s="702"/>
      <c r="M597" s="702"/>
      <c r="N597" s="702"/>
      <c r="O597" s="702"/>
      <c r="P597" s="702"/>
      <c r="Q597" s="702"/>
      <c r="R597" s="702"/>
      <c r="S597" s="702"/>
      <c r="T597" s="702"/>
      <c r="U597" s="702"/>
      <c r="V597" s="702"/>
      <c r="W597" s="702"/>
      <c r="X597" s="702"/>
      <c r="Y597" s="702"/>
      <c r="Z597" s="702"/>
      <c r="AA597" s="702"/>
      <c r="AB597" s="702"/>
      <c r="AC597" s="702"/>
    </row>
    <row r="598" ht="15.75" customHeight="1">
      <c r="A598" s="702"/>
      <c r="B598" s="702"/>
      <c r="C598" s="702"/>
      <c r="D598" s="702"/>
      <c r="E598" s="702"/>
      <c r="F598" s="702"/>
      <c r="G598" s="702"/>
      <c r="H598" s="702"/>
      <c r="I598" s="702"/>
      <c r="J598" s="702"/>
      <c r="K598" s="702"/>
      <c r="L598" s="702"/>
      <c r="M598" s="702"/>
      <c r="N598" s="702"/>
      <c r="O598" s="702"/>
      <c r="P598" s="702"/>
      <c r="Q598" s="702"/>
      <c r="R598" s="702"/>
      <c r="S598" s="702"/>
      <c r="T598" s="702"/>
      <c r="U598" s="702"/>
      <c r="V598" s="702"/>
      <c r="W598" s="702"/>
      <c r="X598" s="702"/>
      <c r="Y598" s="702"/>
      <c r="Z598" s="702"/>
      <c r="AA598" s="702"/>
      <c r="AB598" s="702"/>
      <c r="AC598" s="702"/>
    </row>
    <row r="599" ht="15.75" customHeight="1">
      <c r="A599" s="702"/>
      <c r="B599" s="702"/>
      <c r="C599" s="702"/>
      <c r="D599" s="702"/>
      <c r="E599" s="702"/>
      <c r="F599" s="702"/>
      <c r="G599" s="702"/>
      <c r="H599" s="702"/>
      <c r="I599" s="702"/>
      <c r="J599" s="702"/>
      <c r="K599" s="702"/>
      <c r="L599" s="702"/>
      <c r="M599" s="702"/>
      <c r="N599" s="702"/>
      <c r="O599" s="702"/>
      <c r="P599" s="702"/>
      <c r="Q599" s="702"/>
      <c r="R599" s="702"/>
      <c r="S599" s="702"/>
      <c r="T599" s="702"/>
      <c r="U599" s="702"/>
      <c r="V599" s="702"/>
      <c r="W599" s="702"/>
      <c r="X599" s="702"/>
      <c r="Y599" s="702"/>
      <c r="Z599" s="702"/>
      <c r="AA599" s="702"/>
      <c r="AB599" s="702"/>
      <c r="AC599" s="702"/>
    </row>
    <row r="600" ht="15.75" customHeight="1">
      <c r="A600" s="702"/>
      <c r="B600" s="702"/>
      <c r="C600" s="702"/>
      <c r="D600" s="702"/>
      <c r="E600" s="702"/>
      <c r="F600" s="702"/>
      <c r="G600" s="702"/>
      <c r="H600" s="702"/>
      <c r="I600" s="702"/>
      <c r="J600" s="702"/>
      <c r="K600" s="702"/>
      <c r="L600" s="702"/>
      <c r="M600" s="702"/>
      <c r="N600" s="702"/>
      <c r="O600" s="702"/>
      <c r="P600" s="702"/>
      <c r="Q600" s="702"/>
      <c r="R600" s="702"/>
      <c r="S600" s="702"/>
      <c r="T600" s="702"/>
      <c r="U600" s="702"/>
      <c r="V600" s="702"/>
      <c r="W600" s="702"/>
      <c r="X600" s="702"/>
      <c r="Y600" s="702"/>
      <c r="Z600" s="702"/>
      <c r="AA600" s="702"/>
      <c r="AB600" s="702"/>
      <c r="AC600" s="702"/>
    </row>
    <row r="601" ht="15.75" customHeight="1">
      <c r="A601" s="702"/>
      <c r="B601" s="702"/>
      <c r="C601" s="702"/>
      <c r="D601" s="702"/>
      <c r="E601" s="702"/>
      <c r="F601" s="702"/>
      <c r="G601" s="702"/>
      <c r="H601" s="702"/>
      <c r="I601" s="702"/>
      <c r="J601" s="702"/>
      <c r="K601" s="702"/>
      <c r="L601" s="702"/>
      <c r="M601" s="702"/>
      <c r="N601" s="702"/>
      <c r="O601" s="702"/>
      <c r="P601" s="702"/>
      <c r="Q601" s="702"/>
      <c r="R601" s="702"/>
      <c r="S601" s="702"/>
      <c r="T601" s="702"/>
      <c r="U601" s="702"/>
      <c r="V601" s="702"/>
      <c r="W601" s="702"/>
      <c r="X601" s="702"/>
      <c r="Y601" s="702"/>
      <c r="Z601" s="702"/>
      <c r="AA601" s="702"/>
      <c r="AB601" s="702"/>
      <c r="AC601" s="702"/>
    </row>
    <row r="602" ht="15.75" customHeight="1">
      <c r="A602" s="702"/>
      <c r="B602" s="702"/>
      <c r="C602" s="702"/>
      <c r="D602" s="702"/>
      <c r="E602" s="702"/>
      <c r="F602" s="702"/>
      <c r="G602" s="702"/>
      <c r="H602" s="702"/>
      <c r="I602" s="702"/>
      <c r="J602" s="702"/>
      <c r="K602" s="702"/>
      <c r="L602" s="702"/>
      <c r="M602" s="702"/>
      <c r="N602" s="702"/>
      <c r="O602" s="702"/>
      <c r="P602" s="702"/>
      <c r="Q602" s="702"/>
      <c r="R602" s="702"/>
      <c r="S602" s="702"/>
      <c r="T602" s="702"/>
      <c r="U602" s="702"/>
      <c r="V602" s="702"/>
      <c r="W602" s="702"/>
      <c r="X602" s="702"/>
      <c r="Y602" s="702"/>
      <c r="Z602" s="702"/>
      <c r="AA602" s="702"/>
      <c r="AB602" s="702"/>
      <c r="AC602" s="702"/>
    </row>
    <row r="603" ht="15.75" customHeight="1">
      <c r="A603" s="702"/>
      <c r="B603" s="702"/>
      <c r="C603" s="702"/>
      <c r="D603" s="702"/>
      <c r="E603" s="702"/>
      <c r="F603" s="702"/>
      <c r="G603" s="702"/>
      <c r="H603" s="702"/>
      <c r="I603" s="702"/>
      <c r="J603" s="702"/>
      <c r="K603" s="702"/>
      <c r="L603" s="702"/>
      <c r="M603" s="702"/>
      <c r="N603" s="702"/>
      <c r="O603" s="702"/>
      <c r="P603" s="702"/>
      <c r="Q603" s="702"/>
      <c r="R603" s="702"/>
      <c r="S603" s="702"/>
      <c r="T603" s="702"/>
      <c r="U603" s="702"/>
      <c r="V603" s="702"/>
      <c r="W603" s="702"/>
      <c r="X603" s="702"/>
      <c r="Y603" s="702"/>
      <c r="Z603" s="702"/>
      <c r="AA603" s="702"/>
      <c r="AB603" s="702"/>
      <c r="AC603" s="702"/>
    </row>
    <row r="604" ht="15.75" customHeight="1">
      <c r="A604" s="702"/>
      <c r="B604" s="702"/>
      <c r="C604" s="702"/>
      <c r="D604" s="702"/>
      <c r="E604" s="702"/>
      <c r="F604" s="702"/>
      <c r="G604" s="702"/>
      <c r="H604" s="702"/>
      <c r="I604" s="702"/>
      <c r="J604" s="702"/>
      <c r="K604" s="702"/>
      <c r="L604" s="702"/>
      <c r="M604" s="702"/>
      <c r="N604" s="702"/>
      <c r="O604" s="702"/>
      <c r="P604" s="702"/>
      <c r="Q604" s="702"/>
      <c r="R604" s="702"/>
      <c r="S604" s="702"/>
      <c r="T604" s="702"/>
      <c r="U604" s="702"/>
      <c r="V604" s="702"/>
      <c r="W604" s="702"/>
      <c r="X604" s="702"/>
      <c r="Y604" s="702"/>
      <c r="Z604" s="702"/>
      <c r="AA604" s="702"/>
      <c r="AB604" s="702"/>
      <c r="AC604" s="702"/>
    </row>
    <row r="605" ht="15.75" customHeight="1">
      <c r="A605" s="702"/>
      <c r="B605" s="702"/>
      <c r="C605" s="702"/>
      <c r="D605" s="702"/>
      <c r="E605" s="702"/>
      <c r="F605" s="702"/>
      <c r="G605" s="702"/>
      <c r="H605" s="702"/>
      <c r="I605" s="702"/>
      <c r="J605" s="702"/>
      <c r="K605" s="702"/>
      <c r="L605" s="702"/>
      <c r="M605" s="702"/>
      <c r="N605" s="702"/>
      <c r="O605" s="702"/>
      <c r="P605" s="702"/>
      <c r="Q605" s="702"/>
      <c r="R605" s="702"/>
      <c r="S605" s="702"/>
      <c r="T605" s="702"/>
      <c r="U605" s="702"/>
      <c r="V605" s="702"/>
      <c r="W605" s="702"/>
      <c r="X605" s="702"/>
      <c r="Y605" s="702"/>
      <c r="Z605" s="702"/>
      <c r="AA605" s="702"/>
      <c r="AB605" s="702"/>
      <c r="AC605" s="702"/>
    </row>
    <row r="606" ht="15.75" customHeight="1">
      <c r="A606" s="702"/>
      <c r="B606" s="702"/>
      <c r="C606" s="702"/>
      <c r="D606" s="702"/>
      <c r="E606" s="702"/>
      <c r="F606" s="702"/>
      <c r="G606" s="702"/>
      <c r="H606" s="702"/>
      <c r="I606" s="702"/>
      <c r="J606" s="702"/>
      <c r="K606" s="702"/>
      <c r="L606" s="702"/>
      <c r="M606" s="702"/>
      <c r="N606" s="702"/>
      <c r="O606" s="702"/>
      <c r="P606" s="702"/>
      <c r="Q606" s="702"/>
      <c r="R606" s="702"/>
      <c r="S606" s="702"/>
      <c r="T606" s="702"/>
      <c r="U606" s="702"/>
      <c r="V606" s="702"/>
      <c r="W606" s="702"/>
      <c r="X606" s="702"/>
      <c r="Y606" s="702"/>
      <c r="Z606" s="702"/>
      <c r="AA606" s="702"/>
      <c r="AB606" s="702"/>
      <c r="AC606" s="702"/>
    </row>
    <row r="607" ht="15.75" customHeight="1">
      <c r="A607" s="702"/>
      <c r="B607" s="702"/>
      <c r="C607" s="702"/>
      <c r="D607" s="702"/>
      <c r="E607" s="702"/>
      <c r="F607" s="702"/>
      <c r="G607" s="702"/>
      <c r="H607" s="702"/>
      <c r="I607" s="702"/>
      <c r="J607" s="702"/>
      <c r="K607" s="702"/>
      <c r="L607" s="702"/>
      <c r="M607" s="702"/>
      <c r="N607" s="702"/>
      <c r="O607" s="702"/>
      <c r="P607" s="702"/>
      <c r="Q607" s="702"/>
      <c r="R607" s="702"/>
      <c r="S607" s="702"/>
      <c r="T607" s="702"/>
      <c r="U607" s="702"/>
      <c r="V607" s="702"/>
      <c r="W607" s="702"/>
      <c r="X607" s="702"/>
      <c r="Y607" s="702"/>
      <c r="Z607" s="702"/>
      <c r="AA607" s="702"/>
      <c r="AB607" s="702"/>
      <c r="AC607" s="702"/>
    </row>
    <row r="608" ht="15.75" customHeight="1">
      <c r="A608" s="702"/>
      <c r="B608" s="702"/>
      <c r="C608" s="702"/>
      <c r="D608" s="702"/>
      <c r="E608" s="702"/>
      <c r="F608" s="702"/>
      <c r="G608" s="702"/>
      <c r="H608" s="702"/>
      <c r="I608" s="702"/>
      <c r="J608" s="702"/>
      <c r="K608" s="702"/>
      <c r="L608" s="702"/>
      <c r="M608" s="702"/>
      <c r="N608" s="702"/>
      <c r="O608" s="702"/>
      <c r="P608" s="702"/>
      <c r="Q608" s="702"/>
      <c r="R608" s="702"/>
      <c r="S608" s="702"/>
      <c r="T608" s="702"/>
      <c r="U608" s="702"/>
      <c r="V608" s="702"/>
      <c r="W608" s="702"/>
      <c r="X608" s="702"/>
      <c r="Y608" s="702"/>
      <c r="Z608" s="702"/>
      <c r="AA608" s="702"/>
      <c r="AB608" s="702"/>
      <c r="AC608" s="702"/>
    </row>
    <row r="609" ht="15.75" customHeight="1">
      <c r="A609" s="702"/>
      <c r="B609" s="702"/>
      <c r="C609" s="702"/>
      <c r="D609" s="702"/>
      <c r="E609" s="702"/>
      <c r="F609" s="702"/>
      <c r="G609" s="702"/>
      <c r="H609" s="702"/>
      <c r="I609" s="702"/>
      <c r="J609" s="702"/>
      <c r="K609" s="702"/>
      <c r="L609" s="702"/>
      <c r="M609" s="702"/>
      <c r="N609" s="702"/>
      <c r="O609" s="702"/>
      <c r="P609" s="702"/>
      <c r="Q609" s="702"/>
      <c r="R609" s="702"/>
      <c r="S609" s="702"/>
      <c r="T609" s="702"/>
      <c r="U609" s="702"/>
      <c r="V609" s="702"/>
      <c r="W609" s="702"/>
      <c r="X609" s="702"/>
      <c r="Y609" s="702"/>
      <c r="Z609" s="702"/>
      <c r="AA609" s="702"/>
      <c r="AB609" s="702"/>
      <c r="AC609" s="702"/>
    </row>
    <row r="610" ht="15.75" customHeight="1">
      <c r="A610" s="702"/>
      <c r="B610" s="702"/>
      <c r="C610" s="702"/>
      <c r="D610" s="702"/>
      <c r="E610" s="702"/>
      <c r="F610" s="702"/>
      <c r="G610" s="702"/>
      <c r="H610" s="702"/>
      <c r="I610" s="702"/>
      <c r="J610" s="702"/>
      <c r="K610" s="702"/>
      <c r="L610" s="702"/>
      <c r="M610" s="702"/>
      <c r="N610" s="702"/>
      <c r="O610" s="702"/>
      <c r="P610" s="702"/>
      <c r="Q610" s="702"/>
      <c r="R610" s="702"/>
      <c r="S610" s="702"/>
      <c r="T610" s="702"/>
      <c r="U610" s="702"/>
      <c r="V610" s="702"/>
      <c r="W610" s="702"/>
      <c r="X610" s="702"/>
      <c r="Y610" s="702"/>
      <c r="Z610" s="702"/>
      <c r="AA610" s="702"/>
      <c r="AB610" s="702"/>
      <c r="AC610" s="702"/>
    </row>
    <row r="611" ht="15.75" customHeight="1">
      <c r="A611" s="702"/>
      <c r="B611" s="702"/>
      <c r="C611" s="702"/>
      <c r="D611" s="702"/>
      <c r="E611" s="702"/>
      <c r="F611" s="702"/>
      <c r="G611" s="702"/>
      <c r="H611" s="702"/>
      <c r="I611" s="702"/>
      <c r="J611" s="702"/>
      <c r="K611" s="702"/>
      <c r="L611" s="702"/>
      <c r="M611" s="702"/>
      <c r="N611" s="702"/>
      <c r="O611" s="702"/>
      <c r="P611" s="702"/>
      <c r="Q611" s="702"/>
      <c r="R611" s="702"/>
      <c r="S611" s="702"/>
      <c r="T611" s="702"/>
      <c r="U611" s="702"/>
      <c r="V611" s="702"/>
      <c r="W611" s="702"/>
      <c r="X611" s="702"/>
      <c r="Y611" s="702"/>
      <c r="Z611" s="702"/>
      <c r="AA611" s="702"/>
      <c r="AB611" s="702"/>
      <c r="AC611" s="702"/>
    </row>
    <row r="612" ht="15.75" customHeight="1">
      <c r="A612" s="702"/>
      <c r="B612" s="702"/>
      <c r="C612" s="702"/>
      <c r="D612" s="702"/>
      <c r="E612" s="702"/>
      <c r="F612" s="702"/>
      <c r="G612" s="702"/>
      <c r="H612" s="702"/>
      <c r="I612" s="702"/>
      <c r="J612" s="702"/>
      <c r="K612" s="702"/>
      <c r="L612" s="702"/>
      <c r="M612" s="702"/>
      <c r="N612" s="702"/>
      <c r="O612" s="702"/>
      <c r="P612" s="702"/>
      <c r="Q612" s="702"/>
      <c r="R612" s="702"/>
      <c r="S612" s="702"/>
      <c r="T612" s="702"/>
      <c r="U612" s="702"/>
      <c r="V612" s="702"/>
      <c r="W612" s="702"/>
      <c r="X612" s="702"/>
      <c r="Y612" s="702"/>
      <c r="Z612" s="702"/>
      <c r="AA612" s="702"/>
      <c r="AB612" s="702"/>
      <c r="AC612" s="702"/>
    </row>
    <row r="613" ht="15.75" customHeight="1">
      <c r="A613" s="702"/>
      <c r="B613" s="702"/>
      <c r="C613" s="702"/>
      <c r="D613" s="702"/>
      <c r="E613" s="702"/>
      <c r="F613" s="702"/>
      <c r="G613" s="702"/>
      <c r="H613" s="702"/>
      <c r="I613" s="702"/>
      <c r="J613" s="702"/>
      <c r="K613" s="702"/>
      <c r="L613" s="702"/>
      <c r="M613" s="702"/>
      <c r="N613" s="702"/>
      <c r="O613" s="702"/>
      <c r="P613" s="702"/>
      <c r="Q613" s="702"/>
      <c r="R613" s="702"/>
      <c r="S613" s="702"/>
      <c r="T613" s="702"/>
      <c r="U613" s="702"/>
      <c r="V613" s="702"/>
      <c r="W613" s="702"/>
      <c r="X613" s="702"/>
      <c r="Y613" s="702"/>
      <c r="Z613" s="702"/>
      <c r="AA613" s="702"/>
      <c r="AB613" s="702"/>
      <c r="AC613" s="702"/>
    </row>
    <row r="614" ht="15.75" customHeight="1">
      <c r="A614" s="702"/>
      <c r="B614" s="702"/>
      <c r="C614" s="702"/>
      <c r="D614" s="702"/>
      <c r="E614" s="702"/>
      <c r="F614" s="702"/>
      <c r="G614" s="702"/>
      <c r="H614" s="702"/>
      <c r="I614" s="702"/>
      <c r="J614" s="702"/>
      <c r="K614" s="702"/>
      <c r="L614" s="702"/>
      <c r="M614" s="702"/>
      <c r="N614" s="702"/>
      <c r="O614" s="702"/>
      <c r="P614" s="702"/>
      <c r="Q614" s="702"/>
      <c r="R614" s="702"/>
      <c r="S614" s="702"/>
      <c r="T614" s="702"/>
      <c r="U614" s="702"/>
      <c r="V614" s="702"/>
      <c r="W614" s="702"/>
      <c r="X614" s="702"/>
      <c r="Y614" s="702"/>
      <c r="Z614" s="702"/>
      <c r="AA614" s="702"/>
      <c r="AB614" s="702"/>
      <c r="AC614" s="702"/>
    </row>
    <row r="615" ht="15.75" customHeight="1">
      <c r="A615" s="702"/>
      <c r="B615" s="702"/>
      <c r="C615" s="702"/>
      <c r="D615" s="702"/>
      <c r="E615" s="702"/>
      <c r="F615" s="702"/>
      <c r="G615" s="702"/>
      <c r="H615" s="702"/>
      <c r="I615" s="702"/>
      <c r="J615" s="702"/>
      <c r="K615" s="702"/>
      <c r="L615" s="702"/>
      <c r="M615" s="702"/>
      <c r="N615" s="702"/>
      <c r="O615" s="702"/>
      <c r="P615" s="702"/>
      <c r="Q615" s="702"/>
      <c r="R615" s="702"/>
      <c r="S615" s="702"/>
      <c r="T615" s="702"/>
      <c r="U615" s="702"/>
      <c r="V615" s="702"/>
      <c r="W615" s="702"/>
      <c r="X615" s="702"/>
      <c r="Y615" s="702"/>
      <c r="Z615" s="702"/>
      <c r="AA615" s="702"/>
      <c r="AB615" s="702"/>
      <c r="AC615" s="702"/>
    </row>
    <row r="616" ht="15.75" customHeight="1">
      <c r="A616" s="702"/>
      <c r="B616" s="702"/>
      <c r="C616" s="702"/>
      <c r="D616" s="702"/>
      <c r="E616" s="702"/>
      <c r="F616" s="702"/>
      <c r="G616" s="702"/>
      <c r="H616" s="702"/>
      <c r="I616" s="702"/>
      <c r="J616" s="702"/>
      <c r="K616" s="702"/>
      <c r="L616" s="702"/>
      <c r="M616" s="702"/>
      <c r="N616" s="702"/>
      <c r="O616" s="702"/>
      <c r="P616" s="702"/>
      <c r="Q616" s="702"/>
      <c r="R616" s="702"/>
      <c r="S616" s="702"/>
      <c r="T616" s="702"/>
      <c r="U616" s="702"/>
      <c r="V616" s="702"/>
      <c r="W616" s="702"/>
      <c r="X616" s="702"/>
      <c r="Y616" s="702"/>
      <c r="Z616" s="702"/>
      <c r="AA616" s="702"/>
      <c r="AB616" s="702"/>
      <c r="AC616" s="702"/>
    </row>
    <row r="617" ht="15.75" customHeight="1">
      <c r="A617" s="702"/>
      <c r="B617" s="702"/>
      <c r="C617" s="702"/>
      <c r="D617" s="702"/>
      <c r="E617" s="702"/>
      <c r="F617" s="702"/>
      <c r="G617" s="702"/>
      <c r="H617" s="702"/>
      <c r="I617" s="702"/>
      <c r="J617" s="702"/>
      <c r="K617" s="702"/>
      <c r="L617" s="702"/>
      <c r="M617" s="702"/>
      <c r="N617" s="702"/>
      <c r="O617" s="702"/>
      <c r="P617" s="702"/>
      <c r="Q617" s="702"/>
      <c r="R617" s="702"/>
      <c r="S617" s="702"/>
      <c r="T617" s="702"/>
      <c r="U617" s="702"/>
      <c r="V617" s="702"/>
      <c r="W617" s="702"/>
      <c r="X617" s="702"/>
      <c r="Y617" s="702"/>
      <c r="Z617" s="702"/>
      <c r="AA617" s="702"/>
      <c r="AB617" s="702"/>
      <c r="AC617" s="702"/>
    </row>
    <row r="618" ht="15.75" customHeight="1">
      <c r="A618" s="702"/>
      <c r="B618" s="702"/>
      <c r="C618" s="702"/>
      <c r="D618" s="702"/>
      <c r="E618" s="702"/>
      <c r="F618" s="702"/>
      <c r="G618" s="702"/>
      <c r="H618" s="702"/>
      <c r="I618" s="702"/>
      <c r="J618" s="702"/>
      <c r="K618" s="702"/>
      <c r="L618" s="702"/>
      <c r="M618" s="702"/>
      <c r="N618" s="702"/>
      <c r="O618" s="702"/>
      <c r="P618" s="702"/>
      <c r="Q618" s="702"/>
      <c r="R618" s="702"/>
      <c r="S618" s="702"/>
      <c r="T618" s="702"/>
      <c r="U618" s="702"/>
      <c r="V618" s="702"/>
      <c r="W618" s="702"/>
      <c r="X618" s="702"/>
      <c r="Y618" s="702"/>
      <c r="Z618" s="702"/>
      <c r="AA618" s="702"/>
      <c r="AB618" s="702"/>
      <c r="AC618" s="702"/>
    </row>
    <row r="619" ht="15.75" customHeight="1">
      <c r="A619" s="702"/>
      <c r="B619" s="702"/>
      <c r="C619" s="702"/>
      <c r="D619" s="702"/>
      <c r="E619" s="702"/>
      <c r="F619" s="702"/>
      <c r="G619" s="702"/>
      <c r="H619" s="702"/>
      <c r="I619" s="702"/>
      <c r="J619" s="702"/>
      <c r="K619" s="702"/>
      <c r="L619" s="702"/>
      <c r="M619" s="702"/>
      <c r="N619" s="702"/>
      <c r="O619" s="702"/>
      <c r="P619" s="702"/>
      <c r="Q619" s="702"/>
      <c r="R619" s="702"/>
      <c r="S619" s="702"/>
      <c r="T619" s="702"/>
      <c r="U619" s="702"/>
      <c r="V619" s="702"/>
      <c r="W619" s="702"/>
      <c r="X619" s="702"/>
      <c r="Y619" s="702"/>
      <c r="Z619" s="702"/>
      <c r="AA619" s="702"/>
      <c r="AB619" s="702"/>
      <c r="AC619" s="702"/>
    </row>
    <row r="620" ht="15.75" customHeight="1">
      <c r="A620" s="702"/>
      <c r="B620" s="702"/>
      <c r="C620" s="702"/>
      <c r="D620" s="702"/>
      <c r="E620" s="702"/>
      <c r="F620" s="702"/>
      <c r="G620" s="702"/>
      <c r="H620" s="702"/>
      <c r="I620" s="702"/>
      <c r="J620" s="702"/>
      <c r="K620" s="702"/>
      <c r="L620" s="702"/>
      <c r="M620" s="702"/>
      <c r="N620" s="702"/>
      <c r="O620" s="702"/>
      <c r="P620" s="702"/>
      <c r="Q620" s="702"/>
      <c r="R620" s="702"/>
      <c r="S620" s="702"/>
      <c r="T620" s="702"/>
      <c r="U620" s="702"/>
      <c r="V620" s="702"/>
      <c r="W620" s="702"/>
      <c r="X620" s="702"/>
      <c r="Y620" s="702"/>
      <c r="Z620" s="702"/>
      <c r="AA620" s="702"/>
      <c r="AB620" s="702"/>
      <c r="AC620" s="702"/>
    </row>
    <row r="621" ht="15.75" customHeight="1">
      <c r="A621" s="702"/>
      <c r="B621" s="702"/>
      <c r="C621" s="702"/>
      <c r="D621" s="702"/>
      <c r="E621" s="702"/>
      <c r="F621" s="702"/>
      <c r="G621" s="702"/>
      <c r="H621" s="702"/>
      <c r="I621" s="702"/>
      <c r="J621" s="702"/>
      <c r="K621" s="702"/>
      <c r="L621" s="702"/>
      <c r="M621" s="702"/>
      <c r="N621" s="702"/>
      <c r="O621" s="702"/>
      <c r="P621" s="702"/>
      <c r="Q621" s="702"/>
      <c r="R621" s="702"/>
      <c r="S621" s="702"/>
      <c r="T621" s="702"/>
      <c r="U621" s="702"/>
      <c r="V621" s="702"/>
      <c r="W621" s="702"/>
      <c r="X621" s="702"/>
      <c r="Y621" s="702"/>
      <c r="Z621" s="702"/>
      <c r="AA621" s="702"/>
      <c r="AB621" s="702"/>
      <c r="AC621" s="702"/>
    </row>
    <row r="622" ht="15.75" customHeight="1">
      <c r="A622" s="702"/>
      <c r="B622" s="702"/>
      <c r="C622" s="702"/>
      <c r="D622" s="702"/>
      <c r="E622" s="702"/>
      <c r="F622" s="702"/>
      <c r="G622" s="702"/>
      <c r="H622" s="702"/>
      <c r="I622" s="702"/>
      <c r="J622" s="702"/>
      <c r="K622" s="702"/>
      <c r="L622" s="702"/>
      <c r="M622" s="702"/>
      <c r="N622" s="702"/>
      <c r="O622" s="702"/>
      <c r="P622" s="702"/>
      <c r="Q622" s="702"/>
      <c r="R622" s="702"/>
      <c r="S622" s="702"/>
      <c r="T622" s="702"/>
      <c r="U622" s="702"/>
      <c r="V622" s="702"/>
      <c r="W622" s="702"/>
      <c r="X622" s="702"/>
      <c r="Y622" s="702"/>
      <c r="Z622" s="702"/>
      <c r="AA622" s="702"/>
      <c r="AB622" s="702"/>
      <c r="AC622" s="702"/>
    </row>
    <row r="623" ht="15.75" customHeight="1">
      <c r="A623" s="702"/>
      <c r="B623" s="702"/>
      <c r="C623" s="702"/>
      <c r="D623" s="702"/>
      <c r="E623" s="702"/>
      <c r="F623" s="702"/>
      <c r="G623" s="702"/>
      <c r="H623" s="702"/>
      <c r="I623" s="702"/>
      <c r="J623" s="702"/>
      <c r="K623" s="702"/>
      <c r="L623" s="702"/>
      <c r="M623" s="702"/>
      <c r="N623" s="702"/>
      <c r="O623" s="702"/>
      <c r="P623" s="702"/>
      <c r="Q623" s="702"/>
      <c r="R623" s="702"/>
      <c r="S623" s="702"/>
      <c r="T623" s="702"/>
      <c r="U623" s="702"/>
      <c r="V623" s="702"/>
      <c r="W623" s="702"/>
      <c r="X623" s="702"/>
      <c r="Y623" s="702"/>
      <c r="Z623" s="702"/>
      <c r="AA623" s="702"/>
      <c r="AB623" s="702"/>
      <c r="AC623" s="702"/>
    </row>
    <row r="624" ht="15.75" customHeight="1">
      <c r="A624" s="702"/>
      <c r="B624" s="702"/>
      <c r="C624" s="702"/>
      <c r="D624" s="702"/>
      <c r="E624" s="702"/>
      <c r="F624" s="702"/>
      <c r="G624" s="702"/>
      <c r="H624" s="702"/>
      <c r="I624" s="702"/>
      <c r="J624" s="702"/>
      <c r="K624" s="702"/>
      <c r="L624" s="702"/>
      <c r="M624" s="702"/>
      <c r="N624" s="702"/>
      <c r="O624" s="702"/>
      <c r="P624" s="702"/>
      <c r="Q624" s="702"/>
      <c r="R624" s="702"/>
      <c r="S624" s="702"/>
      <c r="T624" s="702"/>
      <c r="U624" s="702"/>
      <c r="V624" s="702"/>
      <c r="W624" s="702"/>
      <c r="X624" s="702"/>
      <c r="Y624" s="702"/>
      <c r="Z624" s="702"/>
      <c r="AA624" s="702"/>
      <c r="AB624" s="702"/>
      <c r="AC624" s="702"/>
    </row>
    <row r="625" ht="15.75" customHeight="1">
      <c r="A625" s="702"/>
      <c r="B625" s="702"/>
      <c r="C625" s="702"/>
      <c r="D625" s="702"/>
      <c r="E625" s="702"/>
      <c r="F625" s="702"/>
      <c r="G625" s="702"/>
      <c r="H625" s="702"/>
      <c r="I625" s="702"/>
      <c r="J625" s="702"/>
      <c r="K625" s="702"/>
      <c r="L625" s="702"/>
      <c r="M625" s="702"/>
      <c r="N625" s="702"/>
      <c r="O625" s="702"/>
      <c r="P625" s="702"/>
      <c r="Q625" s="702"/>
      <c r="R625" s="702"/>
      <c r="S625" s="702"/>
      <c r="T625" s="702"/>
      <c r="U625" s="702"/>
      <c r="V625" s="702"/>
      <c r="W625" s="702"/>
      <c r="X625" s="702"/>
      <c r="Y625" s="702"/>
      <c r="Z625" s="702"/>
      <c r="AA625" s="702"/>
      <c r="AB625" s="702"/>
      <c r="AC625" s="702"/>
    </row>
    <row r="626" ht="15.75" customHeight="1">
      <c r="A626" s="702"/>
      <c r="B626" s="702"/>
      <c r="C626" s="702"/>
      <c r="D626" s="702"/>
      <c r="E626" s="702"/>
      <c r="F626" s="702"/>
      <c r="G626" s="702"/>
      <c r="H626" s="702"/>
      <c r="I626" s="702"/>
      <c r="J626" s="702"/>
      <c r="K626" s="702"/>
      <c r="L626" s="702"/>
      <c r="M626" s="702"/>
      <c r="N626" s="702"/>
      <c r="O626" s="702"/>
      <c r="P626" s="702"/>
      <c r="Q626" s="702"/>
      <c r="R626" s="702"/>
      <c r="S626" s="702"/>
      <c r="T626" s="702"/>
      <c r="U626" s="702"/>
      <c r="V626" s="702"/>
      <c r="W626" s="702"/>
      <c r="X626" s="702"/>
      <c r="Y626" s="702"/>
      <c r="Z626" s="702"/>
      <c r="AA626" s="702"/>
      <c r="AB626" s="702"/>
      <c r="AC626" s="702"/>
    </row>
    <row r="627" ht="15.75" customHeight="1">
      <c r="A627" s="702"/>
      <c r="B627" s="702"/>
      <c r="C627" s="702"/>
      <c r="D627" s="702"/>
      <c r="E627" s="702"/>
      <c r="F627" s="702"/>
      <c r="G627" s="702"/>
      <c r="H627" s="702"/>
      <c r="I627" s="702"/>
      <c r="J627" s="702"/>
      <c r="K627" s="702"/>
      <c r="L627" s="702"/>
      <c r="M627" s="702"/>
      <c r="N627" s="702"/>
      <c r="O627" s="702"/>
      <c r="P627" s="702"/>
      <c r="Q627" s="702"/>
      <c r="R627" s="702"/>
      <c r="S627" s="702"/>
      <c r="T627" s="702"/>
      <c r="U627" s="702"/>
      <c r="V627" s="702"/>
      <c r="W627" s="702"/>
      <c r="X627" s="702"/>
      <c r="Y627" s="702"/>
      <c r="Z627" s="702"/>
      <c r="AA627" s="702"/>
      <c r="AB627" s="702"/>
      <c r="AC627" s="702"/>
    </row>
    <row r="628" ht="15.75" customHeight="1">
      <c r="A628" s="702"/>
      <c r="B628" s="702"/>
      <c r="C628" s="702"/>
      <c r="D628" s="702"/>
      <c r="E628" s="702"/>
      <c r="F628" s="702"/>
      <c r="G628" s="702"/>
      <c r="H628" s="702"/>
      <c r="I628" s="702"/>
      <c r="J628" s="702"/>
      <c r="K628" s="702"/>
      <c r="L628" s="702"/>
      <c r="M628" s="702"/>
      <c r="N628" s="702"/>
      <c r="O628" s="702"/>
      <c r="P628" s="702"/>
      <c r="Q628" s="702"/>
      <c r="R628" s="702"/>
      <c r="S628" s="702"/>
      <c r="T628" s="702"/>
      <c r="U628" s="702"/>
      <c r="V628" s="702"/>
      <c r="W628" s="702"/>
      <c r="X628" s="702"/>
      <c r="Y628" s="702"/>
      <c r="Z628" s="702"/>
      <c r="AA628" s="702"/>
      <c r="AB628" s="702"/>
      <c r="AC628" s="702"/>
    </row>
    <row r="629" ht="15.75" customHeight="1">
      <c r="A629" s="702"/>
      <c r="B629" s="702"/>
      <c r="C629" s="702"/>
      <c r="D629" s="702"/>
      <c r="E629" s="702"/>
      <c r="F629" s="702"/>
      <c r="G629" s="702"/>
      <c r="H629" s="702"/>
      <c r="I629" s="702"/>
      <c r="J629" s="702"/>
      <c r="K629" s="702"/>
      <c r="L629" s="702"/>
      <c r="M629" s="702"/>
      <c r="N629" s="702"/>
      <c r="O629" s="702"/>
      <c r="P629" s="702"/>
      <c r="Q629" s="702"/>
      <c r="R629" s="702"/>
      <c r="S629" s="702"/>
      <c r="T629" s="702"/>
      <c r="U629" s="702"/>
      <c r="V629" s="702"/>
      <c r="W629" s="702"/>
      <c r="X629" s="702"/>
      <c r="Y629" s="702"/>
      <c r="Z629" s="702"/>
      <c r="AA629" s="702"/>
      <c r="AB629" s="702"/>
      <c r="AC629" s="702"/>
    </row>
    <row r="630" ht="15.75" customHeight="1">
      <c r="A630" s="702"/>
      <c r="B630" s="702"/>
      <c r="C630" s="702"/>
      <c r="D630" s="702"/>
      <c r="E630" s="702"/>
      <c r="F630" s="702"/>
      <c r="G630" s="702"/>
      <c r="H630" s="702"/>
      <c r="I630" s="702"/>
      <c r="J630" s="702"/>
      <c r="K630" s="702"/>
      <c r="L630" s="702"/>
      <c r="M630" s="702"/>
      <c r="N630" s="702"/>
      <c r="O630" s="702"/>
      <c r="P630" s="702"/>
      <c r="Q630" s="702"/>
      <c r="R630" s="702"/>
      <c r="S630" s="702"/>
      <c r="T630" s="702"/>
      <c r="U630" s="702"/>
      <c r="V630" s="702"/>
      <c r="W630" s="702"/>
      <c r="X630" s="702"/>
      <c r="Y630" s="702"/>
      <c r="Z630" s="702"/>
      <c r="AA630" s="702"/>
      <c r="AB630" s="702"/>
      <c r="AC630" s="702"/>
    </row>
    <row r="631" ht="15.75" customHeight="1">
      <c r="A631" s="702"/>
      <c r="B631" s="702"/>
      <c r="C631" s="702"/>
      <c r="D631" s="702"/>
      <c r="E631" s="702"/>
      <c r="F631" s="702"/>
      <c r="G631" s="702"/>
      <c r="H631" s="702"/>
      <c r="I631" s="702"/>
      <c r="J631" s="702"/>
      <c r="K631" s="702"/>
      <c r="L631" s="702"/>
      <c r="M631" s="702"/>
      <c r="N631" s="702"/>
      <c r="O631" s="702"/>
      <c r="P631" s="702"/>
      <c r="Q631" s="702"/>
      <c r="R631" s="702"/>
      <c r="S631" s="702"/>
      <c r="T631" s="702"/>
      <c r="U631" s="702"/>
      <c r="V631" s="702"/>
      <c r="W631" s="702"/>
      <c r="X631" s="702"/>
      <c r="Y631" s="702"/>
      <c r="Z631" s="702"/>
      <c r="AA631" s="702"/>
      <c r="AB631" s="702"/>
      <c r="AC631" s="702"/>
    </row>
    <row r="632" ht="15.75" customHeight="1">
      <c r="A632" s="702"/>
      <c r="B632" s="702"/>
      <c r="C632" s="702"/>
      <c r="D632" s="702"/>
      <c r="E632" s="702"/>
      <c r="F632" s="702"/>
      <c r="G632" s="702"/>
      <c r="H632" s="702"/>
      <c r="I632" s="702"/>
      <c r="J632" s="702"/>
      <c r="K632" s="702"/>
      <c r="L632" s="702"/>
      <c r="M632" s="702"/>
      <c r="N632" s="702"/>
      <c r="O632" s="702"/>
      <c r="P632" s="702"/>
      <c r="Q632" s="702"/>
      <c r="R632" s="702"/>
      <c r="S632" s="702"/>
      <c r="T632" s="702"/>
      <c r="U632" s="702"/>
      <c r="V632" s="702"/>
      <c r="W632" s="702"/>
      <c r="X632" s="702"/>
      <c r="Y632" s="702"/>
      <c r="Z632" s="702"/>
      <c r="AA632" s="702"/>
      <c r="AB632" s="702"/>
      <c r="AC632" s="702"/>
    </row>
    <row r="633" ht="15.75" customHeight="1">
      <c r="A633" s="702"/>
      <c r="B633" s="702"/>
      <c r="C633" s="702"/>
      <c r="D633" s="702"/>
      <c r="E633" s="702"/>
      <c r="F633" s="702"/>
      <c r="G633" s="702"/>
      <c r="H633" s="702"/>
      <c r="I633" s="702"/>
      <c r="J633" s="702"/>
      <c r="K633" s="702"/>
      <c r="L633" s="702"/>
      <c r="M633" s="702"/>
      <c r="N633" s="702"/>
      <c r="O633" s="702"/>
      <c r="P633" s="702"/>
      <c r="Q633" s="702"/>
      <c r="R633" s="702"/>
      <c r="S633" s="702"/>
      <c r="T633" s="702"/>
      <c r="U633" s="702"/>
      <c r="V633" s="702"/>
      <c r="W633" s="702"/>
      <c r="X633" s="702"/>
      <c r="Y633" s="702"/>
      <c r="Z633" s="702"/>
      <c r="AA633" s="702"/>
      <c r="AB633" s="702"/>
      <c r="AC633" s="702"/>
    </row>
    <row r="634" ht="15.75" customHeight="1">
      <c r="A634" s="702"/>
      <c r="B634" s="702"/>
      <c r="C634" s="702"/>
      <c r="D634" s="702"/>
      <c r="E634" s="702"/>
      <c r="F634" s="702"/>
      <c r="G634" s="702"/>
      <c r="H634" s="702"/>
      <c r="I634" s="702"/>
      <c r="J634" s="702"/>
      <c r="K634" s="702"/>
      <c r="L634" s="702"/>
      <c r="M634" s="702"/>
      <c r="N634" s="702"/>
      <c r="O634" s="702"/>
      <c r="P634" s="702"/>
      <c r="Q634" s="702"/>
      <c r="R634" s="702"/>
      <c r="S634" s="702"/>
      <c r="T634" s="702"/>
      <c r="U634" s="702"/>
      <c r="V634" s="702"/>
      <c r="W634" s="702"/>
      <c r="X634" s="702"/>
      <c r="Y634" s="702"/>
      <c r="Z634" s="702"/>
      <c r="AA634" s="702"/>
      <c r="AB634" s="702"/>
      <c r="AC634" s="702"/>
    </row>
    <row r="635" ht="15.75" customHeight="1">
      <c r="A635" s="702"/>
      <c r="B635" s="702"/>
      <c r="C635" s="702"/>
      <c r="D635" s="702"/>
      <c r="E635" s="702"/>
      <c r="F635" s="702"/>
      <c r="G635" s="702"/>
      <c r="H635" s="702"/>
      <c r="I635" s="702"/>
      <c r="J635" s="702"/>
      <c r="K635" s="702"/>
      <c r="L635" s="702"/>
      <c r="M635" s="702"/>
      <c r="N635" s="702"/>
      <c r="O635" s="702"/>
      <c r="P635" s="702"/>
      <c r="Q635" s="702"/>
      <c r="R635" s="702"/>
      <c r="S635" s="702"/>
      <c r="T635" s="702"/>
      <c r="U635" s="702"/>
      <c r="V635" s="702"/>
      <c r="W635" s="702"/>
      <c r="X635" s="702"/>
      <c r="Y635" s="702"/>
      <c r="Z635" s="702"/>
      <c r="AA635" s="702"/>
      <c r="AB635" s="702"/>
      <c r="AC635" s="702"/>
    </row>
    <row r="636" ht="15.75" customHeight="1">
      <c r="A636" s="702"/>
      <c r="B636" s="702"/>
      <c r="C636" s="702"/>
      <c r="D636" s="702"/>
      <c r="E636" s="702"/>
      <c r="F636" s="702"/>
      <c r="G636" s="702"/>
      <c r="H636" s="702"/>
      <c r="I636" s="702"/>
      <c r="J636" s="702"/>
      <c r="K636" s="702"/>
      <c r="L636" s="702"/>
      <c r="M636" s="702"/>
      <c r="N636" s="702"/>
      <c r="O636" s="702"/>
      <c r="P636" s="702"/>
      <c r="Q636" s="702"/>
      <c r="R636" s="702"/>
      <c r="S636" s="702"/>
      <c r="T636" s="702"/>
      <c r="U636" s="702"/>
      <c r="V636" s="702"/>
      <c r="W636" s="702"/>
      <c r="X636" s="702"/>
      <c r="Y636" s="702"/>
      <c r="Z636" s="702"/>
      <c r="AA636" s="702"/>
      <c r="AB636" s="702"/>
      <c r="AC636" s="702"/>
    </row>
    <row r="637" ht="15.75" customHeight="1">
      <c r="A637" s="702"/>
      <c r="B637" s="702"/>
      <c r="C637" s="702"/>
      <c r="D637" s="702"/>
      <c r="E637" s="702"/>
      <c r="F637" s="702"/>
      <c r="G637" s="702"/>
      <c r="H637" s="702"/>
      <c r="I637" s="702"/>
      <c r="J637" s="702"/>
      <c r="K637" s="702"/>
      <c r="L637" s="702"/>
      <c r="M637" s="702"/>
      <c r="N637" s="702"/>
      <c r="O637" s="702"/>
      <c r="P637" s="702"/>
      <c r="Q637" s="702"/>
      <c r="R637" s="702"/>
      <c r="S637" s="702"/>
      <c r="T637" s="702"/>
      <c r="U637" s="702"/>
      <c r="V637" s="702"/>
      <c r="W637" s="702"/>
      <c r="X637" s="702"/>
      <c r="Y637" s="702"/>
      <c r="Z637" s="702"/>
      <c r="AA637" s="702"/>
      <c r="AB637" s="702"/>
      <c r="AC637" s="702"/>
    </row>
    <row r="638" ht="15.75" customHeight="1">
      <c r="A638" s="702"/>
      <c r="B638" s="702"/>
      <c r="C638" s="702"/>
      <c r="D638" s="702"/>
      <c r="E638" s="702"/>
      <c r="F638" s="702"/>
      <c r="G638" s="702"/>
      <c r="H638" s="702"/>
      <c r="I638" s="702"/>
      <c r="J638" s="702"/>
      <c r="K638" s="702"/>
      <c r="L638" s="702"/>
      <c r="M638" s="702"/>
      <c r="N638" s="702"/>
      <c r="O638" s="702"/>
      <c r="P638" s="702"/>
      <c r="Q638" s="702"/>
      <c r="R638" s="702"/>
      <c r="S638" s="702"/>
      <c r="T638" s="702"/>
      <c r="U638" s="702"/>
      <c r="V638" s="702"/>
      <c r="W638" s="702"/>
      <c r="X638" s="702"/>
      <c r="Y638" s="702"/>
      <c r="Z638" s="702"/>
      <c r="AA638" s="702"/>
      <c r="AB638" s="702"/>
      <c r="AC638" s="702"/>
    </row>
    <row r="639" ht="15.75" customHeight="1">
      <c r="A639" s="702"/>
      <c r="B639" s="702"/>
      <c r="C639" s="702"/>
      <c r="D639" s="702"/>
      <c r="E639" s="702"/>
      <c r="F639" s="702"/>
      <c r="G639" s="702"/>
      <c r="H639" s="702"/>
      <c r="I639" s="702"/>
      <c r="J639" s="702"/>
      <c r="K639" s="702"/>
      <c r="L639" s="702"/>
      <c r="M639" s="702"/>
      <c r="N639" s="702"/>
      <c r="O639" s="702"/>
      <c r="P639" s="702"/>
      <c r="Q639" s="702"/>
      <c r="R639" s="702"/>
      <c r="S639" s="702"/>
      <c r="T639" s="702"/>
      <c r="U639" s="702"/>
      <c r="V639" s="702"/>
      <c r="W639" s="702"/>
      <c r="X639" s="702"/>
      <c r="Y639" s="702"/>
      <c r="Z639" s="702"/>
      <c r="AA639" s="702"/>
      <c r="AB639" s="702"/>
      <c r="AC639" s="702"/>
    </row>
    <row r="640" ht="15.75" customHeight="1">
      <c r="A640" s="702"/>
      <c r="B640" s="702"/>
      <c r="C640" s="702"/>
      <c r="D640" s="702"/>
      <c r="E640" s="702"/>
      <c r="F640" s="702"/>
      <c r="G640" s="702"/>
      <c r="H640" s="702"/>
      <c r="I640" s="702"/>
      <c r="J640" s="702"/>
      <c r="K640" s="702"/>
      <c r="L640" s="702"/>
      <c r="M640" s="702"/>
      <c r="N640" s="702"/>
      <c r="O640" s="702"/>
      <c r="P640" s="702"/>
      <c r="Q640" s="702"/>
      <c r="R640" s="702"/>
      <c r="S640" s="702"/>
      <c r="T640" s="702"/>
      <c r="U640" s="702"/>
      <c r="V640" s="702"/>
      <c r="W640" s="702"/>
      <c r="X640" s="702"/>
      <c r="Y640" s="702"/>
      <c r="Z640" s="702"/>
      <c r="AA640" s="702"/>
      <c r="AB640" s="702"/>
      <c r="AC640" s="702"/>
    </row>
    <row r="641" ht="15.75" customHeight="1">
      <c r="A641" s="702"/>
      <c r="B641" s="702"/>
      <c r="C641" s="702"/>
      <c r="D641" s="702"/>
      <c r="E641" s="702"/>
      <c r="F641" s="702"/>
      <c r="G641" s="702"/>
      <c r="H641" s="702"/>
      <c r="I641" s="702"/>
      <c r="J641" s="702"/>
      <c r="K641" s="702"/>
      <c r="L641" s="702"/>
      <c r="M641" s="702"/>
      <c r="N641" s="702"/>
      <c r="O641" s="702"/>
      <c r="P641" s="702"/>
      <c r="Q641" s="702"/>
      <c r="R641" s="702"/>
      <c r="S641" s="702"/>
      <c r="T641" s="702"/>
      <c r="U641" s="702"/>
      <c r="V641" s="702"/>
      <c r="W641" s="702"/>
      <c r="X641" s="702"/>
      <c r="Y641" s="702"/>
      <c r="Z641" s="702"/>
      <c r="AA641" s="702"/>
      <c r="AB641" s="702"/>
      <c r="AC641" s="702"/>
    </row>
    <row r="642" ht="15.75" customHeight="1">
      <c r="A642" s="702"/>
      <c r="B642" s="702"/>
      <c r="C642" s="702"/>
      <c r="D642" s="702"/>
      <c r="E642" s="702"/>
      <c r="F642" s="702"/>
      <c r="G642" s="702"/>
      <c r="H642" s="702"/>
      <c r="I642" s="702"/>
      <c r="J642" s="702"/>
      <c r="K642" s="702"/>
      <c r="L642" s="702"/>
      <c r="M642" s="702"/>
      <c r="N642" s="702"/>
      <c r="O642" s="702"/>
      <c r="P642" s="702"/>
      <c r="Q642" s="702"/>
      <c r="R642" s="702"/>
      <c r="S642" s="702"/>
      <c r="T642" s="702"/>
      <c r="U642" s="702"/>
      <c r="V642" s="702"/>
      <c r="W642" s="702"/>
      <c r="X642" s="702"/>
      <c r="Y642" s="702"/>
      <c r="Z642" s="702"/>
      <c r="AA642" s="702"/>
      <c r="AB642" s="702"/>
      <c r="AC642" s="702"/>
    </row>
    <row r="643" ht="15.75" customHeight="1">
      <c r="A643" s="702"/>
      <c r="B643" s="702"/>
      <c r="C643" s="702"/>
      <c r="D643" s="702"/>
      <c r="E643" s="702"/>
      <c r="F643" s="702"/>
      <c r="G643" s="702"/>
      <c r="H643" s="702"/>
      <c r="I643" s="702"/>
      <c r="J643" s="702"/>
      <c r="K643" s="702"/>
      <c r="L643" s="702"/>
      <c r="M643" s="702"/>
      <c r="N643" s="702"/>
      <c r="O643" s="702"/>
      <c r="P643" s="702"/>
      <c r="Q643" s="702"/>
      <c r="R643" s="702"/>
      <c r="S643" s="702"/>
      <c r="T643" s="702"/>
      <c r="U643" s="702"/>
      <c r="V643" s="702"/>
      <c r="W643" s="702"/>
      <c r="X643" s="702"/>
      <c r="Y643" s="702"/>
      <c r="Z643" s="702"/>
      <c r="AA643" s="702"/>
      <c r="AB643" s="702"/>
      <c r="AC643" s="702"/>
    </row>
    <row r="644" ht="15.75" customHeight="1">
      <c r="A644" s="702"/>
      <c r="B644" s="702"/>
      <c r="C644" s="702"/>
      <c r="D644" s="702"/>
      <c r="E644" s="702"/>
      <c r="F644" s="702"/>
      <c r="G644" s="702"/>
      <c r="H644" s="702"/>
      <c r="I644" s="702"/>
      <c r="J644" s="702"/>
      <c r="K644" s="702"/>
      <c r="L644" s="702"/>
      <c r="M644" s="702"/>
      <c r="N644" s="702"/>
      <c r="O644" s="702"/>
      <c r="P644" s="702"/>
      <c r="Q644" s="702"/>
      <c r="R644" s="702"/>
      <c r="S644" s="702"/>
      <c r="T644" s="702"/>
      <c r="U644" s="702"/>
      <c r="V644" s="702"/>
      <c r="W644" s="702"/>
      <c r="X644" s="702"/>
      <c r="Y644" s="702"/>
      <c r="Z644" s="702"/>
      <c r="AA644" s="702"/>
      <c r="AB644" s="702"/>
      <c r="AC644" s="702"/>
    </row>
    <row r="645" ht="15.75" customHeight="1">
      <c r="A645" s="702"/>
      <c r="B645" s="702"/>
      <c r="C645" s="702"/>
      <c r="D645" s="702"/>
      <c r="E645" s="702"/>
      <c r="F645" s="702"/>
      <c r="G645" s="702"/>
      <c r="H645" s="702"/>
      <c r="I645" s="702"/>
      <c r="J645" s="702"/>
      <c r="K645" s="702"/>
      <c r="L645" s="702"/>
      <c r="M645" s="702"/>
      <c r="N645" s="702"/>
      <c r="O645" s="702"/>
      <c r="P645" s="702"/>
      <c r="Q645" s="702"/>
      <c r="R645" s="702"/>
      <c r="S645" s="702"/>
      <c r="T645" s="702"/>
      <c r="U645" s="702"/>
      <c r="V645" s="702"/>
      <c r="W645" s="702"/>
      <c r="X645" s="702"/>
      <c r="Y645" s="702"/>
      <c r="Z645" s="702"/>
      <c r="AA645" s="702"/>
      <c r="AB645" s="702"/>
      <c r="AC645" s="702"/>
    </row>
    <row r="646" ht="15.75" customHeight="1">
      <c r="A646" s="702"/>
      <c r="B646" s="702"/>
      <c r="C646" s="702"/>
      <c r="D646" s="702"/>
      <c r="E646" s="702"/>
      <c r="F646" s="702"/>
      <c r="G646" s="702"/>
      <c r="H646" s="702"/>
      <c r="I646" s="702"/>
      <c r="J646" s="702"/>
      <c r="K646" s="702"/>
      <c r="L646" s="702"/>
      <c r="M646" s="702"/>
      <c r="N646" s="702"/>
      <c r="O646" s="702"/>
      <c r="P646" s="702"/>
      <c r="Q646" s="702"/>
      <c r="R646" s="702"/>
      <c r="S646" s="702"/>
      <c r="T646" s="702"/>
      <c r="U646" s="702"/>
      <c r="V646" s="702"/>
      <c r="W646" s="702"/>
      <c r="X646" s="702"/>
      <c r="Y646" s="702"/>
      <c r="Z646" s="702"/>
      <c r="AA646" s="702"/>
      <c r="AB646" s="702"/>
      <c r="AC646" s="702"/>
    </row>
    <row r="647" ht="15.75" customHeight="1">
      <c r="A647" s="702"/>
      <c r="B647" s="702"/>
      <c r="C647" s="702"/>
      <c r="D647" s="702"/>
      <c r="E647" s="702"/>
      <c r="F647" s="702"/>
      <c r="G647" s="702"/>
      <c r="H647" s="702"/>
      <c r="I647" s="702"/>
      <c r="J647" s="702"/>
      <c r="K647" s="702"/>
      <c r="L647" s="702"/>
      <c r="M647" s="702"/>
      <c r="N647" s="702"/>
      <c r="O647" s="702"/>
      <c r="P647" s="702"/>
      <c r="Q647" s="702"/>
      <c r="R647" s="702"/>
      <c r="S647" s="702"/>
      <c r="T647" s="702"/>
      <c r="U647" s="702"/>
      <c r="V647" s="702"/>
      <c r="W647" s="702"/>
      <c r="X647" s="702"/>
      <c r="Y647" s="702"/>
      <c r="Z647" s="702"/>
      <c r="AA647" s="702"/>
      <c r="AB647" s="702"/>
      <c r="AC647" s="702"/>
    </row>
    <row r="648" ht="15.75" customHeight="1">
      <c r="A648" s="702"/>
      <c r="B648" s="702"/>
      <c r="C648" s="702"/>
      <c r="D648" s="702"/>
      <c r="E648" s="702"/>
      <c r="F648" s="702"/>
      <c r="G648" s="702"/>
      <c r="H648" s="702"/>
      <c r="I648" s="702"/>
      <c r="J648" s="702"/>
      <c r="K648" s="702"/>
      <c r="L648" s="702"/>
      <c r="M648" s="702"/>
      <c r="N648" s="702"/>
      <c r="O648" s="702"/>
      <c r="P648" s="702"/>
      <c r="Q648" s="702"/>
      <c r="R648" s="702"/>
      <c r="S648" s="702"/>
      <c r="T648" s="702"/>
      <c r="U648" s="702"/>
      <c r="V648" s="702"/>
      <c r="W648" s="702"/>
      <c r="X648" s="702"/>
      <c r="Y648" s="702"/>
      <c r="Z648" s="702"/>
      <c r="AA648" s="702"/>
      <c r="AB648" s="702"/>
      <c r="AC648" s="702"/>
    </row>
    <row r="649" ht="15.75" customHeight="1">
      <c r="A649" s="702"/>
      <c r="B649" s="702"/>
      <c r="C649" s="702"/>
      <c r="D649" s="702"/>
      <c r="E649" s="702"/>
      <c r="F649" s="702"/>
      <c r="G649" s="702"/>
      <c r="H649" s="702"/>
      <c r="I649" s="702"/>
      <c r="J649" s="702"/>
      <c r="K649" s="702"/>
      <c r="L649" s="702"/>
      <c r="M649" s="702"/>
      <c r="N649" s="702"/>
      <c r="O649" s="702"/>
      <c r="P649" s="702"/>
      <c r="Q649" s="702"/>
      <c r="R649" s="702"/>
      <c r="S649" s="702"/>
      <c r="T649" s="702"/>
      <c r="U649" s="702"/>
      <c r="V649" s="702"/>
      <c r="W649" s="702"/>
      <c r="X649" s="702"/>
      <c r="Y649" s="702"/>
      <c r="Z649" s="702"/>
      <c r="AA649" s="702"/>
      <c r="AB649" s="702"/>
      <c r="AC649" s="702"/>
    </row>
    <row r="650" ht="15.75" customHeight="1">
      <c r="A650" s="702"/>
      <c r="B650" s="702"/>
      <c r="C650" s="702"/>
      <c r="D650" s="702"/>
      <c r="E650" s="702"/>
      <c r="F650" s="702"/>
      <c r="G650" s="702"/>
      <c r="H650" s="702"/>
      <c r="I650" s="702"/>
      <c r="J650" s="702"/>
      <c r="K650" s="702"/>
      <c r="L650" s="702"/>
      <c r="M650" s="702"/>
      <c r="N650" s="702"/>
      <c r="O650" s="702"/>
      <c r="P650" s="702"/>
      <c r="Q650" s="702"/>
      <c r="R650" s="702"/>
      <c r="S650" s="702"/>
      <c r="T650" s="702"/>
      <c r="U650" s="702"/>
      <c r="V650" s="702"/>
      <c r="W650" s="702"/>
      <c r="X650" s="702"/>
      <c r="Y650" s="702"/>
      <c r="Z650" s="702"/>
      <c r="AA650" s="702"/>
      <c r="AB650" s="702"/>
      <c r="AC650" s="702"/>
    </row>
    <row r="651" ht="15.75" customHeight="1">
      <c r="A651" s="702"/>
      <c r="B651" s="702"/>
      <c r="C651" s="702"/>
      <c r="D651" s="702"/>
      <c r="E651" s="702"/>
      <c r="F651" s="702"/>
      <c r="G651" s="702"/>
      <c r="H651" s="702"/>
      <c r="I651" s="702"/>
      <c r="J651" s="702"/>
      <c r="K651" s="702"/>
      <c r="L651" s="702"/>
      <c r="M651" s="702"/>
      <c r="N651" s="702"/>
      <c r="O651" s="702"/>
      <c r="P651" s="702"/>
      <c r="Q651" s="702"/>
      <c r="R651" s="702"/>
      <c r="S651" s="702"/>
      <c r="T651" s="702"/>
      <c r="U651" s="702"/>
      <c r="V651" s="702"/>
      <c r="W651" s="702"/>
      <c r="X651" s="702"/>
      <c r="Y651" s="702"/>
      <c r="Z651" s="702"/>
      <c r="AA651" s="702"/>
      <c r="AB651" s="702"/>
      <c r="AC651" s="702"/>
    </row>
    <row r="652" ht="15.75" customHeight="1">
      <c r="A652" s="702"/>
      <c r="B652" s="702"/>
      <c r="C652" s="702"/>
      <c r="D652" s="702"/>
      <c r="E652" s="702"/>
      <c r="F652" s="702"/>
      <c r="G652" s="702"/>
      <c r="H652" s="702"/>
      <c r="I652" s="702"/>
      <c r="J652" s="702"/>
      <c r="K652" s="702"/>
      <c r="L652" s="702"/>
      <c r="M652" s="702"/>
      <c r="N652" s="702"/>
      <c r="O652" s="702"/>
      <c r="P652" s="702"/>
      <c r="Q652" s="702"/>
      <c r="R652" s="702"/>
      <c r="S652" s="702"/>
      <c r="T652" s="702"/>
      <c r="U652" s="702"/>
      <c r="V652" s="702"/>
      <c r="W652" s="702"/>
      <c r="X652" s="702"/>
      <c r="Y652" s="702"/>
      <c r="Z652" s="702"/>
      <c r="AA652" s="702"/>
      <c r="AB652" s="702"/>
      <c r="AC652" s="702"/>
    </row>
    <row r="653" ht="15.75" customHeight="1">
      <c r="A653" s="702"/>
      <c r="B653" s="702"/>
      <c r="C653" s="702"/>
      <c r="D653" s="702"/>
      <c r="E653" s="702"/>
      <c r="F653" s="702"/>
      <c r="G653" s="702"/>
      <c r="H653" s="702"/>
      <c r="I653" s="702"/>
      <c r="J653" s="702"/>
      <c r="K653" s="702"/>
      <c r="L653" s="702"/>
      <c r="M653" s="702"/>
      <c r="N653" s="702"/>
      <c r="O653" s="702"/>
      <c r="P653" s="702"/>
      <c r="Q653" s="702"/>
      <c r="R653" s="702"/>
      <c r="S653" s="702"/>
      <c r="T653" s="702"/>
      <c r="U653" s="702"/>
      <c r="V653" s="702"/>
      <c r="W653" s="702"/>
      <c r="X653" s="702"/>
      <c r="Y653" s="702"/>
      <c r="Z653" s="702"/>
      <c r="AA653" s="702"/>
      <c r="AB653" s="702"/>
      <c r="AC653" s="702"/>
    </row>
    <row r="654" ht="15.75" customHeight="1">
      <c r="A654" s="702"/>
      <c r="B654" s="702"/>
      <c r="C654" s="702"/>
      <c r="D654" s="702"/>
      <c r="E654" s="702"/>
      <c r="F654" s="702"/>
      <c r="G654" s="702"/>
      <c r="H654" s="702"/>
      <c r="I654" s="702"/>
      <c r="J654" s="702"/>
      <c r="K654" s="702"/>
      <c r="L654" s="702"/>
      <c r="M654" s="702"/>
      <c r="N654" s="702"/>
      <c r="O654" s="702"/>
      <c r="P654" s="702"/>
      <c r="Q654" s="702"/>
      <c r="R654" s="702"/>
      <c r="S654" s="702"/>
      <c r="T654" s="702"/>
      <c r="U654" s="702"/>
      <c r="V654" s="702"/>
      <c r="W654" s="702"/>
      <c r="X654" s="702"/>
      <c r="Y654" s="702"/>
      <c r="Z654" s="702"/>
      <c r="AA654" s="702"/>
      <c r="AB654" s="702"/>
      <c r="AC654" s="702"/>
    </row>
    <row r="655" ht="15.75" customHeight="1">
      <c r="A655" s="702"/>
      <c r="B655" s="702"/>
      <c r="C655" s="702"/>
      <c r="D655" s="702"/>
      <c r="E655" s="702"/>
      <c r="F655" s="702"/>
      <c r="G655" s="702"/>
      <c r="H655" s="702"/>
      <c r="I655" s="702"/>
      <c r="J655" s="702"/>
      <c r="K655" s="702"/>
      <c r="L655" s="702"/>
      <c r="M655" s="702"/>
      <c r="N655" s="702"/>
      <c r="O655" s="702"/>
      <c r="P655" s="702"/>
      <c r="Q655" s="702"/>
      <c r="R655" s="702"/>
      <c r="S655" s="702"/>
      <c r="T655" s="702"/>
      <c r="U655" s="702"/>
      <c r="V655" s="702"/>
      <c r="W655" s="702"/>
      <c r="X655" s="702"/>
      <c r="Y655" s="702"/>
      <c r="Z655" s="702"/>
      <c r="AA655" s="702"/>
      <c r="AB655" s="702"/>
      <c r="AC655" s="702"/>
    </row>
    <row r="656" ht="15.75" customHeight="1">
      <c r="A656" s="702"/>
      <c r="B656" s="702"/>
      <c r="C656" s="702"/>
      <c r="D656" s="702"/>
      <c r="E656" s="702"/>
      <c r="F656" s="702"/>
      <c r="G656" s="702"/>
      <c r="H656" s="702"/>
      <c r="I656" s="702"/>
      <c r="J656" s="702"/>
      <c r="K656" s="702"/>
      <c r="L656" s="702"/>
      <c r="M656" s="702"/>
      <c r="N656" s="702"/>
      <c r="O656" s="702"/>
      <c r="P656" s="702"/>
      <c r="Q656" s="702"/>
      <c r="R656" s="702"/>
      <c r="S656" s="702"/>
      <c r="T656" s="702"/>
      <c r="U656" s="702"/>
      <c r="V656" s="702"/>
      <c r="W656" s="702"/>
      <c r="X656" s="702"/>
      <c r="Y656" s="702"/>
      <c r="Z656" s="702"/>
      <c r="AA656" s="702"/>
      <c r="AB656" s="702"/>
      <c r="AC656" s="702"/>
    </row>
    <row r="657" ht="15.75" customHeight="1">
      <c r="A657" s="702"/>
      <c r="B657" s="702"/>
      <c r="C657" s="702"/>
      <c r="D657" s="702"/>
      <c r="E657" s="702"/>
      <c r="F657" s="702"/>
      <c r="G657" s="702"/>
      <c r="H657" s="702"/>
      <c r="I657" s="702"/>
      <c r="J657" s="702"/>
      <c r="K657" s="702"/>
      <c r="L657" s="702"/>
      <c r="M657" s="702"/>
      <c r="N657" s="702"/>
      <c r="O657" s="702"/>
      <c r="P657" s="702"/>
      <c r="Q657" s="702"/>
      <c r="R657" s="702"/>
      <c r="S657" s="702"/>
      <c r="T657" s="702"/>
      <c r="U657" s="702"/>
      <c r="V657" s="702"/>
      <c r="W657" s="702"/>
      <c r="X657" s="702"/>
      <c r="Y657" s="702"/>
      <c r="Z657" s="702"/>
      <c r="AA657" s="702"/>
      <c r="AB657" s="702"/>
      <c r="AC657" s="702"/>
    </row>
    <row r="658" ht="15.75" customHeight="1">
      <c r="A658" s="702"/>
      <c r="B658" s="702"/>
      <c r="C658" s="702"/>
      <c r="D658" s="702"/>
      <c r="E658" s="702"/>
      <c r="F658" s="702"/>
      <c r="G658" s="702"/>
      <c r="H658" s="702"/>
      <c r="I658" s="702"/>
      <c r="J658" s="702"/>
      <c r="K658" s="702"/>
      <c r="L658" s="702"/>
      <c r="M658" s="702"/>
      <c r="N658" s="702"/>
      <c r="O658" s="702"/>
      <c r="P658" s="702"/>
      <c r="Q658" s="702"/>
      <c r="R658" s="702"/>
      <c r="S658" s="702"/>
      <c r="T658" s="702"/>
      <c r="U658" s="702"/>
      <c r="V658" s="702"/>
      <c r="W658" s="702"/>
      <c r="X658" s="702"/>
      <c r="Y658" s="702"/>
      <c r="Z658" s="702"/>
      <c r="AA658" s="702"/>
      <c r="AB658" s="702"/>
      <c r="AC658" s="702"/>
    </row>
    <row r="659" ht="15.75" customHeight="1">
      <c r="A659" s="702"/>
      <c r="B659" s="702"/>
      <c r="C659" s="702"/>
      <c r="D659" s="702"/>
      <c r="E659" s="702"/>
      <c r="F659" s="702"/>
      <c r="G659" s="702"/>
      <c r="H659" s="702"/>
      <c r="I659" s="702"/>
      <c r="J659" s="702"/>
      <c r="K659" s="702"/>
      <c r="L659" s="702"/>
      <c r="M659" s="702"/>
      <c r="N659" s="702"/>
      <c r="O659" s="702"/>
      <c r="P659" s="702"/>
      <c r="Q659" s="702"/>
      <c r="R659" s="702"/>
      <c r="S659" s="702"/>
      <c r="T659" s="702"/>
      <c r="U659" s="702"/>
      <c r="V659" s="702"/>
      <c r="W659" s="702"/>
      <c r="X659" s="702"/>
      <c r="Y659" s="702"/>
      <c r="Z659" s="702"/>
      <c r="AA659" s="702"/>
      <c r="AB659" s="702"/>
      <c r="AC659" s="702"/>
    </row>
    <row r="660" ht="15.75" customHeight="1">
      <c r="A660" s="702"/>
      <c r="B660" s="702"/>
      <c r="C660" s="702"/>
      <c r="D660" s="702"/>
      <c r="E660" s="702"/>
      <c r="F660" s="702"/>
      <c r="G660" s="702"/>
      <c r="H660" s="702"/>
      <c r="I660" s="702"/>
      <c r="J660" s="702"/>
      <c r="K660" s="702"/>
      <c r="L660" s="702"/>
      <c r="M660" s="702"/>
      <c r="N660" s="702"/>
      <c r="O660" s="702"/>
      <c r="P660" s="702"/>
      <c r="Q660" s="702"/>
      <c r="R660" s="702"/>
      <c r="S660" s="702"/>
      <c r="T660" s="702"/>
      <c r="U660" s="702"/>
      <c r="V660" s="702"/>
      <c r="W660" s="702"/>
      <c r="X660" s="702"/>
      <c r="Y660" s="702"/>
      <c r="Z660" s="702"/>
      <c r="AA660" s="702"/>
      <c r="AB660" s="702"/>
      <c r="AC660" s="702"/>
    </row>
    <row r="661" ht="15.75" customHeight="1">
      <c r="A661" s="702"/>
      <c r="B661" s="702"/>
      <c r="C661" s="702"/>
      <c r="D661" s="702"/>
      <c r="E661" s="702"/>
      <c r="F661" s="702"/>
      <c r="G661" s="702"/>
      <c r="H661" s="702"/>
      <c r="I661" s="702"/>
      <c r="J661" s="702"/>
      <c r="K661" s="702"/>
      <c r="L661" s="702"/>
      <c r="M661" s="702"/>
      <c r="N661" s="702"/>
      <c r="O661" s="702"/>
      <c r="P661" s="702"/>
      <c r="Q661" s="702"/>
      <c r="R661" s="702"/>
      <c r="S661" s="702"/>
      <c r="T661" s="702"/>
      <c r="U661" s="702"/>
      <c r="V661" s="702"/>
      <c r="W661" s="702"/>
      <c r="X661" s="702"/>
      <c r="Y661" s="702"/>
      <c r="Z661" s="702"/>
      <c r="AA661" s="702"/>
      <c r="AB661" s="702"/>
      <c r="AC661" s="702"/>
    </row>
    <row r="662" ht="15.75" customHeight="1">
      <c r="A662" s="702"/>
      <c r="B662" s="702"/>
      <c r="C662" s="702"/>
      <c r="D662" s="702"/>
      <c r="E662" s="702"/>
      <c r="F662" s="702"/>
      <c r="G662" s="702"/>
      <c r="H662" s="702"/>
      <c r="I662" s="702"/>
      <c r="J662" s="702"/>
      <c r="K662" s="702"/>
      <c r="L662" s="702"/>
      <c r="M662" s="702"/>
      <c r="N662" s="702"/>
      <c r="O662" s="702"/>
      <c r="P662" s="702"/>
      <c r="Q662" s="702"/>
      <c r="R662" s="702"/>
      <c r="S662" s="702"/>
      <c r="T662" s="702"/>
      <c r="U662" s="702"/>
      <c r="V662" s="702"/>
      <c r="W662" s="702"/>
      <c r="X662" s="702"/>
      <c r="Y662" s="702"/>
      <c r="Z662" s="702"/>
      <c r="AA662" s="702"/>
      <c r="AB662" s="702"/>
      <c r="AC662" s="702"/>
    </row>
    <row r="663" ht="15.75" customHeight="1">
      <c r="A663" s="702"/>
      <c r="B663" s="702"/>
      <c r="C663" s="702"/>
      <c r="D663" s="702"/>
      <c r="E663" s="702"/>
      <c r="F663" s="702"/>
      <c r="G663" s="702"/>
      <c r="H663" s="702"/>
      <c r="I663" s="702"/>
      <c r="J663" s="702"/>
      <c r="K663" s="702"/>
      <c r="L663" s="702"/>
      <c r="M663" s="702"/>
      <c r="N663" s="702"/>
      <c r="O663" s="702"/>
      <c r="P663" s="702"/>
      <c r="Q663" s="702"/>
      <c r="R663" s="702"/>
      <c r="S663" s="702"/>
      <c r="T663" s="702"/>
      <c r="U663" s="702"/>
      <c r="V663" s="702"/>
      <c r="W663" s="702"/>
      <c r="X663" s="702"/>
      <c r="Y663" s="702"/>
      <c r="Z663" s="702"/>
      <c r="AA663" s="702"/>
      <c r="AB663" s="702"/>
      <c r="AC663" s="702"/>
    </row>
    <row r="664" ht="15.75" customHeight="1">
      <c r="A664" s="702"/>
      <c r="B664" s="702"/>
      <c r="C664" s="702"/>
      <c r="D664" s="702"/>
      <c r="E664" s="702"/>
      <c r="F664" s="702"/>
      <c r="G664" s="702"/>
      <c r="H664" s="702"/>
      <c r="I664" s="702"/>
      <c r="J664" s="702"/>
      <c r="K664" s="702"/>
      <c r="L664" s="702"/>
      <c r="M664" s="702"/>
      <c r="N664" s="702"/>
      <c r="O664" s="702"/>
      <c r="P664" s="702"/>
      <c r="Q664" s="702"/>
      <c r="R664" s="702"/>
      <c r="S664" s="702"/>
      <c r="T664" s="702"/>
      <c r="U664" s="702"/>
      <c r="V664" s="702"/>
      <c r="W664" s="702"/>
      <c r="X664" s="702"/>
      <c r="Y664" s="702"/>
      <c r="Z664" s="702"/>
      <c r="AA664" s="702"/>
      <c r="AB664" s="702"/>
      <c r="AC664" s="702"/>
    </row>
    <row r="665" ht="15.75" customHeight="1">
      <c r="A665" s="702"/>
      <c r="B665" s="702"/>
      <c r="C665" s="702"/>
      <c r="D665" s="702"/>
      <c r="E665" s="702"/>
      <c r="F665" s="702"/>
      <c r="G665" s="702"/>
      <c r="H665" s="702"/>
      <c r="I665" s="702"/>
      <c r="J665" s="702"/>
      <c r="K665" s="702"/>
      <c r="L665" s="702"/>
      <c r="M665" s="702"/>
      <c r="N665" s="702"/>
      <c r="O665" s="702"/>
      <c r="P665" s="702"/>
      <c r="Q665" s="702"/>
      <c r="R665" s="702"/>
      <c r="S665" s="702"/>
      <c r="T665" s="702"/>
      <c r="U665" s="702"/>
      <c r="V665" s="702"/>
      <c r="W665" s="702"/>
      <c r="X665" s="702"/>
      <c r="Y665" s="702"/>
      <c r="Z665" s="702"/>
      <c r="AA665" s="702"/>
      <c r="AB665" s="702"/>
      <c r="AC665" s="702"/>
    </row>
    <row r="666" ht="15.75" customHeight="1">
      <c r="A666" s="702"/>
      <c r="B666" s="702"/>
      <c r="C666" s="702"/>
      <c r="D666" s="702"/>
      <c r="E666" s="702"/>
      <c r="F666" s="702"/>
      <c r="G666" s="702"/>
      <c r="H666" s="702"/>
      <c r="I666" s="702"/>
      <c r="J666" s="702"/>
      <c r="K666" s="702"/>
      <c r="L666" s="702"/>
      <c r="M666" s="702"/>
      <c r="N666" s="702"/>
      <c r="O666" s="702"/>
      <c r="P666" s="702"/>
      <c r="Q666" s="702"/>
      <c r="R666" s="702"/>
      <c r="S666" s="702"/>
      <c r="T666" s="702"/>
      <c r="U666" s="702"/>
      <c r="V666" s="702"/>
      <c r="W666" s="702"/>
      <c r="X666" s="702"/>
      <c r="Y666" s="702"/>
      <c r="Z666" s="702"/>
      <c r="AA666" s="702"/>
      <c r="AB666" s="702"/>
      <c r="AC666" s="702"/>
    </row>
    <row r="667" ht="15.75" customHeight="1">
      <c r="A667" s="702"/>
      <c r="B667" s="702"/>
      <c r="C667" s="702"/>
      <c r="D667" s="702"/>
      <c r="E667" s="702"/>
      <c r="F667" s="702"/>
      <c r="G667" s="702"/>
      <c r="H667" s="702"/>
      <c r="I667" s="702"/>
      <c r="J667" s="702"/>
      <c r="K667" s="702"/>
      <c r="L667" s="702"/>
      <c r="M667" s="702"/>
      <c r="N667" s="702"/>
      <c r="O667" s="702"/>
      <c r="P667" s="702"/>
      <c r="Q667" s="702"/>
      <c r="R667" s="702"/>
      <c r="S667" s="702"/>
      <c r="T667" s="702"/>
      <c r="U667" s="702"/>
      <c r="V667" s="702"/>
      <c r="W667" s="702"/>
      <c r="X667" s="702"/>
      <c r="Y667" s="702"/>
      <c r="Z667" s="702"/>
      <c r="AA667" s="702"/>
      <c r="AB667" s="702"/>
      <c r="AC667" s="702"/>
    </row>
    <row r="668" ht="15.75" customHeight="1">
      <c r="A668" s="702"/>
      <c r="B668" s="702"/>
      <c r="C668" s="702"/>
      <c r="D668" s="702"/>
      <c r="E668" s="702"/>
      <c r="F668" s="702"/>
      <c r="G668" s="702"/>
      <c r="H668" s="702"/>
      <c r="I668" s="702"/>
      <c r="J668" s="702"/>
      <c r="K668" s="702"/>
      <c r="L668" s="702"/>
      <c r="M668" s="702"/>
      <c r="N668" s="702"/>
      <c r="O668" s="702"/>
      <c r="P668" s="702"/>
      <c r="Q668" s="702"/>
      <c r="R668" s="702"/>
      <c r="S668" s="702"/>
      <c r="T668" s="702"/>
      <c r="U668" s="702"/>
      <c r="V668" s="702"/>
      <c r="W668" s="702"/>
      <c r="X668" s="702"/>
      <c r="Y668" s="702"/>
      <c r="Z668" s="702"/>
      <c r="AA668" s="702"/>
      <c r="AB668" s="702"/>
      <c r="AC668" s="702"/>
    </row>
    <row r="669" ht="15.75" customHeight="1">
      <c r="A669" s="702"/>
      <c r="B669" s="702"/>
      <c r="C669" s="702"/>
      <c r="D669" s="702"/>
      <c r="E669" s="702"/>
      <c r="F669" s="702"/>
      <c r="G669" s="702"/>
      <c r="H669" s="702"/>
      <c r="I669" s="702"/>
      <c r="J669" s="702"/>
      <c r="K669" s="702"/>
      <c r="L669" s="702"/>
      <c r="M669" s="702"/>
      <c r="N669" s="702"/>
      <c r="O669" s="702"/>
      <c r="P669" s="702"/>
      <c r="Q669" s="702"/>
      <c r="R669" s="702"/>
      <c r="S669" s="702"/>
      <c r="T669" s="702"/>
      <c r="U669" s="702"/>
      <c r="V669" s="702"/>
      <c r="W669" s="702"/>
      <c r="X669" s="702"/>
      <c r="Y669" s="702"/>
      <c r="Z669" s="702"/>
      <c r="AA669" s="702"/>
      <c r="AB669" s="702"/>
      <c r="AC669" s="702"/>
    </row>
    <row r="670" ht="15.75" customHeight="1">
      <c r="A670" s="702"/>
      <c r="B670" s="702"/>
      <c r="C670" s="702"/>
      <c r="D670" s="702"/>
      <c r="E670" s="702"/>
      <c r="F670" s="702"/>
      <c r="G670" s="702"/>
      <c r="H670" s="702"/>
      <c r="I670" s="702"/>
      <c r="J670" s="702"/>
      <c r="K670" s="702"/>
      <c r="L670" s="702"/>
      <c r="M670" s="702"/>
      <c r="N670" s="702"/>
      <c r="O670" s="702"/>
      <c r="P670" s="702"/>
      <c r="Q670" s="702"/>
      <c r="R670" s="702"/>
      <c r="S670" s="702"/>
      <c r="T670" s="702"/>
      <c r="U670" s="702"/>
      <c r="V670" s="702"/>
      <c r="W670" s="702"/>
      <c r="X670" s="702"/>
      <c r="Y670" s="702"/>
      <c r="Z670" s="702"/>
      <c r="AA670" s="702"/>
      <c r="AB670" s="702"/>
      <c r="AC670" s="702"/>
    </row>
    <row r="671" ht="15.75" customHeight="1">
      <c r="A671" s="702"/>
      <c r="B671" s="702"/>
      <c r="C671" s="702"/>
      <c r="D671" s="702"/>
      <c r="E671" s="702"/>
      <c r="F671" s="702"/>
      <c r="G671" s="702"/>
      <c r="H671" s="702"/>
      <c r="I671" s="702"/>
      <c r="J671" s="702"/>
      <c r="K671" s="702"/>
      <c r="L671" s="702"/>
      <c r="M671" s="702"/>
      <c r="N671" s="702"/>
      <c r="O671" s="702"/>
      <c r="P671" s="702"/>
      <c r="Q671" s="702"/>
      <c r="R671" s="702"/>
      <c r="S671" s="702"/>
      <c r="T671" s="702"/>
      <c r="U671" s="702"/>
      <c r="V671" s="702"/>
      <c r="W671" s="702"/>
      <c r="X671" s="702"/>
      <c r="Y671" s="702"/>
      <c r="Z671" s="702"/>
      <c r="AA671" s="702"/>
      <c r="AB671" s="702"/>
      <c r="AC671" s="702"/>
    </row>
    <row r="672" ht="15.75" customHeight="1">
      <c r="A672" s="702"/>
      <c r="B672" s="702"/>
      <c r="C672" s="702"/>
      <c r="D672" s="702"/>
      <c r="E672" s="702"/>
      <c r="F672" s="702"/>
      <c r="G672" s="702"/>
      <c r="H672" s="702"/>
      <c r="I672" s="702"/>
      <c r="J672" s="702"/>
      <c r="K672" s="702"/>
      <c r="L672" s="702"/>
      <c r="M672" s="702"/>
      <c r="N672" s="702"/>
      <c r="O672" s="702"/>
      <c r="P672" s="702"/>
      <c r="Q672" s="702"/>
      <c r="R672" s="702"/>
      <c r="S672" s="702"/>
      <c r="T672" s="702"/>
      <c r="U672" s="702"/>
      <c r="V672" s="702"/>
      <c r="W672" s="702"/>
      <c r="X672" s="702"/>
      <c r="Y672" s="702"/>
      <c r="Z672" s="702"/>
      <c r="AA672" s="702"/>
      <c r="AB672" s="702"/>
      <c r="AC672" s="702"/>
    </row>
    <row r="673" ht="15.75" customHeight="1">
      <c r="A673" s="702"/>
      <c r="B673" s="702"/>
      <c r="C673" s="702"/>
      <c r="D673" s="702"/>
      <c r="E673" s="702"/>
      <c r="F673" s="702"/>
      <c r="G673" s="702"/>
      <c r="H673" s="702"/>
      <c r="I673" s="702"/>
      <c r="J673" s="702"/>
      <c r="K673" s="702"/>
      <c r="L673" s="702"/>
      <c r="M673" s="702"/>
      <c r="N673" s="702"/>
      <c r="O673" s="702"/>
      <c r="P673" s="702"/>
      <c r="Q673" s="702"/>
      <c r="R673" s="702"/>
      <c r="S673" s="702"/>
      <c r="T673" s="702"/>
      <c r="U673" s="702"/>
      <c r="V673" s="702"/>
      <c r="W673" s="702"/>
      <c r="X673" s="702"/>
      <c r="Y673" s="702"/>
      <c r="Z673" s="702"/>
      <c r="AA673" s="702"/>
      <c r="AB673" s="702"/>
      <c r="AC673" s="702"/>
    </row>
    <row r="674" ht="15.75" customHeight="1">
      <c r="A674" s="702"/>
      <c r="B674" s="702"/>
      <c r="C674" s="702"/>
      <c r="D674" s="702"/>
      <c r="E674" s="702"/>
      <c r="F674" s="702"/>
      <c r="G674" s="702"/>
      <c r="H674" s="702"/>
      <c r="I674" s="702"/>
      <c r="J674" s="702"/>
      <c r="K674" s="702"/>
      <c r="L674" s="702"/>
      <c r="M674" s="702"/>
      <c r="N674" s="702"/>
      <c r="O674" s="702"/>
      <c r="P674" s="702"/>
      <c r="Q674" s="702"/>
      <c r="R674" s="702"/>
      <c r="S674" s="702"/>
      <c r="T674" s="702"/>
      <c r="U674" s="702"/>
      <c r="V674" s="702"/>
      <c r="W674" s="702"/>
      <c r="X674" s="702"/>
      <c r="Y674" s="702"/>
      <c r="Z674" s="702"/>
      <c r="AA674" s="702"/>
      <c r="AB674" s="702"/>
      <c r="AC674" s="702"/>
    </row>
    <row r="675" ht="15.75" customHeight="1">
      <c r="A675" s="702"/>
      <c r="B675" s="702"/>
      <c r="C675" s="702"/>
      <c r="D675" s="702"/>
      <c r="E675" s="702"/>
      <c r="F675" s="702"/>
      <c r="G675" s="702"/>
      <c r="H675" s="702"/>
      <c r="I675" s="702"/>
      <c r="J675" s="702"/>
      <c r="K675" s="702"/>
      <c r="L675" s="702"/>
      <c r="M675" s="702"/>
      <c r="N675" s="702"/>
      <c r="O675" s="702"/>
      <c r="P675" s="702"/>
      <c r="Q675" s="702"/>
      <c r="R675" s="702"/>
      <c r="S675" s="702"/>
      <c r="T675" s="702"/>
      <c r="U675" s="702"/>
      <c r="V675" s="702"/>
      <c r="W675" s="702"/>
      <c r="X675" s="702"/>
      <c r="Y675" s="702"/>
      <c r="Z675" s="702"/>
      <c r="AA675" s="702"/>
      <c r="AB675" s="702"/>
      <c r="AC675" s="702"/>
    </row>
    <row r="676" ht="15.75" customHeight="1">
      <c r="A676" s="702"/>
      <c r="B676" s="702"/>
      <c r="C676" s="702"/>
      <c r="D676" s="702"/>
      <c r="E676" s="702"/>
      <c r="F676" s="702"/>
      <c r="G676" s="702"/>
      <c r="H676" s="702"/>
      <c r="I676" s="702"/>
      <c r="J676" s="702"/>
      <c r="K676" s="702"/>
      <c r="L676" s="702"/>
      <c r="M676" s="702"/>
      <c r="N676" s="702"/>
      <c r="O676" s="702"/>
      <c r="P676" s="702"/>
      <c r="Q676" s="702"/>
      <c r="R676" s="702"/>
      <c r="S676" s="702"/>
      <c r="T676" s="702"/>
      <c r="U676" s="702"/>
      <c r="V676" s="702"/>
      <c r="W676" s="702"/>
      <c r="X676" s="702"/>
      <c r="Y676" s="702"/>
      <c r="Z676" s="702"/>
      <c r="AA676" s="702"/>
      <c r="AB676" s="702"/>
      <c r="AC676" s="702"/>
    </row>
    <row r="677" ht="15.75" customHeight="1">
      <c r="A677" s="702"/>
      <c r="B677" s="702"/>
      <c r="C677" s="702"/>
      <c r="D677" s="702"/>
      <c r="E677" s="702"/>
      <c r="F677" s="702"/>
      <c r="G677" s="702"/>
      <c r="H677" s="702"/>
      <c r="I677" s="702"/>
      <c r="J677" s="702"/>
      <c r="K677" s="702"/>
      <c r="L677" s="702"/>
      <c r="M677" s="702"/>
      <c r="N677" s="702"/>
      <c r="O677" s="702"/>
      <c r="P677" s="702"/>
      <c r="Q677" s="702"/>
      <c r="R677" s="702"/>
      <c r="S677" s="702"/>
      <c r="T677" s="702"/>
      <c r="U677" s="702"/>
      <c r="V677" s="702"/>
      <c r="W677" s="702"/>
      <c r="X677" s="702"/>
      <c r="Y677" s="702"/>
      <c r="Z677" s="702"/>
      <c r="AA677" s="702"/>
      <c r="AB677" s="702"/>
      <c r="AC677" s="702"/>
    </row>
    <row r="678" ht="15.75" customHeight="1">
      <c r="A678" s="702"/>
      <c r="B678" s="702"/>
      <c r="C678" s="702"/>
      <c r="D678" s="702"/>
      <c r="E678" s="702"/>
      <c r="F678" s="702"/>
      <c r="G678" s="702"/>
      <c r="H678" s="702"/>
      <c r="I678" s="702"/>
      <c r="J678" s="702"/>
      <c r="K678" s="702"/>
      <c r="L678" s="702"/>
      <c r="M678" s="702"/>
      <c r="N678" s="702"/>
      <c r="O678" s="702"/>
      <c r="P678" s="702"/>
      <c r="Q678" s="702"/>
      <c r="R678" s="702"/>
      <c r="S678" s="702"/>
      <c r="T678" s="702"/>
      <c r="U678" s="702"/>
      <c r="V678" s="702"/>
      <c r="W678" s="702"/>
      <c r="X678" s="702"/>
      <c r="Y678" s="702"/>
      <c r="Z678" s="702"/>
      <c r="AA678" s="702"/>
      <c r="AB678" s="702"/>
      <c r="AC678" s="702"/>
    </row>
    <row r="679" ht="15.75" customHeight="1">
      <c r="A679" s="702"/>
      <c r="B679" s="702"/>
      <c r="C679" s="702"/>
      <c r="D679" s="702"/>
      <c r="E679" s="702"/>
      <c r="F679" s="702"/>
      <c r="G679" s="702"/>
      <c r="H679" s="702"/>
      <c r="I679" s="702"/>
      <c r="J679" s="702"/>
      <c r="K679" s="702"/>
      <c r="L679" s="702"/>
      <c r="M679" s="702"/>
      <c r="N679" s="702"/>
      <c r="O679" s="702"/>
      <c r="P679" s="702"/>
      <c r="Q679" s="702"/>
      <c r="R679" s="702"/>
      <c r="S679" s="702"/>
      <c r="T679" s="702"/>
      <c r="U679" s="702"/>
      <c r="V679" s="702"/>
      <c r="W679" s="702"/>
      <c r="X679" s="702"/>
      <c r="Y679" s="702"/>
      <c r="Z679" s="702"/>
      <c r="AA679" s="702"/>
      <c r="AB679" s="702"/>
      <c r="AC679" s="702"/>
    </row>
    <row r="680" ht="15.75" customHeight="1">
      <c r="A680" s="702"/>
      <c r="B680" s="702"/>
      <c r="C680" s="702"/>
      <c r="D680" s="702"/>
      <c r="E680" s="702"/>
      <c r="F680" s="702"/>
      <c r="G680" s="702"/>
      <c r="H680" s="702"/>
      <c r="I680" s="702"/>
      <c r="J680" s="702"/>
      <c r="K680" s="702"/>
      <c r="L680" s="702"/>
      <c r="M680" s="702"/>
      <c r="N680" s="702"/>
      <c r="O680" s="702"/>
      <c r="P680" s="702"/>
      <c r="Q680" s="702"/>
      <c r="R680" s="702"/>
      <c r="S680" s="702"/>
      <c r="T680" s="702"/>
      <c r="U680" s="702"/>
      <c r="V680" s="702"/>
      <c r="W680" s="702"/>
      <c r="X680" s="702"/>
      <c r="Y680" s="702"/>
      <c r="Z680" s="702"/>
      <c r="AA680" s="702"/>
      <c r="AB680" s="702"/>
      <c r="AC680" s="702"/>
    </row>
    <row r="681" ht="15.75" customHeight="1">
      <c r="A681" s="702"/>
      <c r="B681" s="702"/>
      <c r="C681" s="702"/>
      <c r="D681" s="702"/>
      <c r="E681" s="702"/>
      <c r="F681" s="702"/>
      <c r="G681" s="702"/>
      <c r="H681" s="702"/>
      <c r="I681" s="702"/>
      <c r="J681" s="702"/>
      <c r="K681" s="702"/>
      <c r="L681" s="702"/>
      <c r="M681" s="702"/>
      <c r="N681" s="702"/>
      <c r="O681" s="702"/>
      <c r="P681" s="702"/>
      <c r="Q681" s="702"/>
      <c r="R681" s="702"/>
      <c r="S681" s="702"/>
      <c r="T681" s="702"/>
      <c r="U681" s="702"/>
      <c r="V681" s="702"/>
      <c r="W681" s="702"/>
      <c r="X681" s="702"/>
      <c r="Y681" s="702"/>
      <c r="Z681" s="702"/>
      <c r="AA681" s="702"/>
      <c r="AB681" s="702"/>
      <c r="AC681" s="702"/>
    </row>
    <row r="682" ht="15.75" customHeight="1">
      <c r="A682" s="702"/>
      <c r="B682" s="702"/>
      <c r="C682" s="702"/>
      <c r="D682" s="702"/>
      <c r="E682" s="702"/>
      <c r="F682" s="702"/>
      <c r="G682" s="702"/>
      <c r="H682" s="702"/>
      <c r="I682" s="702"/>
      <c r="J682" s="702"/>
      <c r="K682" s="702"/>
      <c r="L682" s="702"/>
      <c r="M682" s="702"/>
      <c r="N682" s="702"/>
      <c r="O682" s="702"/>
      <c r="P682" s="702"/>
      <c r="Q682" s="702"/>
      <c r="R682" s="702"/>
      <c r="S682" s="702"/>
      <c r="T682" s="702"/>
      <c r="U682" s="702"/>
      <c r="V682" s="702"/>
      <c r="W682" s="702"/>
      <c r="X682" s="702"/>
      <c r="Y682" s="702"/>
      <c r="Z682" s="702"/>
      <c r="AA682" s="702"/>
      <c r="AB682" s="702"/>
      <c r="AC682" s="702"/>
    </row>
    <row r="683" ht="15.75" customHeight="1">
      <c r="A683" s="702"/>
      <c r="B683" s="702"/>
      <c r="C683" s="702"/>
      <c r="D683" s="702"/>
      <c r="E683" s="702"/>
      <c r="F683" s="702"/>
      <c r="G683" s="702"/>
      <c r="H683" s="702"/>
      <c r="I683" s="702"/>
      <c r="J683" s="702"/>
      <c r="K683" s="702"/>
      <c r="L683" s="702"/>
      <c r="M683" s="702"/>
      <c r="N683" s="702"/>
      <c r="O683" s="702"/>
      <c r="P683" s="702"/>
      <c r="Q683" s="702"/>
      <c r="R683" s="702"/>
      <c r="S683" s="702"/>
      <c r="T683" s="702"/>
      <c r="U683" s="702"/>
      <c r="V683" s="702"/>
      <c r="W683" s="702"/>
      <c r="X683" s="702"/>
      <c r="Y683" s="702"/>
      <c r="Z683" s="702"/>
      <c r="AA683" s="702"/>
      <c r="AB683" s="702"/>
      <c r="AC683" s="702"/>
    </row>
    <row r="684" ht="15.75" customHeight="1">
      <c r="A684" s="702"/>
      <c r="B684" s="702"/>
      <c r="C684" s="702"/>
      <c r="D684" s="702"/>
      <c r="E684" s="702"/>
      <c r="F684" s="702"/>
      <c r="G684" s="702"/>
      <c r="H684" s="702"/>
      <c r="I684" s="702"/>
      <c r="J684" s="702"/>
      <c r="K684" s="702"/>
      <c r="L684" s="702"/>
      <c r="M684" s="702"/>
      <c r="N684" s="702"/>
      <c r="O684" s="702"/>
      <c r="P684" s="702"/>
      <c r="Q684" s="702"/>
      <c r="R684" s="702"/>
      <c r="S684" s="702"/>
      <c r="T684" s="702"/>
      <c r="U684" s="702"/>
      <c r="V684" s="702"/>
      <c r="W684" s="702"/>
      <c r="X684" s="702"/>
      <c r="Y684" s="702"/>
      <c r="Z684" s="702"/>
      <c r="AA684" s="702"/>
      <c r="AB684" s="702"/>
      <c r="AC684" s="702"/>
    </row>
    <row r="685" ht="15.75" customHeight="1">
      <c r="A685" s="702"/>
      <c r="B685" s="702"/>
      <c r="C685" s="702"/>
      <c r="D685" s="702"/>
      <c r="E685" s="702"/>
      <c r="F685" s="702"/>
      <c r="G685" s="702"/>
      <c r="H685" s="702"/>
      <c r="I685" s="702"/>
      <c r="J685" s="702"/>
      <c r="K685" s="702"/>
      <c r="L685" s="702"/>
      <c r="M685" s="702"/>
      <c r="N685" s="702"/>
      <c r="O685" s="702"/>
      <c r="P685" s="702"/>
      <c r="Q685" s="702"/>
      <c r="R685" s="702"/>
      <c r="S685" s="702"/>
      <c r="T685" s="702"/>
      <c r="U685" s="702"/>
      <c r="V685" s="702"/>
      <c r="W685" s="702"/>
      <c r="X685" s="702"/>
      <c r="Y685" s="702"/>
      <c r="Z685" s="702"/>
      <c r="AA685" s="702"/>
      <c r="AB685" s="702"/>
      <c r="AC685" s="702"/>
    </row>
    <row r="686" ht="15.75" customHeight="1">
      <c r="A686" s="702"/>
      <c r="B686" s="702"/>
      <c r="C686" s="702"/>
      <c r="D686" s="702"/>
      <c r="E686" s="702"/>
      <c r="F686" s="702"/>
      <c r="G686" s="702"/>
      <c r="H686" s="702"/>
      <c r="I686" s="702"/>
      <c r="J686" s="702"/>
      <c r="K686" s="702"/>
      <c r="L686" s="702"/>
      <c r="M686" s="702"/>
      <c r="N686" s="702"/>
      <c r="O686" s="702"/>
      <c r="P686" s="702"/>
      <c r="Q686" s="702"/>
      <c r="R686" s="702"/>
      <c r="S686" s="702"/>
      <c r="T686" s="702"/>
      <c r="U686" s="702"/>
      <c r="V686" s="702"/>
      <c r="W686" s="702"/>
      <c r="X686" s="702"/>
      <c r="Y686" s="702"/>
      <c r="Z686" s="702"/>
      <c r="AA686" s="702"/>
      <c r="AB686" s="702"/>
      <c r="AC686" s="702"/>
    </row>
    <row r="687" ht="15.75" customHeight="1">
      <c r="A687" s="702"/>
      <c r="B687" s="702"/>
      <c r="C687" s="702"/>
      <c r="D687" s="702"/>
      <c r="E687" s="702"/>
      <c r="F687" s="702"/>
      <c r="G687" s="702"/>
      <c r="H687" s="702"/>
      <c r="I687" s="702"/>
      <c r="J687" s="702"/>
      <c r="K687" s="702"/>
      <c r="L687" s="702"/>
      <c r="M687" s="702"/>
      <c r="N687" s="702"/>
      <c r="O687" s="702"/>
      <c r="P687" s="702"/>
      <c r="Q687" s="702"/>
      <c r="R687" s="702"/>
      <c r="S687" s="702"/>
      <c r="T687" s="702"/>
      <c r="U687" s="702"/>
      <c r="V687" s="702"/>
      <c r="W687" s="702"/>
      <c r="X687" s="702"/>
      <c r="Y687" s="702"/>
      <c r="Z687" s="702"/>
      <c r="AA687" s="702"/>
      <c r="AB687" s="702"/>
      <c r="AC687" s="702"/>
    </row>
    <row r="688" ht="15.75" customHeight="1">
      <c r="A688" s="702"/>
      <c r="B688" s="702"/>
      <c r="C688" s="702"/>
      <c r="D688" s="702"/>
      <c r="E688" s="702"/>
      <c r="F688" s="702"/>
      <c r="G688" s="702"/>
      <c r="H688" s="702"/>
      <c r="I688" s="702"/>
      <c r="J688" s="702"/>
      <c r="K688" s="702"/>
      <c r="L688" s="702"/>
      <c r="M688" s="702"/>
      <c r="N688" s="702"/>
      <c r="O688" s="702"/>
      <c r="P688" s="702"/>
      <c r="Q688" s="702"/>
      <c r="R688" s="702"/>
      <c r="S688" s="702"/>
      <c r="T688" s="702"/>
      <c r="U688" s="702"/>
      <c r="V688" s="702"/>
      <c r="W688" s="702"/>
      <c r="X688" s="702"/>
      <c r="Y688" s="702"/>
      <c r="Z688" s="702"/>
      <c r="AA688" s="702"/>
      <c r="AB688" s="702"/>
      <c r="AC688" s="702"/>
    </row>
    <row r="689" ht="15.75" customHeight="1">
      <c r="A689" s="702"/>
      <c r="B689" s="702"/>
      <c r="C689" s="702"/>
      <c r="D689" s="702"/>
      <c r="E689" s="702"/>
      <c r="F689" s="702"/>
      <c r="G689" s="702"/>
      <c r="H689" s="702"/>
      <c r="I689" s="702"/>
      <c r="J689" s="702"/>
      <c r="K689" s="702"/>
      <c r="L689" s="702"/>
      <c r="M689" s="702"/>
      <c r="N689" s="702"/>
      <c r="O689" s="702"/>
      <c r="P689" s="702"/>
      <c r="Q689" s="702"/>
      <c r="R689" s="702"/>
      <c r="S689" s="702"/>
      <c r="T689" s="702"/>
      <c r="U689" s="702"/>
      <c r="V689" s="702"/>
      <c r="W689" s="702"/>
      <c r="X689" s="702"/>
      <c r="Y689" s="702"/>
      <c r="Z689" s="702"/>
      <c r="AA689" s="702"/>
      <c r="AB689" s="702"/>
      <c r="AC689" s="702"/>
    </row>
    <row r="690" ht="15.75" customHeight="1">
      <c r="A690" s="702"/>
      <c r="B690" s="702"/>
      <c r="C690" s="702"/>
      <c r="D690" s="702"/>
      <c r="E690" s="702"/>
      <c r="F690" s="702"/>
      <c r="G690" s="702"/>
      <c r="H690" s="702"/>
      <c r="I690" s="702"/>
      <c r="J690" s="702"/>
      <c r="K690" s="702"/>
      <c r="L690" s="702"/>
      <c r="M690" s="702"/>
      <c r="N690" s="702"/>
      <c r="O690" s="702"/>
      <c r="P690" s="702"/>
      <c r="Q690" s="702"/>
      <c r="R690" s="702"/>
      <c r="S690" s="702"/>
      <c r="T690" s="702"/>
      <c r="U690" s="702"/>
      <c r="V690" s="702"/>
      <c r="W690" s="702"/>
      <c r="X690" s="702"/>
      <c r="Y690" s="702"/>
      <c r="Z690" s="702"/>
      <c r="AA690" s="702"/>
      <c r="AB690" s="702"/>
      <c r="AC690" s="702"/>
    </row>
    <row r="691" ht="15.75" customHeight="1">
      <c r="A691" s="702"/>
      <c r="B691" s="702"/>
      <c r="C691" s="702"/>
      <c r="D691" s="702"/>
      <c r="E691" s="702"/>
      <c r="F691" s="702"/>
      <c r="G691" s="702"/>
      <c r="H691" s="702"/>
      <c r="I691" s="702"/>
      <c r="J691" s="702"/>
      <c r="K691" s="702"/>
      <c r="L691" s="702"/>
      <c r="M691" s="702"/>
      <c r="N691" s="702"/>
      <c r="O691" s="702"/>
      <c r="P691" s="702"/>
      <c r="Q691" s="702"/>
      <c r="R691" s="702"/>
      <c r="S691" s="702"/>
      <c r="T691" s="702"/>
      <c r="U691" s="702"/>
      <c r="V691" s="702"/>
      <c r="W691" s="702"/>
      <c r="X691" s="702"/>
      <c r="Y691" s="702"/>
      <c r="Z691" s="702"/>
      <c r="AA691" s="702"/>
      <c r="AB691" s="702"/>
      <c r="AC691" s="702"/>
    </row>
    <row r="692" ht="15.75" customHeight="1">
      <c r="A692" s="702"/>
      <c r="B692" s="702"/>
      <c r="C692" s="702"/>
      <c r="D692" s="702"/>
      <c r="E692" s="702"/>
      <c r="F692" s="702"/>
      <c r="G692" s="702"/>
      <c r="H692" s="702"/>
      <c r="I692" s="702"/>
      <c r="J692" s="702"/>
      <c r="K692" s="702"/>
      <c r="L692" s="702"/>
      <c r="M692" s="702"/>
      <c r="N692" s="702"/>
      <c r="O692" s="702"/>
      <c r="P692" s="702"/>
      <c r="Q692" s="702"/>
      <c r="R692" s="702"/>
      <c r="S692" s="702"/>
      <c r="T692" s="702"/>
      <c r="U692" s="702"/>
      <c r="V692" s="702"/>
      <c r="W692" s="702"/>
      <c r="X692" s="702"/>
      <c r="Y692" s="702"/>
      <c r="Z692" s="702"/>
      <c r="AA692" s="702"/>
      <c r="AB692" s="702"/>
      <c r="AC692" s="702"/>
    </row>
    <row r="693" ht="15.75" customHeight="1">
      <c r="A693" s="702"/>
      <c r="B693" s="702"/>
      <c r="C693" s="702"/>
      <c r="D693" s="702"/>
      <c r="E693" s="702"/>
      <c r="F693" s="702"/>
      <c r="G693" s="702"/>
      <c r="H693" s="702"/>
      <c r="I693" s="702"/>
      <c r="J693" s="702"/>
      <c r="K693" s="702"/>
      <c r="L693" s="702"/>
      <c r="M693" s="702"/>
      <c r="N693" s="702"/>
      <c r="O693" s="702"/>
      <c r="P693" s="702"/>
      <c r="Q693" s="702"/>
      <c r="R693" s="702"/>
      <c r="S693" s="702"/>
      <c r="T693" s="702"/>
      <c r="U693" s="702"/>
      <c r="V693" s="702"/>
      <c r="W693" s="702"/>
      <c r="X693" s="702"/>
      <c r="Y693" s="702"/>
      <c r="Z693" s="702"/>
      <c r="AA693" s="702"/>
      <c r="AB693" s="702"/>
      <c r="AC693" s="702"/>
    </row>
    <row r="694" ht="15.75" customHeight="1">
      <c r="A694" s="702"/>
      <c r="B694" s="702"/>
      <c r="C694" s="702"/>
      <c r="D694" s="702"/>
      <c r="E694" s="702"/>
      <c r="F694" s="702"/>
      <c r="G694" s="702"/>
      <c r="H694" s="702"/>
      <c r="I694" s="702"/>
      <c r="J694" s="702"/>
      <c r="K694" s="702"/>
      <c r="L694" s="702"/>
      <c r="M694" s="702"/>
      <c r="N694" s="702"/>
      <c r="O694" s="702"/>
      <c r="P694" s="702"/>
      <c r="Q694" s="702"/>
      <c r="R694" s="702"/>
      <c r="S694" s="702"/>
      <c r="T694" s="702"/>
      <c r="U694" s="702"/>
      <c r="V694" s="702"/>
      <c r="W694" s="702"/>
      <c r="X694" s="702"/>
      <c r="Y694" s="702"/>
      <c r="Z694" s="702"/>
      <c r="AA694" s="702"/>
      <c r="AB694" s="702"/>
      <c r="AC694" s="702"/>
    </row>
    <row r="695" ht="15.75" customHeight="1">
      <c r="A695" s="702"/>
      <c r="B695" s="702"/>
      <c r="C695" s="702"/>
      <c r="D695" s="702"/>
      <c r="E695" s="702"/>
      <c r="F695" s="702"/>
      <c r="G695" s="702"/>
      <c r="H695" s="702"/>
      <c r="I695" s="702"/>
      <c r="J695" s="702"/>
      <c r="K695" s="702"/>
      <c r="L695" s="702"/>
      <c r="M695" s="702"/>
      <c r="N695" s="702"/>
      <c r="O695" s="702"/>
      <c r="P695" s="702"/>
      <c r="Q695" s="702"/>
      <c r="R695" s="702"/>
      <c r="S695" s="702"/>
      <c r="T695" s="702"/>
      <c r="U695" s="702"/>
      <c r="V695" s="702"/>
      <c r="W695" s="702"/>
      <c r="X695" s="702"/>
      <c r="Y695" s="702"/>
      <c r="Z695" s="702"/>
      <c r="AA695" s="702"/>
      <c r="AB695" s="702"/>
      <c r="AC695" s="702"/>
    </row>
    <row r="696" ht="15.75" customHeight="1">
      <c r="A696" s="702"/>
      <c r="B696" s="702"/>
      <c r="C696" s="702"/>
      <c r="D696" s="702"/>
      <c r="E696" s="702"/>
      <c r="F696" s="702"/>
      <c r="G696" s="702"/>
      <c r="H696" s="702"/>
      <c r="I696" s="702"/>
      <c r="J696" s="702"/>
      <c r="K696" s="702"/>
      <c r="L696" s="702"/>
      <c r="M696" s="702"/>
      <c r="N696" s="702"/>
      <c r="O696" s="702"/>
      <c r="P696" s="702"/>
      <c r="Q696" s="702"/>
      <c r="R696" s="702"/>
      <c r="S696" s="702"/>
      <c r="T696" s="702"/>
      <c r="U696" s="702"/>
      <c r="V696" s="702"/>
      <c r="W696" s="702"/>
      <c r="X696" s="702"/>
      <c r="Y696" s="702"/>
      <c r="Z696" s="702"/>
      <c r="AA696" s="702"/>
      <c r="AB696" s="702"/>
      <c r="AC696" s="702"/>
    </row>
    <row r="697" ht="15.75" customHeight="1">
      <c r="A697" s="702"/>
      <c r="B697" s="702"/>
      <c r="C697" s="702"/>
      <c r="D697" s="702"/>
      <c r="E697" s="702"/>
      <c r="F697" s="702"/>
      <c r="G697" s="702"/>
      <c r="H697" s="702"/>
      <c r="I697" s="702"/>
      <c r="J697" s="702"/>
      <c r="K697" s="702"/>
      <c r="L697" s="702"/>
      <c r="M697" s="702"/>
      <c r="N697" s="702"/>
      <c r="O697" s="702"/>
      <c r="P697" s="702"/>
      <c r="Q697" s="702"/>
      <c r="R697" s="702"/>
      <c r="S697" s="702"/>
      <c r="T697" s="702"/>
      <c r="U697" s="702"/>
      <c r="V697" s="702"/>
      <c r="W697" s="702"/>
      <c r="X697" s="702"/>
      <c r="Y697" s="702"/>
      <c r="Z697" s="702"/>
      <c r="AA697" s="702"/>
      <c r="AB697" s="702"/>
      <c r="AC697" s="702"/>
    </row>
    <row r="698" ht="15.75" customHeight="1">
      <c r="A698" s="702"/>
      <c r="B698" s="702"/>
      <c r="C698" s="702"/>
      <c r="D698" s="702"/>
      <c r="E698" s="702"/>
      <c r="F698" s="702"/>
      <c r="G698" s="702"/>
      <c r="H698" s="702"/>
      <c r="I698" s="702"/>
      <c r="J698" s="702"/>
      <c r="K698" s="702"/>
      <c r="L698" s="702"/>
      <c r="M698" s="702"/>
      <c r="N698" s="702"/>
      <c r="O698" s="702"/>
      <c r="P698" s="702"/>
      <c r="Q698" s="702"/>
      <c r="R698" s="702"/>
      <c r="S698" s="702"/>
      <c r="T698" s="702"/>
      <c r="U698" s="702"/>
      <c r="V698" s="702"/>
      <c r="W698" s="702"/>
      <c r="X698" s="702"/>
      <c r="Y698" s="702"/>
      <c r="Z698" s="702"/>
      <c r="AA698" s="702"/>
      <c r="AB698" s="702"/>
      <c r="AC698" s="702"/>
    </row>
    <row r="699" ht="15.75" customHeight="1">
      <c r="A699" s="702"/>
      <c r="B699" s="702"/>
      <c r="C699" s="702"/>
      <c r="D699" s="702"/>
      <c r="E699" s="702"/>
      <c r="F699" s="702"/>
      <c r="G699" s="702"/>
      <c r="H699" s="702"/>
      <c r="I699" s="702"/>
      <c r="J699" s="702"/>
      <c r="K699" s="702"/>
      <c r="L699" s="702"/>
      <c r="M699" s="702"/>
      <c r="N699" s="702"/>
      <c r="O699" s="702"/>
      <c r="P699" s="702"/>
      <c r="Q699" s="702"/>
      <c r="R699" s="702"/>
      <c r="S699" s="702"/>
      <c r="T699" s="702"/>
      <c r="U699" s="702"/>
      <c r="V699" s="702"/>
      <c r="W699" s="702"/>
      <c r="X699" s="702"/>
      <c r="Y699" s="702"/>
      <c r="Z699" s="702"/>
      <c r="AA699" s="702"/>
      <c r="AB699" s="702"/>
      <c r="AC699" s="702"/>
    </row>
    <row r="700" ht="15.75" customHeight="1">
      <c r="A700" s="702"/>
      <c r="B700" s="702"/>
      <c r="C700" s="702"/>
      <c r="D700" s="702"/>
      <c r="E700" s="702"/>
      <c r="F700" s="702"/>
      <c r="G700" s="702"/>
      <c r="H700" s="702"/>
      <c r="I700" s="702"/>
      <c r="J700" s="702"/>
      <c r="K700" s="702"/>
      <c r="L700" s="702"/>
      <c r="M700" s="702"/>
      <c r="N700" s="702"/>
      <c r="O700" s="702"/>
      <c r="P700" s="702"/>
      <c r="Q700" s="702"/>
      <c r="R700" s="702"/>
      <c r="S700" s="702"/>
      <c r="T700" s="702"/>
      <c r="U700" s="702"/>
      <c r="V700" s="702"/>
      <c r="W700" s="702"/>
      <c r="X700" s="702"/>
      <c r="Y700" s="702"/>
      <c r="Z700" s="702"/>
      <c r="AA700" s="702"/>
      <c r="AB700" s="702"/>
      <c r="AC700" s="702"/>
    </row>
    <row r="701" ht="15.75" customHeight="1">
      <c r="A701" s="702"/>
      <c r="B701" s="702"/>
      <c r="C701" s="702"/>
      <c r="D701" s="702"/>
      <c r="E701" s="702"/>
      <c r="F701" s="702"/>
      <c r="G701" s="702"/>
      <c r="H701" s="702"/>
      <c r="I701" s="702"/>
      <c r="J701" s="702"/>
      <c r="K701" s="702"/>
      <c r="L701" s="702"/>
      <c r="M701" s="702"/>
      <c r="N701" s="702"/>
      <c r="O701" s="702"/>
      <c r="P701" s="702"/>
      <c r="Q701" s="702"/>
      <c r="R701" s="702"/>
      <c r="S701" s="702"/>
      <c r="T701" s="702"/>
      <c r="U701" s="702"/>
      <c r="V701" s="702"/>
      <c r="W701" s="702"/>
      <c r="X701" s="702"/>
      <c r="Y701" s="702"/>
      <c r="Z701" s="702"/>
      <c r="AA701" s="702"/>
      <c r="AB701" s="702"/>
      <c r="AC701" s="702"/>
    </row>
    <row r="702" ht="15.75" customHeight="1">
      <c r="A702" s="702"/>
      <c r="B702" s="702"/>
      <c r="C702" s="702"/>
      <c r="D702" s="702"/>
      <c r="E702" s="702"/>
      <c r="F702" s="702"/>
      <c r="G702" s="702"/>
      <c r="H702" s="702"/>
      <c r="I702" s="702"/>
      <c r="J702" s="702"/>
      <c r="K702" s="702"/>
      <c r="L702" s="702"/>
      <c r="M702" s="702"/>
      <c r="N702" s="702"/>
      <c r="O702" s="702"/>
      <c r="P702" s="702"/>
      <c r="Q702" s="702"/>
      <c r="R702" s="702"/>
      <c r="S702" s="702"/>
      <c r="T702" s="702"/>
      <c r="U702" s="702"/>
      <c r="V702" s="702"/>
      <c r="W702" s="702"/>
      <c r="X702" s="702"/>
      <c r="Y702" s="702"/>
      <c r="Z702" s="702"/>
      <c r="AA702" s="702"/>
      <c r="AB702" s="702"/>
      <c r="AC702" s="702"/>
    </row>
    <row r="703" ht="15.75" customHeight="1">
      <c r="A703" s="702"/>
      <c r="B703" s="702"/>
      <c r="C703" s="702"/>
      <c r="D703" s="702"/>
      <c r="E703" s="702"/>
      <c r="F703" s="702"/>
      <c r="G703" s="702"/>
      <c r="H703" s="702"/>
      <c r="I703" s="702"/>
      <c r="J703" s="702"/>
      <c r="K703" s="702"/>
      <c r="L703" s="702"/>
      <c r="M703" s="702"/>
      <c r="N703" s="702"/>
      <c r="O703" s="702"/>
      <c r="P703" s="702"/>
      <c r="Q703" s="702"/>
      <c r="R703" s="702"/>
      <c r="S703" s="702"/>
      <c r="T703" s="702"/>
      <c r="U703" s="702"/>
      <c r="V703" s="702"/>
      <c r="W703" s="702"/>
      <c r="X703" s="702"/>
      <c r="Y703" s="702"/>
      <c r="Z703" s="702"/>
      <c r="AA703" s="702"/>
      <c r="AB703" s="702"/>
      <c r="AC703" s="702"/>
    </row>
    <row r="704" ht="15.75" customHeight="1">
      <c r="A704" s="702"/>
      <c r="B704" s="702"/>
      <c r="C704" s="702"/>
      <c r="D704" s="702"/>
      <c r="E704" s="702"/>
      <c r="F704" s="702"/>
      <c r="G704" s="702"/>
      <c r="H704" s="702"/>
      <c r="I704" s="702"/>
      <c r="J704" s="702"/>
      <c r="K704" s="702"/>
      <c r="L704" s="702"/>
      <c r="M704" s="702"/>
      <c r="N704" s="702"/>
      <c r="O704" s="702"/>
      <c r="P704" s="702"/>
      <c r="Q704" s="702"/>
      <c r="R704" s="702"/>
      <c r="S704" s="702"/>
      <c r="T704" s="702"/>
      <c r="U704" s="702"/>
      <c r="V704" s="702"/>
      <c r="W704" s="702"/>
      <c r="X704" s="702"/>
      <c r="Y704" s="702"/>
      <c r="Z704" s="702"/>
      <c r="AA704" s="702"/>
      <c r="AB704" s="702"/>
      <c r="AC704" s="702"/>
    </row>
    <row r="705" ht="15.75" customHeight="1">
      <c r="A705" s="702"/>
      <c r="B705" s="702"/>
      <c r="C705" s="702"/>
      <c r="D705" s="702"/>
      <c r="E705" s="702"/>
      <c r="F705" s="702"/>
      <c r="G705" s="702"/>
      <c r="H705" s="702"/>
      <c r="I705" s="702"/>
      <c r="J705" s="702"/>
      <c r="K705" s="702"/>
      <c r="L705" s="702"/>
      <c r="M705" s="702"/>
      <c r="N705" s="702"/>
      <c r="O705" s="702"/>
      <c r="P705" s="702"/>
      <c r="Q705" s="702"/>
      <c r="R705" s="702"/>
      <c r="S705" s="702"/>
      <c r="T705" s="702"/>
      <c r="U705" s="702"/>
      <c r="V705" s="702"/>
      <c r="W705" s="702"/>
      <c r="X705" s="702"/>
      <c r="Y705" s="702"/>
      <c r="Z705" s="702"/>
      <c r="AA705" s="702"/>
      <c r="AB705" s="702"/>
      <c r="AC705" s="702"/>
    </row>
    <row r="706" ht="15.75" customHeight="1">
      <c r="A706" s="702"/>
      <c r="B706" s="702"/>
      <c r="C706" s="702"/>
      <c r="D706" s="702"/>
      <c r="E706" s="702"/>
      <c r="F706" s="702"/>
      <c r="G706" s="702"/>
      <c r="H706" s="702"/>
      <c r="I706" s="702"/>
      <c r="J706" s="702"/>
      <c r="K706" s="702"/>
      <c r="L706" s="702"/>
      <c r="M706" s="702"/>
      <c r="N706" s="702"/>
      <c r="O706" s="702"/>
      <c r="P706" s="702"/>
      <c r="Q706" s="702"/>
      <c r="R706" s="702"/>
      <c r="S706" s="702"/>
      <c r="T706" s="702"/>
      <c r="U706" s="702"/>
      <c r="V706" s="702"/>
      <c r="W706" s="702"/>
      <c r="X706" s="702"/>
      <c r="Y706" s="702"/>
      <c r="Z706" s="702"/>
      <c r="AA706" s="702"/>
      <c r="AB706" s="702"/>
      <c r="AC706" s="702"/>
    </row>
    <row r="707" ht="15.75" customHeight="1">
      <c r="A707" s="702"/>
      <c r="B707" s="702"/>
      <c r="C707" s="702"/>
      <c r="D707" s="702"/>
      <c r="E707" s="702"/>
      <c r="F707" s="702"/>
      <c r="G707" s="702"/>
      <c r="H707" s="702"/>
      <c r="I707" s="702"/>
      <c r="J707" s="702"/>
      <c r="K707" s="702"/>
      <c r="L707" s="702"/>
      <c r="M707" s="702"/>
      <c r="N707" s="702"/>
      <c r="O707" s="702"/>
      <c r="P707" s="702"/>
      <c r="Q707" s="702"/>
      <c r="R707" s="702"/>
      <c r="S707" s="702"/>
      <c r="T707" s="702"/>
      <c r="U707" s="702"/>
      <c r="V707" s="702"/>
      <c r="W707" s="702"/>
      <c r="X707" s="702"/>
      <c r="Y707" s="702"/>
      <c r="Z707" s="702"/>
      <c r="AA707" s="702"/>
      <c r="AB707" s="702"/>
      <c r="AC707" s="702"/>
    </row>
    <row r="708" ht="15.75" customHeight="1">
      <c r="A708" s="702"/>
      <c r="B708" s="702"/>
      <c r="C708" s="702"/>
      <c r="D708" s="702"/>
      <c r="E708" s="702"/>
      <c r="F708" s="702"/>
      <c r="G708" s="702"/>
      <c r="H708" s="702"/>
      <c r="I708" s="702"/>
      <c r="J708" s="702"/>
      <c r="K708" s="702"/>
      <c r="L708" s="702"/>
      <c r="M708" s="702"/>
      <c r="N708" s="702"/>
      <c r="O708" s="702"/>
      <c r="P708" s="702"/>
      <c r="Q708" s="702"/>
      <c r="R708" s="702"/>
      <c r="S708" s="702"/>
      <c r="T708" s="702"/>
      <c r="U708" s="702"/>
      <c r="V708" s="702"/>
      <c r="W708" s="702"/>
      <c r="X708" s="702"/>
      <c r="Y708" s="702"/>
      <c r="Z708" s="702"/>
      <c r="AA708" s="702"/>
      <c r="AB708" s="702"/>
      <c r="AC708" s="702"/>
    </row>
    <row r="709" ht="15.75" customHeight="1">
      <c r="A709" s="702"/>
      <c r="B709" s="702"/>
      <c r="C709" s="702"/>
      <c r="D709" s="702"/>
      <c r="E709" s="702"/>
      <c r="F709" s="702"/>
      <c r="G709" s="702"/>
      <c r="H709" s="702"/>
      <c r="I709" s="702"/>
      <c r="J709" s="702"/>
      <c r="K709" s="702"/>
      <c r="L709" s="702"/>
      <c r="M709" s="702"/>
      <c r="N709" s="702"/>
      <c r="O709" s="702"/>
      <c r="P709" s="702"/>
      <c r="Q709" s="702"/>
      <c r="R709" s="702"/>
      <c r="S709" s="702"/>
      <c r="T709" s="702"/>
      <c r="U709" s="702"/>
      <c r="V709" s="702"/>
      <c r="W709" s="702"/>
      <c r="X709" s="702"/>
      <c r="Y709" s="702"/>
      <c r="Z709" s="702"/>
      <c r="AA709" s="702"/>
      <c r="AB709" s="702"/>
      <c r="AC709" s="702"/>
    </row>
    <row r="710" ht="15.75" customHeight="1">
      <c r="A710" s="702"/>
      <c r="B710" s="702"/>
      <c r="C710" s="702"/>
      <c r="D710" s="702"/>
      <c r="E710" s="702"/>
      <c r="F710" s="702"/>
      <c r="G710" s="702"/>
      <c r="H710" s="702"/>
      <c r="I710" s="702"/>
      <c r="J710" s="702"/>
      <c r="K710" s="702"/>
      <c r="L710" s="702"/>
      <c r="M710" s="702"/>
      <c r="N710" s="702"/>
      <c r="O710" s="702"/>
      <c r="P710" s="702"/>
      <c r="Q710" s="702"/>
      <c r="R710" s="702"/>
      <c r="S710" s="702"/>
      <c r="T710" s="702"/>
      <c r="U710" s="702"/>
      <c r="V710" s="702"/>
      <c r="W710" s="702"/>
      <c r="X710" s="702"/>
      <c r="Y710" s="702"/>
      <c r="Z710" s="702"/>
      <c r="AA710" s="702"/>
      <c r="AB710" s="702"/>
      <c r="AC710" s="702"/>
    </row>
    <row r="711" ht="15.75" customHeight="1">
      <c r="A711" s="702"/>
      <c r="B711" s="702"/>
      <c r="C711" s="702"/>
      <c r="D711" s="702"/>
      <c r="E711" s="702"/>
      <c r="F711" s="702"/>
      <c r="G711" s="702"/>
      <c r="H711" s="702"/>
      <c r="I711" s="702"/>
      <c r="J711" s="702"/>
      <c r="K711" s="702"/>
      <c r="L711" s="702"/>
      <c r="M711" s="702"/>
      <c r="N711" s="702"/>
      <c r="O711" s="702"/>
      <c r="P711" s="702"/>
      <c r="Q711" s="702"/>
      <c r="R711" s="702"/>
      <c r="S711" s="702"/>
      <c r="T711" s="702"/>
      <c r="U711" s="702"/>
      <c r="V711" s="702"/>
      <c r="W711" s="702"/>
      <c r="X711" s="702"/>
      <c r="Y711" s="702"/>
      <c r="Z711" s="702"/>
      <c r="AA711" s="702"/>
      <c r="AB711" s="702"/>
      <c r="AC711" s="702"/>
    </row>
    <row r="712" ht="15.75" customHeight="1">
      <c r="A712" s="702"/>
      <c r="B712" s="702"/>
      <c r="C712" s="702"/>
      <c r="D712" s="702"/>
      <c r="E712" s="702"/>
      <c r="F712" s="702"/>
      <c r="G712" s="702"/>
      <c r="H712" s="702"/>
      <c r="I712" s="702"/>
      <c r="J712" s="702"/>
      <c r="K712" s="702"/>
      <c r="L712" s="702"/>
      <c r="M712" s="702"/>
      <c r="N712" s="702"/>
      <c r="O712" s="702"/>
      <c r="P712" s="702"/>
      <c r="Q712" s="702"/>
      <c r="R712" s="702"/>
      <c r="S712" s="702"/>
      <c r="T712" s="702"/>
      <c r="U712" s="702"/>
      <c r="V712" s="702"/>
      <c r="W712" s="702"/>
      <c r="X712" s="702"/>
      <c r="Y712" s="702"/>
      <c r="Z712" s="702"/>
      <c r="AA712" s="702"/>
      <c r="AB712" s="702"/>
      <c r="AC712" s="702"/>
    </row>
    <row r="713" ht="15.75" customHeight="1">
      <c r="A713" s="702"/>
      <c r="B713" s="702"/>
      <c r="C713" s="702"/>
      <c r="D713" s="702"/>
      <c r="E713" s="702"/>
      <c r="F713" s="702"/>
      <c r="G713" s="702"/>
      <c r="H713" s="702"/>
      <c r="I713" s="702"/>
      <c r="J713" s="702"/>
      <c r="K713" s="702"/>
      <c r="L713" s="702"/>
      <c r="M713" s="702"/>
      <c r="N713" s="702"/>
      <c r="O713" s="702"/>
      <c r="P713" s="702"/>
      <c r="Q713" s="702"/>
      <c r="R713" s="702"/>
      <c r="S713" s="702"/>
      <c r="T713" s="702"/>
      <c r="U713" s="702"/>
      <c r="V713" s="702"/>
      <c r="W713" s="702"/>
      <c r="X713" s="702"/>
      <c r="Y713" s="702"/>
      <c r="Z713" s="702"/>
      <c r="AA713" s="702"/>
      <c r="AB713" s="702"/>
      <c r="AC713" s="702"/>
    </row>
    <row r="714" ht="15.75" customHeight="1">
      <c r="A714" s="702"/>
      <c r="B714" s="702"/>
      <c r="C714" s="702"/>
      <c r="D714" s="702"/>
      <c r="E714" s="702"/>
      <c r="F714" s="702"/>
      <c r="G714" s="702"/>
      <c r="H714" s="702"/>
      <c r="I714" s="702"/>
      <c r="J714" s="702"/>
      <c r="K714" s="702"/>
      <c r="L714" s="702"/>
      <c r="M714" s="702"/>
      <c r="N714" s="702"/>
      <c r="O714" s="702"/>
      <c r="P714" s="702"/>
      <c r="Q714" s="702"/>
      <c r="R714" s="702"/>
      <c r="S714" s="702"/>
      <c r="T714" s="702"/>
      <c r="U714" s="702"/>
      <c r="V714" s="702"/>
      <c r="W714" s="702"/>
      <c r="X714" s="702"/>
      <c r="Y714" s="702"/>
      <c r="Z714" s="702"/>
      <c r="AA714" s="702"/>
      <c r="AB714" s="702"/>
      <c r="AC714" s="702"/>
    </row>
    <row r="715" ht="15.75" customHeight="1">
      <c r="A715" s="702"/>
      <c r="B715" s="702"/>
      <c r="C715" s="702"/>
      <c r="D715" s="702"/>
      <c r="E715" s="702"/>
      <c r="F715" s="702"/>
      <c r="G715" s="702"/>
      <c r="H715" s="702"/>
      <c r="I715" s="702"/>
      <c r="J715" s="702"/>
      <c r="K715" s="702"/>
      <c r="L715" s="702"/>
      <c r="M715" s="702"/>
      <c r="N715" s="702"/>
      <c r="O715" s="702"/>
      <c r="P715" s="702"/>
      <c r="Q715" s="702"/>
      <c r="R715" s="702"/>
      <c r="S715" s="702"/>
      <c r="T715" s="702"/>
      <c r="U715" s="702"/>
      <c r="V715" s="702"/>
      <c r="W715" s="702"/>
      <c r="X715" s="702"/>
      <c r="Y715" s="702"/>
      <c r="Z715" s="702"/>
      <c r="AA715" s="702"/>
      <c r="AB715" s="702"/>
      <c r="AC715" s="702"/>
    </row>
    <row r="716" ht="15.75" customHeight="1">
      <c r="A716" s="702"/>
      <c r="B716" s="702"/>
      <c r="C716" s="702"/>
      <c r="D716" s="702"/>
      <c r="E716" s="702"/>
      <c r="F716" s="702"/>
      <c r="G716" s="702"/>
      <c r="H716" s="702"/>
      <c r="I716" s="702"/>
      <c r="J716" s="702"/>
      <c r="K716" s="702"/>
      <c r="L716" s="702"/>
      <c r="M716" s="702"/>
      <c r="N716" s="702"/>
      <c r="O716" s="702"/>
      <c r="P716" s="702"/>
      <c r="Q716" s="702"/>
      <c r="R716" s="702"/>
      <c r="S716" s="702"/>
      <c r="T716" s="702"/>
      <c r="U716" s="702"/>
      <c r="V716" s="702"/>
      <c r="W716" s="702"/>
      <c r="X716" s="702"/>
      <c r="Y716" s="702"/>
      <c r="Z716" s="702"/>
      <c r="AA716" s="702"/>
      <c r="AB716" s="702"/>
      <c r="AC716" s="702"/>
    </row>
    <row r="717" ht="15.75" customHeight="1">
      <c r="A717" s="702"/>
      <c r="B717" s="702"/>
      <c r="C717" s="702"/>
      <c r="D717" s="702"/>
      <c r="E717" s="702"/>
      <c r="F717" s="702"/>
      <c r="G717" s="702"/>
      <c r="H717" s="702"/>
      <c r="I717" s="702"/>
      <c r="J717" s="702"/>
      <c r="K717" s="702"/>
      <c r="L717" s="702"/>
      <c r="M717" s="702"/>
      <c r="N717" s="702"/>
      <c r="O717" s="702"/>
      <c r="P717" s="702"/>
      <c r="Q717" s="702"/>
      <c r="R717" s="702"/>
      <c r="S717" s="702"/>
      <c r="T717" s="702"/>
      <c r="U717" s="702"/>
      <c r="V717" s="702"/>
      <c r="W717" s="702"/>
      <c r="X717" s="702"/>
      <c r="Y717" s="702"/>
      <c r="Z717" s="702"/>
      <c r="AA717" s="702"/>
      <c r="AB717" s="702"/>
      <c r="AC717" s="702"/>
    </row>
    <row r="718" ht="15.75" customHeight="1">
      <c r="A718" s="702"/>
      <c r="B718" s="702"/>
      <c r="C718" s="702"/>
      <c r="D718" s="702"/>
      <c r="E718" s="702"/>
      <c r="F718" s="702"/>
      <c r="G718" s="702"/>
      <c r="H718" s="702"/>
      <c r="I718" s="702"/>
      <c r="J718" s="702"/>
      <c r="K718" s="702"/>
      <c r="L718" s="702"/>
      <c r="M718" s="702"/>
      <c r="N718" s="702"/>
      <c r="O718" s="702"/>
      <c r="P718" s="702"/>
      <c r="Q718" s="702"/>
      <c r="R718" s="702"/>
      <c r="S718" s="702"/>
      <c r="T718" s="702"/>
      <c r="U718" s="702"/>
      <c r="V718" s="702"/>
      <c r="W718" s="702"/>
      <c r="X718" s="702"/>
      <c r="Y718" s="702"/>
      <c r="Z718" s="702"/>
      <c r="AA718" s="702"/>
      <c r="AB718" s="702"/>
      <c r="AC718" s="702"/>
    </row>
    <row r="719" ht="15.75" customHeight="1">
      <c r="A719" s="702"/>
      <c r="B719" s="702"/>
      <c r="C719" s="702"/>
      <c r="D719" s="702"/>
      <c r="E719" s="702"/>
      <c r="F719" s="702"/>
      <c r="G719" s="702"/>
      <c r="H719" s="702"/>
      <c r="I719" s="702"/>
      <c r="J719" s="702"/>
      <c r="K719" s="702"/>
      <c r="L719" s="702"/>
      <c r="M719" s="702"/>
      <c r="N719" s="702"/>
      <c r="O719" s="702"/>
      <c r="P719" s="702"/>
      <c r="Q719" s="702"/>
      <c r="R719" s="702"/>
      <c r="S719" s="702"/>
      <c r="T719" s="702"/>
      <c r="U719" s="702"/>
      <c r="V719" s="702"/>
      <c r="W719" s="702"/>
      <c r="X719" s="702"/>
      <c r="Y719" s="702"/>
      <c r="Z719" s="702"/>
      <c r="AA719" s="702"/>
      <c r="AB719" s="702"/>
      <c r="AC719" s="702"/>
    </row>
    <row r="720" ht="15.75" customHeight="1">
      <c r="A720" s="702"/>
      <c r="B720" s="702"/>
      <c r="C720" s="702"/>
      <c r="D720" s="702"/>
      <c r="E720" s="702"/>
      <c r="F720" s="702"/>
      <c r="G720" s="702"/>
      <c r="H720" s="702"/>
      <c r="I720" s="702"/>
      <c r="J720" s="702"/>
      <c r="K720" s="702"/>
      <c r="L720" s="702"/>
      <c r="M720" s="702"/>
      <c r="N720" s="702"/>
      <c r="O720" s="702"/>
      <c r="P720" s="702"/>
      <c r="Q720" s="702"/>
      <c r="R720" s="702"/>
      <c r="S720" s="702"/>
      <c r="T720" s="702"/>
      <c r="U720" s="702"/>
      <c r="V720" s="702"/>
      <c r="W720" s="702"/>
      <c r="X720" s="702"/>
      <c r="Y720" s="702"/>
      <c r="Z720" s="702"/>
      <c r="AA720" s="702"/>
      <c r="AB720" s="702"/>
      <c r="AC720" s="702"/>
    </row>
    <row r="721" ht="15.75" customHeight="1">
      <c r="A721" s="702"/>
      <c r="B721" s="702"/>
      <c r="C721" s="702"/>
      <c r="D721" s="702"/>
      <c r="E721" s="702"/>
      <c r="F721" s="702"/>
      <c r="G721" s="702"/>
      <c r="H721" s="702"/>
      <c r="I721" s="702"/>
      <c r="J721" s="702"/>
      <c r="K721" s="702"/>
      <c r="L721" s="702"/>
      <c r="M721" s="702"/>
      <c r="N721" s="702"/>
      <c r="O721" s="702"/>
      <c r="P721" s="702"/>
      <c r="Q721" s="702"/>
      <c r="R721" s="702"/>
      <c r="S721" s="702"/>
      <c r="T721" s="702"/>
      <c r="U721" s="702"/>
      <c r="V721" s="702"/>
      <c r="W721" s="702"/>
      <c r="X721" s="702"/>
      <c r="Y721" s="702"/>
      <c r="Z721" s="702"/>
      <c r="AA721" s="702"/>
      <c r="AB721" s="702"/>
      <c r="AC721" s="702"/>
    </row>
    <row r="722" ht="15.75" customHeight="1">
      <c r="A722" s="702"/>
      <c r="B722" s="702"/>
      <c r="C722" s="702"/>
      <c r="D722" s="702"/>
      <c r="E722" s="702"/>
      <c r="F722" s="702"/>
      <c r="G722" s="702"/>
      <c r="H722" s="702"/>
      <c r="I722" s="702"/>
      <c r="J722" s="702"/>
      <c r="K722" s="702"/>
      <c r="L722" s="702"/>
      <c r="M722" s="702"/>
      <c r="N722" s="702"/>
      <c r="O722" s="702"/>
      <c r="P722" s="702"/>
      <c r="Q722" s="702"/>
      <c r="R722" s="702"/>
      <c r="S722" s="702"/>
      <c r="T722" s="702"/>
      <c r="U722" s="702"/>
      <c r="V722" s="702"/>
      <c r="W722" s="702"/>
      <c r="X722" s="702"/>
      <c r="Y722" s="702"/>
      <c r="Z722" s="702"/>
      <c r="AA722" s="702"/>
      <c r="AB722" s="702"/>
      <c r="AC722" s="702"/>
    </row>
    <row r="723" ht="15.75" customHeight="1">
      <c r="A723" s="702"/>
      <c r="B723" s="702"/>
      <c r="C723" s="702"/>
      <c r="D723" s="702"/>
      <c r="E723" s="702"/>
      <c r="F723" s="702"/>
      <c r="G723" s="702"/>
      <c r="H723" s="702"/>
      <c r="I723" s="702"/>
      <c r="J723" s="702"/>
      <c r="K723" s="702"/>
      <c r="L723" s="702"/>
      <c r="M723" s="702"/>
      <c r="N723" s="702"/>
      <c r="O723" s="702"/>
      <c r="P723" s="702"/>
      <c r="Q723" s="702"/>
      <c r="R723" s="702"/>
      <c r="S723" s="702"/>
      <c r="T723" s="702"/>
      <c r="U723" s="702"/>
      <c r="V723" s="702"/>
      <c r="W723" s="702"/>
      <c r="X723" s="702"/>
      <c r="Y723" s="702"/>
      <c r="Z723" s="702"/>
      <c r="AA723" s="702"/>
      <c r="AB723" s="702"/>
      <c r="AC723" s="702"/>
    </row>
    <row r="724" ht="15.75" customHeight="1">
      <c r="A724" s="702"/>
      <c r="B724" s="702"/>
      <c r="C724" s="702"/>
      <c r="D724" s="702"/>
      <c r="E724" s="702"/>
      <c r="F724" s="702"/>
      <c r="G724" s="702"/>
      <c r="H724" s="702"/>
      <c r="I724" s="702"/>
      <c r="J724" s="702"/>
      <c r="K724" s="702"/>
      <c r="L724" s="702"/>
      <c r="M724" s="702"/>
      <c r="N724" s="702"/>
      <c r="O724" s="702"/>
      <c r="P724" s="702"/>
      <c r="Q724" s="702"/>
      <c r="R724" s="702"/>
      <c r="S724" s="702"/>
      <c r="T724" s="702"/>
      <c r="U724" s="702"/>
      <c r="V724" s="702"/>
      <c r="W724" s="702"/>
      <c r="X724" s="702"/>
      <c r="Y724" s="702"/>
      <c r="Z724" s="702"/>
      <c r="AA724" s="702"/>
      <c r="AB724" s="702"/>
      <c r="AC724" s="702"/>
    </row>
    <row r="725" ht="15.75" customHeight="1">
      <c r="A725" s="702"/>
      <c r="B725" s="702"/>
      <c r="C725" s="702"/>
      <c r="D725" s="702"/>
      <c r="E725" s="702"/>
      <c r="F725" s="702"/>
      <c r="G725" s="702"/>
      <c r="H725" s="702"/>
      <c r="I725" s="702"/>
      <c r="J725" s="702"/>
      <c r="K725" s="702"/>
      <c r="L725" s="702"/>
      <c r="M725" s="702"/>
      <c r="N725" s="702"/>
      <c r="O725" s="702"/>
      <c r="P725" s="702"/>
      <c r="Q725" s="702"/>
      <c r="R725" s="702"/>
      <c r="S725" s="702"/>
      <c r="T725" s="702"/>
      <c r="U725" s="702"/>
      <c r="V725" s="702"/>
      <c r="W725" s="702"/>
      <c r="X725" s="702"/>
      <c r="Y725" s="702"/>
      <c r="Z725" s="702"/>
      <c r="AA725" s="702"/>
      <c r="AB725" s="702"/>
      <c r="AC725" s="702"/>
    </row>
    <row r="726" ht="15.75" customHeight="1">
      <c r="A726" s="702"/>
      <c r="B726" s="702"/>
      <c r="C726" s="702"/>
      <c r="D726" s="702"/>
      <c r="E726" s="702"/>
      <c r="F726" s="702"/>
      <c r="G726" s="702"/>
      <c r="H726" s="702"/>
      <c r="I726" s="702"/>
      <c r="J726" s="702"/>
      <c r="K726" s="702"/>
      <c r="L726" s="702"/>
      <c r="M726" s="702"/>
      <c r="N726" s="702"/>
      <c r="O726" s="702"/>
      <c r="P726" s="702"/>
      <c r="Q726" s="702"/>
      <c r="R726" s="702"/>
      <c r="S726" s="702"/>
      <c r="T726" s="702"/>
      <c r="U726" s="702"/>
      <c r="V726" s="702"/>
      <c r="W726" s="702"/>
      <c r="X726" s="702"/>
      <c r="Y726" s="702"/>
      <c r="Z726" s="702"/>
      <c r="AA726" s="702"/>
      <c r="AB726" s="702"/>
      <c r="AC726" s="702"/>
    </row>
    <row r="727" ht="15.75" customHeight="1">
      <c r="A727" s="702"/>
      <c r="B727" s="702"/>
      <c r="C727" s="702"/>
      <c r="D727" s="702"/>
      <c r="E727" s="702"/>
      <c r="F727" s="702"/>
      <c r="G727" s="702"/>
      <c r="H727" s="702"/>
      <c r="I727" s="702"/>
      <c r="J727" s="702"/>
      <c r="K727" s="702"/>
      <c r="L727" s="702"/>
      <c r="M727" s="702"/>
      <c r="N727" s="702"/>
      <c r="O727" s="702"/>
      <c r="P727" s="702"/>
      <c r="Q727" s="702"/>
      <c r="R727" s="702"/>
      <c r="S727" s="702"/>
      <c r="T727" s="702"/>
      <c r="U727" s="702"/>
      <c r="V727" s="702"/>
      <c r="W727" s="702"/>
      <c r="X727" s="702"/>
      <c r="Y727" s="702"/>
      <c r="Z727" s="702"/>
      <c r="AA727" s="702"/>
      <c r="AB727" s="702"/>
      <c r="AC727" s="702"/>
    </row>
    <row r="728" ht="15.75" customHeight="1">
      <c r="A728" s="702"/>
      <c r="B728" s="702"/>
      <c r="C728" s="702"/>
      <c r="D728" s="702"/>
      <c r="E728" s="702"/>
      <c r="F728" s="702"/>
      <c r="G728" s="702"/>
      <c r="H728" s="702"/>
      <c r="I728" s="702"/>
      <c r="J728" s="702"/>
      <c r="K728" s="702"/>
      <c r="L728" s="702"/>
      <c r="M728" s="702"/>
      <c r="N728" s="702"/>
      <c r="O728" s="702"/>
      <c r="P728" s="702"/>
      <c r="Q728" s="702"/>
      <c r="R728" s="702"/>
      <c r="S728" s="702"/>
      <c r="T728" s="702"/>
      <c r="U728" s="702"/>
      <c r="V728" s="702"/>
      <c r="W728" s="702"/>
      <c r="X728" s="702"/>
      <c r="Y728" s="702"/>
      <c r="Z728" s="702"/>
      <c r="AA728" s="702"/>
      <c r="AB728" s="702"/>
      <c r="AC728" s="702"/>
    </row>
    <row r="729" ht="15.75" customHeight="1">
      <c r="A729" s="702"/>
      <c r="B729" s="702"/>
      <c r="C729" s="702"/>
      <c r="D729" s="702"/>
      <c r="E729" s="702"/>
      <c r="F729" s="702"/>
      <c r="G729" s="702"/>
      <c r="H729" s="702"/>
      <c r="I729" s="702"/>
      <c r="J729" s="702"/>
      <c r="K729" s="702"/>
      <c r="L729" s="702"/>
      <c r="M729" s="702"/>
      <c r="N729" s="702"/>
      <c r="O729" s="702"/>
      <c r="P729" s="702"/>
      <c r="Q729" s="702"/>
      <c r="R729" s="702"/>
      <c r="S729" s="702"/>
      <c r="T729" s="702"/>
      <c r="U729" s="702"/>
      <c r="V729" s="702"/>
      <c r="W729" s="702"/>
      <c r="X729" s="702"/>
      <c r="Y729" s="702"/>
      <c r="Z729" s="702"/>
      <c r="AA729" s="702"/>
      <c r="AB729" s="702"/>
      <c r="AC729" s="702"/>
    </row>
    <row r="730" ht="15.75" customHeight="1">
      <c r="A730" s="702"/>
      <c r="B730" s="702"/>
      <c r="C730" s="702"/>
      <c r="D730" s="702"/>
      <c r="E730" s="702"/>
      <c r="F730" s="702"/>
      <c r="G730" s="702"/>
      <c r="H730" s="702"/>
      <c r="I730" s="702"/>
      <c r="J730" s="702"/>
      <c r="K730" s="702"/>
      <c r="L730" s="702"/>
      <c r="M730" s="702"/>
      <c r="N730" s="702"/>
      <c r="O730" s="702"/>
      <c r="P730" s="702"/>
      <c r="Q730" s="702"/>
      <c r="R730" s="702"/>
      <c r="S730" s="702"/>
      <c r="T730" s="702"/>
      <c r="U730" s="702"/>
      <c r="V730" s="702"/>
      <c r="W730" s="702"/>
      <c r="X730" s="702"/>
      <c r="Y730" s="702"/>
      <c r="Z730" s="702"/>
      <c r="AA730" s="702"/>
      <c r="AB730" s="702"/>
      <c r="AC730" s="702"/>
    </row>
    <row r="731" ht="15.75" customHeight="1">
      <c r="A731" s="702"/>
      <c r="B731" s="702"/>
      <c r="C731" s="702"/>
      <c r="D731" s="702"/>
      <c r="E731" s="702"/>
      <c r="F731" s="702"/>
      <c r="G731" s="702"/>
      <c r="H731" s="702"/>
      <c r="I731" s="702"/>
      <c r="J731" s="702"/>
      <c r="K731" s="702"/>
      <c r="L731" s="702"/>
      <c r="M731" s="702"/>
      <c r="N731" s="702"/>
      <c r="O731" s="702"/>
      <c r="P731" s="702"/>
      <c r="Q731" s="702"/>
      <c r="R731" s="702"/>
      <c r="S731" s="702"/>
      <c r="T731" s="702"/>
      <c r="U731" s="702"/>
      <c r="V731" s="702"/>
      <c r="W731" s="702"/>
      <c r="X731" s="702"/>
      <c r="Y731" s="702"/>
      <c r="Z731" s="702"/>
      <c r="AA731" s="702"/>
      <c r="AB731" s="702"/>
      <c r="AC731" s="702"/>
    </row>
    <row r="732" ht="15.75" customHeight="1">
      <c r="A732" s="702"/>
      <c r="B732" s="702"/>
      <c r="C732" s="702"/>
      <c r="D732" s="702"/>
      <c r="E732" s="702"/>
      <c r="F732" s="702"/>
      <c r="G732" s="702"/>
      <c r="H732" s="702"/>
      <c r="I732" s="702"/>
      <c r="J732" s="702"/>
      <c r="K732" s="702"/>
      <c r="L732" s="702"/>
      <c r="M732" s="702"/>
      <c r="N732" s="702"/>
      <c r="O732" s="702"/>
      <c r="P732" s="702"/>
      <c r="Q732" s="702"/>
      <c r="R732" s="702"/>
      <c r="S732" s="702"/>
      <c r="T732" s="702"/>
      <c r="U732" s="702"/>
      <c r="V732" s="702"/>
      <c r="W732" s="702"/>
      <c r="X732" s="702"/>
      <c r="Y732" s="702"/>
      <c r="Z732" s="702"/>
      <c r="AA732" s="702"/>
      <c r="AB732" s="702"/>
      <c r="AC732" s="702"/>
    </row>
    <row r="733" ht="15.75" customHeight="1">
      <c r="A733" s="702"/>
      <c r="B733" s="702"/>
      <c r="C733" s="702"/>
      <c r="D733" s="702"/>
      <c r="E733" s="702"/>
      <c r="F733" s="702"/>
      <c r="G733" s="702"/>
      <c r="H733" s="702"/>
      <c r="I733" s="702"/>
      <c r="J733" s="702"/>
      <c r="K733" s="702"/>
      <c r="L733" s="702"/>
      <c r="M733" s="702"/>
      <c r="N733" s="702"/>
      <c r="O733" s="702"/>
      <c r="P733" s="702"/>
      <c r="Q733" s="702"/>
      <c r="R733" s="702"/>
      <c r="S733" s="702"/>
      <c r="T733" s="702"/>
      <c r="U733" s="702"/>
      <c r="V733" s="702"/>
      <c r="W733" s="702"/>
      <c r="X733" s="702"/>
      <c r="Y733" s="702"/>
      <c r="Z733" s="702"/>
      <c r="AA733" s="702"/>
      <c r="AB733" s="702"/>
      <c r="AC733" s="702"/>
    </row>
    <row r="734" ht="15.75" customHeight="1">
      <c r="A734" s="702"/>
      <c r="B734" s="702"/>
      <c r="C734" s="702"/>
      <c r="D734" s="702"/>
      <c r="E734" s="702"/>
      <c r="F734" s="702"/>
      <c r="G734" s="702"/>
      <c r="H734" s="702"/>
      <c r="I734" s="702"/>
      <c r="J734" s="702"/>
      <c r="K734" s="702"/>
      <c r="L734" s="702"/>
      <c r="M734" s="702"/>
      <c r="N734" s="702"/>
      <c r="O734" s="702"/>
      <c r="P734" s="702"/>
      <c r="Q734" s="702"/>
      <c r="R734" s="702"/>
      <c r="S734" s="702"/>
      <c r="T734" s="702"/>
      <c r="U734" s="702"/>
      <c r="V734" s="702"/>
      <c r="W734" s="702"/>
      <c r="X734" s="702"/>
      <c r="Y734" s="702"/>
      <c r="Z734" s="702"/>
      <c r="AA734" s="702"/>
      <c r="AB734" s="702"/>
      <c r="AC734" s="702"/>
    </row>
    <row r="735" ht="15.75" customHeight="1">
      <c r="A735" s="702"/>
      <c r="B735" s="702"/>
      <c r="C735" s="702"/>
      <c r="D735" s="702"/>
      <c r="E735" s="702"/>
      <c r="F735" s="702"/>
      <c r="G735" s="702"/>
      <c r="H735" s="702"/>
      <c r="I735" s="702"/>
      <c r="J735" s="702"/>
      <c r="K735" s="702"/>
      <c r="L735" s="702"/>
      <c r="M735" s="702"/>
      <c r="N735" s="702"/>
      <c r="O735" s="702"/>
      <c r="P735" s="702"/>
      <c r="Q735" s="702"/>
      <c r="R735" s="702"/>
      <c r="S735" s="702"/>
      <c r="T735" s="702"/>
      <c r="U735" s="702"/>
      <c r="V735" s="702"/>
      <c r="W735" s="702"/>
      <c r="X735" s="702"/>
      <c r="Y735" s="702"/>
      <c r="Z735" s="702"/>
      <c r="AA735" s="702"/>
      <c r="AB735" s="702"/>
      <c r="AC735" s="702"/>
    </row>
    <row r="736" ht="15.75" customHeight="1">
      <c r="A736" s="702"/>
      <c r="B736" s="702"/>
      <c r="C736" s="702"/>
      <c r="D736" s="702"/>
      <c r="E736" s="702"/>
      <c r="F736" s="702"/>
      <c r="G736" s="702"/>
      <c r="H736" s="702"/>
      <c r="I736" s="702"/>
      <c r="J736" s="702"/>
      <c r="K736" s="702"/>
      <c r="L736" s="702"/>
      <c r="M736" s="702"/>
      <c r="N736" s="702"/>
      <c r="O736" s="702"/>
      <c r="P736" s="702"/>
      <c r="Q736" s="702"/>
      <c r="R736" s="702"/>
      <c r="S736" s="702"/>
      <c r="T736" s="702"/>
      <c r="U736" s="702"/>
      <c r="V736" s="702"/>
      <c r="W736" s="702"/>
      <c r="X736" s="702"/>
      <c r="Y736" s="702"/>
      <c r="Z736" s="702"/>
      <c r="AA736" s="702"/>
      <c r="AB736" s="702"/>
      <c r="AC736" s="702"/>
    </row>
    <row r="737" ht="15.75" customHeight="1">
      <c r="A737" s="702"/>
      <c r="B737" s="702"/>
      <c r="C737" s="702"/>
      <c r="D737" s="702"/>
      <c r="E737" s="702"/>
      <c r="F737" s="702"/>
      <c r="G737" s="702"/>
      <c r="H737" s="702"/>
      <c r="I737" s="702"/>
      <c r="J737" s="702"/>
      <c r="K737" s="702"/>
      <c r="L737" s="702"/>
      <c r="M737" s="702"/>
      <c r="N737" s="702"/>
      <c r="O737" s="702"/>
      <c r="P737" s="702"/>
      <c r="Q737" s="702"/>
      <c r="R737" s="702"/>
      <c r="S737" s="702"/>
      <c r="T737" s="702"/>
      <c r="U737" s="702"/>
      <c r="V737" s="702"/>
      <c r="W737" s="702"/>
      <c r="X737" s="702"/>
      <c r="Y737" s="702"/>
      <c r="Z737" s="702"/>
      <c r="AA737" s="702"/>
      <c r="AB737" s="702"/>
      <c r="AC737" s="702"/>
    </row>
    <row r="738" ht="15.75" customHeight="1">
      <c r="A738" s="702"/>
      <c r="B738" s="702"/>
      <c r="C738" s="702"/>
      <c r="D738" s="702"/>
      <c r="E738" s="702"/>
      <c r="F738" s="702"/>
      <c r="G738" s="702"/>
      <c r="H738" s="702"/>
      <c r="I738" s="702"/>
      <c r="J738" s="702"/>
      <c r="K738" s="702"/>
      <c r="L738" s="702"/>
      <c r="M738" s="702"/>
      <c r="N738" s="702"/>
      <c r="O738" s="702"/>
      <c r="P738" s="702"/>
      <c r="Q738" s="702"/>
      <c r="R738" s="702"/>
      <c r="S738" s="702"/>
      <c r="T738" s="702"/>
      <c r="U738" s="702"/>
      <c r="V738" s="702"/>
      <c r="W738" s="702"/>
      <c r="X738" s="702"/>
      <c r="Y738" s="702"/>
      <c r="Z738" s="702"/>
      <c r="AA738" s="702"/>
      <c r="AB738" s="702"/>
      <c r="AC738" s="702"/>
    </row>
    <row r="739" ht="15.75" customHeight="1">
      <c r="A739" s="702"/>
      <c r="B739" s="702"/>
      <c r="C739" s="702"/>
      <c r="D739" s="702"/>
      <c r="E739" s="702"/>
      <c r="F739" s="702"/>
      <c r="G739" s="702"/>
      <c r="H739" s="702"/>
      <c r="I739" s="702"/>
      <c r="J739" s="702"/>
      <c r="K739" s="702"/>
      <c r="L739" s="702"/>
      <c r="M739" s="702"/>
      <c r="N739" s="702"/>
      <c r="O739" s="702"/>
      <c r="P739" s="702"/>
      <c r="Q739" s="702"/>
      <c r="R739" s="702"/>
      <c r="S739" s="702"/>
      <c r="T739" s="702"/>
      <c r="U739" s="702"/>
      <c r="V739" s="702"/>
      <c r="W739" s="702"/>
      <c r="X739" s="702"/>
      <c r="Y739" s="702"/>
      <c r="Z739" s="702"/>
      <c r="AA739" s="702"/>
      <c r="AB739" s="702"/>
      <c r="AC739" s="702"/>
    </row>
    <row r="740" ht="15.75" customHeight="1">
      <c r="A740" s="702"/>
      <c r="B740" s="702"/>
      <c r="C740" s="702"/>
      <c r="D740" s="702"/>
      <c r="E740" s="702"/>
      <c r="F740" s="702"/>
      <c r="G740" s="702"/>
      <c r="H740" s="702"/>
      <c r="I740" s="702"/>
      <c r="J740" s="702"/>
      <c r="K740" s="702"/>
      <c r="L740" s="702"/>
      <c r="M740" s="702"/>
      <c r="N740" s="702"/>
      <c r="O740" s="702"/>
      <c r="P740" s="702"/>
      <c r="Q740" s="702"/>
      <c r="R740" s="702"/>
      <c r="S740" s="702"/>
      <c r="T740" s="702"/>
      <c r="U740" s="702"/>
      <c r="V740" s="702"/>
      <c r="W740" s="702"/>
      <c r="X740" s="702"/>
      <c r="Y740" s="702"/>
      <c r="Z740" s="702"/>
      <c r="AA740" s="702"/>
      <c r="AB740" s="702"/>
      <c r="AC740" s="702"/>
    </row>
    <row r="741" ht="15.75" customHeight="1">
      <c r="A741" s="702"/>
      <c r="B741" s="702"/>
      <c r="C741" s="702"/>
      <c r="D741" s="702"/>
      <c r="E741" s="702"/>
      <c r="F741" s="702"/>
      <c r="G741" s="702"/>
      <c r="H741" s="702"/>
      <c r="I741" s="702"/>
      <c r="J741" s="702"/>
      <c r="K741" s="702"/>
      <c r="L741" s="702"/>
      <c r="M741" s="702"/>
      <c r="N741" s="702"/>
      <c r="O741" s="702"/>
      <c r="P741" s="702"/>
      <c r="Q741" s="702"/>
      <c r="R741" s="702"/>
      <c r="S741" s="702"/>
      <c r="T741" s="702"/>
      <c r="U741" s="702"/>
      <c r="V741" s="702"/>
      <c r="W741" s="702"/>
      <c r="X741" s="702"/>
      <c r="Y741" s="702"/>
      <c r="Z741" s="702"/>
      <c r="AA741" s="702"/>
      <c r="AB741" s="702"/>
      <c r="AC741" s="702"/>
    </row>
    <row r="742" ht="15.75" customHeight="1">
      <c r="A742" s="702"/>
      <c r="B742" s="702"/>
      <c r="C742" s="702"/>
      <c r="D742" s="702"/>
      <c r="E742" s="702"/>
      <c r="F742" s="702"/>
      <c r="G742" s="702"/>
      <c r="H742" s="702"/>
      <c r="I742" s="702"/>
      <c r="J742" s="702"/>
      <c r="K742" s="702"/>
      <c r="L742" s="702"/>
      <c r="M742" s="702"/>
      <c r="N742" s="702"/>
      <c r="O742" s="702"/>
      <c r="P742" s="702"/>
      <c r="Q742" s="702"/>
      <c r="R742" s="702"/>
      <c r="S742" s="702"/>
      <c r="T742" s="702"/>
      <c r="U742" s="702"/>
      <c r="V742" s="702"/>
      <c r="W742" s="702"/>
      <c r="X742" s="702"/>
      <c r="Y742" s="702"/>
      <c r="Z742" s="702"/>
      <c r="AA742" s="702"/>
      <c r="AB742" s="702"/>
      <c r="AC742" s="702"/>
    </row>
    <row r="743" ht="15.75" customHeight="1">
      <c r="A743" s="702"/>
      <c r="B743" s="702"/>
      <c r="C743" s="702"/>
      <c r="D743" s="702"/>
      <c r="E743" s="702"/>
      <c r="F743" s="702"/>
      <c r="G743" s="702"/>
      <c r="H743" s="702"/>
      <c r="I743" s="702"/>
      <c r="J743" s="702"/>
      <c r="K743" s="702"/>
      <c r="L743" s="702"/>
      <c r="M743" s="702"/>
      <c r="N743" s="702"/>
      <c r="O743" s="702"/>
      <c r="P743" s="702"/>
      <c r="Q743" s="702"/>
      <c r="R743" s="702"/>
      <c r="S743" s="702"/>
      <c r="T743" s="702"/>
      <c r="U743" s="702"/>
      <c r="V743" s="702"/>
      <c r="W743" s="702"/>
      <c r="X743" s="702"/>
      <c r="Y743" s="702"/>
      <c r="Z743" s="702"/>
      <c r="AA743" s="702"/>
      <c r="AB743" s="702"/>
      <c r="AC743" s="702"/>
    </row>
    <row r="744" ht="15.75" customHeight="1">
      <c r="A744" s="702"/>
      <c r="B744" s="702"/>
      <c r="C744" s="702"/>
      <c r="D744" s="702"/>
      <c r="E744" s="702"/>
      <c r="F744" s="702"/>
      <c r="G744" s="702"/>
      <c r="H744" s="702"/>
      <c r="I744" s="702"/>
      <c r="J744" s="702"/>
      <c r="K744" s="702"/>
      <c r="L744" s="702"/>
      <c r="M744" s="702"/>
      <c r="N744" s="702"/>
      <c r="O744" s="702"/>
      <c r="P744" s="702"/>
      <c r="Q744" s="702"/>
      <c r="R744" s="702"/>
      <c r="S744" s="702"/>
      <c r="T744" s="702"/>
      <c r="U744" s="702"/>
      <c r="V744" s="702"/>
      <c r="W744" s="702"/>
      <c r="X744" s="702"/>
      <c r="Y744" s="702"/>
      <c r="Z744" s="702"/>
      <c r="AA744" s="702"/>
      <c r="AB744" s="702"/>
      <c r="AC744" s="702"/>
    </row>
    <row r="745" ht="15.75" customHeight="1">
      <c r="A745" s="702"/>
      <c r="B745" s="702"/>
      <c r="C745" s="702"/>
      <c r="D745" s="702"/>
      <c r="E745" s="702"/>
      <c r="F745" s="702"/>
      <c r="G745" s="702"/>
      <c r="H745" s="702"/>
      <c r="I745" s="702"/>
      <c r="J745" s="702"/>
      <c r="K745" s="702"/>
      <c r="L745" s="702"/>
      <c r="M745" s="702"/>
      <c r="N745" s="702"/>
      <c r="O745" s="702"/>
      <c r="P745" s="702"/>
      <c r="Q745" s="702"/>
      <c r="R745" s="702"/>
      <c r="S745" s="702"/>
      <c r="T745" s="702"/>
      <c r="U745" s="702"/>
      <c r="V745" s="702"/>
      <c r="W745" s="702"/>
      <c r="X745" s="702"/>
      <c r="Y745" s="702"/>
      <c r="Z745" s="702"/>
      <c r="AA745" s="702"/>
      <c r="AB745" s="702"/>
      <c r="AC745" s="702"/>
    </row>
    <row r="746" ht="15.75" customHeight="1">
      <c r="A746" s="702"/>
      <c r="B746" s="702"/>
      <c r="C746" s="702"/>
      <c r="D746" s="702"/>
      <c r="E746" s="702"/>
      <c r="F746" s="702"/>
      <c r="G746" s="702"/>
      <c r="H746" s="702"/>
      <c r="I746" s="702"/>
      <c r="J746" s="702"/>
      <c r="K746" s="702"/>
      <c r="L746" s="702"/>
      <c r="M746" s="702"/>
      <c r="N746" s="702"/>
      <c r="O746" s="702"/>
      <c r="P746" s="702"/>
      <c r="Q746" s="702"/>
      <c r="R746" s="702"/>
      <c r="S746" s="702"/>
      <c r="T746" s="702"/>
      <c r="U746" s="702"/>
      <c r="V746" s="702"/>
      <c r="W746" s="702"/>
      <c r="X746" s="702"/>
      <c r="Y746" s="702"/>
      <c r="Z746" s="702"/>
      <c r="AA746" s="702"/>
      <c r="AB746" s="702"/>
      <c r="AC746" s="702"/>
    </row>
    <row r="747" ht="15.75" customHeight="1">
      <c r="A747" s="702"/>
      <c r="B747" s="702"/>
      <c r="C747" s="702"/>
      <c r="D747" s="702"/>
      <c r="E747" s="702"/>
      <c r="F747" s="702"/>
      <c r="G747" s="702"/>
      <c r="H747" s="702"/>
      <c r="I747" s="702"/>
      <c r="J747" s="702"/>
      <c r="K747" s="702"/>
      <c r="L747" s="702"/>
      <c r="M747" s="702"/>
      <c r="N747" s="702"/>
      <c r="O747" s="702"/>
      <c r="P747" s="702"/>
      <c r="Q747" s="702"/>
      <c r="R747" s="702"/>
      <c r="S747" s="702"/>
      <c r="T747" s="702"/>
      <c r="U747" s="702"/>
      <c r="V747" s="702"/>
      <c r="W747" s="702"/>
      <c r="X747" s="702"/>
      <c r="Y747" s="702"/>
      <c r="Z747" s="702"/>
      <c r="AA747" s="702"/>
      <c r="AB747" s="702"/>
      <c r="AC747" s="702"/>
    </row>
    <row r="748" ht="15.75" customHeight="1">
      <c r="A748" s="702"/>
      <c r="B748" s="702"/>
      <c r="C748" s="702"/>
      <c r="D748" s="702"/>
      <c r="E748" s="702"/>
      <c r="F748" s="702"/>
      <c r="G748" s="702"/>
      <c r="H748" s="702"/>
      <c r="I748" s="702"/>
      <c r="J748" s="702"/>
      <c r="K748" s="702"/>
      <c r="L748" s="702"/>
      <c r="M748" s="702"/>
      <c r="N748" s="702"/>
      <c r="O748" s="702"/>
      <c r="P748" s="702"/>
      <c r="Q748" s="702"/>
      <c r="R748" s="702"/>
      <c r="S748" s="702"/>
      <c r="T748" s="702"/>
      <c r="U748" s="702"/>
      <c r="V748" s="702"/>
      <c r="W748" s="702"/>
      <c r="X748" s="702"/>
      <c r="Y748" s="702"/>
      <c r="Z748" s="702"/>
      <c r="AA748" s="702"/>
      <c r="AB748" s="702"/>
      <c r="AC748" s="702"/>
    </row>
    <row r="749" ht="15.75" customHeight="1">
      <c r="A749" s="702"/>
      <c r="B749" s="702"/>
      <c r="C749" s="702"/>
      <c r="D749" s="702"/>
      <c r="E749" s="702"/>
      <c r="F749" s="702"/>
      <c r="G749" s="702"/>
      <c r="H749" s="702"/>
      <c r="I749" s="702"/>
      <c r="J749" s="702"/>
      <c r="K749" s="702"/>
      <c r="L749" s="702"/>
      <c r="M749" s="702"/>
      <c r="N749" s="702"/>
      <c r="O749" s="702"/>
      <c r="P749" s="702"/>
      <c r="Q749" s="702"/>
      <c r="R749" s="702"/>
      <c r="S749" s="702"/>
      <c r="T749" s="702"/>
      <c r="U749" s="702"/>
      <c r="V749" s="702"/>
      <c r="W749" s="702"/>
      <c r="X749" s="702"/>
      <c r="Y749" s="702"/>
      <c r="Z749" s="702"/>
      <c r="AA749" s="702"/>
      <c r="AB749" s="702"/>
      <c r="AC749" s="702"/>
    </row>
    <row r="750" ht="15.75" customHeight="1">
      <c r="A750" s="702"/>
      <c r="B750" s="702"/>
      <c r="C750" s="702"/>
      <c r="D750" s="702"/>
      <c r="E750" s="702"/>
      <c r="F750" s="702"/>
      <c r="G750" s="702"/>
      <c r="H750" s="702"/>
      <c r="I750" s="702"/>
      <c r="J750" s="702"/>
      <c r="K750" s="702"/>
      <c r="L750" s="702"/>
      <c r="M750" s="702"/>
      <c r="N750" s="702"/>
      <c r="O750" s="702"/>
      <c r="P750" s="702"/>
      <c r="Q750" s="702"/>
      <c r="R750" s="702"/>
      <c r="S750" s="702"/>
      <c r="T750" s="702"/>
      <c r="U750" s="702"/>
      <c r="V750" s="702"/>
      <c r="W750" s="702"/>
      <c r="X750" s="702"/>
      <c r="Y750" s="702"/>
      <c r="Z750" s="702"/>
      <c r="AA750" s="702"/>
      <c r="AB750" s="702"/>
      <c r="AC750" s="702"/>
    </row>
    <row r="751" ht="15.75" customHeight="1">
      <c r="A751" s="702"/>
      <c r="B751" s="702"/>
      <c r="C751" s="702"/>
      <c r="D751" s="702"/>
      <c r="E751" s="702"/>
      <c r="F751" s="702"/>
      <c r="G751" s="702"/>
      <c r="H751" s="702"/>
      <c r="I751" s="702"/>
      <c r="J751" s="702"/>
      <c r="K751" s="702"/>
      <c r="L751" s="702"/>
      <c r="M751" s="702"/>
      <c r="N751" s="702"/>
      <c r="O751" s="702"/>
      <c r="P751" s="702"/>
      <c r="Q751" s="702"/>
      <c r="R751" s="702"/>
      <c r="S751" s="702"/>
      <c r="T751" s="702"/>
      <c r="U751" s="702"/>
      <c r="V751" s="702"/>
      <c r="W751" s="702"/>
      <c r="X751" s="702"/>
      <c r="Y751" s="702"/>
      <c r="Z751" s="702"/>
      <c r="AA751" s="702"/>
      <c r="AB751" s="702"/>
      <c r="AC751" s="702"/>
    </row>
    <row r="752" ht="15.75" customHeight="1">
      <c r="A752" s="702"/>
      <c r="B752" s="702"/>
      <c r="C752" s="702"/>
      <c r="D752" s="702"/>
      <c r="E752" s="702"/>
      <c r="F752" s="702"/>
      <c r="G752" s="702"/>
      <c r="H752" s="702"/>
      <c r="I752" s="702"/>
      <c r="J752" s="702"/>
      <c r="K752" s="702"/>
      <c r="L752" s="702"/>
      <c r="M752" s="702"/>
      <c r="N752" s="702"/>
      <c r="O752" s="702"/>
      <c r="P752" s="702"/>
      <c r="Q752" s="702"/>
      <c r="R752" s="702"/>
      <c r="S752" s="702"/>
      <c r="T752" s="702"/>
      <c r="U752" s="702"/>
      <c r="V752" s="702"/>
      <c r="W752" s="702"/>
      <c r="X752" s="702"/>
      <c r="Y752" s="702"/>
      <c r="Z752" s="702"/>
      <c r="AA752" s="702"/>
      <c r="AB752" s="702"/>
      <c r="AC752" s="702"/>
    </row>
    <row r="753" ht="15.75" customHeight="1">
      <c r="A753" s="702"/>
      <c r="B753" s="702"/>
      <c r="C753" s="702"/>
      <c r="D753" s="702"/>
      <c r="E753" s="702"/>
      <c r="F753" s="702"/>
      <c r="G753" s="702"/>
      <c r="H753" s="702"/>
      <c r="I753" s="702"/>
      <c r="J753" s="702"/>
      <c r="K753" s="702"/>
      <c r="L753" s="702"/>
      <c r="M753" s="702"/>
      <c r="N753" s="702"/>
      <c r="O753" s="702"/>
      <c r="P753" s="702"/>
      <c r="Q753" s="702"/>
      <c r="R753" s="702"/>
      <c r="S753" s="702"/>
      <c r="T753" s="702"/>
      <c r="U753" s="702"/>
      <c r="V753" s="702"/>
      <c r="W753" s="702"/>
      <c r="X753" s="702"/>
      <c r="Y753" s="702"/>
      <c r="Z753" s="702"/>
      <c r="AA753" s="702"/>
      <c r="AB753" s="702"/>
      <c r="AC753" s="702"/>
    </row>
    <row r="754" ht="15.75" customHeight="1">
      <c r="A754" s="702"/>
      <c r="B754" s="702"/>
      <c r="C754" s="702"/>
      <c r="D754" s="702"/>
      <c r="E754" s="702"/>
      <c r="F754" s="702"/>
      <c r="G754" s="702"/>
      <c r="H754" s="702"/>
      <c r="I754" s="702"/>
      <c r="J754" s="702"/>
      <c r="K754" s="702"/>
      <c r="L754" s="702"/>
      <c r="M754" s="702"/>
      <c r="N754" s="702"/>
      <c r="O754" s="702"/>
      <c r="P754" s="702"/>
      <c r="Q754" s="702"/>
      <c r="R754" s="702"/>
      <c r="S754" s="702"/>
      <c r="T754" s="702"/>
      <c r="U754" s="702"/>
      <c r="V754" s="702"/>
      <c r="W754" s="702"/>
      <c r="X754" s="702"/>
      <c r="Y754" s="702"/>
      <c r="Z754" s="702"/>
      <c r="AA754" s="702"/>
      <c r="AB754" s="702"/>
      <c r="AC754" s="702"/>
    </row>
    <row r="755" ht="15.75" customHeight="1">
      <c r="A755" s="702"/>
      <c r="B755" s="702"/>
      <c r="C755" s="702"/>
      <c r="D755" s="702"/>
      <c r="E755" s="702"/>
      <c r="F755" s="702"/>
      <c r="G755" s="702"/>
      <c r="H755" s="702"/>
      <c r="I755" s="702"/>
      <c r="J755" s="702"/>
      <c r="K755" s="702"/>
      <c r="L755" s="702"/>
      <c r="M755" s="702"/>
      <c r="N755" s="702"/>
      <c r="O755" s="702"/>
      <c r="P755" s="702"/>
      <c r="Q755" s="702"/>
      <c r="R755" s="702"/>
      <c r="S755" s="702"/>
      <c r="T755" s="702"/>
      <c r="U755" s="702"/>
      <c r="V755" s="702"/>
      <c r="W755" s="702"/>
      <c r="X755" s="702"/>
      <c r="Y755" s="702"/>
      <c r="Z755" s="702"/>
      <c r="AA755" s="702"/>
      <c r="AB755" s="702"/>
      <c r="AC755" s="702"/>
    </row>
    <row r="756" ht="15.75" customHeight="1">
      <c r="A756" s="702"/>
      <c r="B756" s="702"/>
      <c r="C756" s="702"/>
      <c r="D756" s="702"/>
      <c r="E756" s="702"/>
      <c r="F756" s="702"/>
      <c r="G756" s="702"/>
      <c r="H756" s="702"/>
      <c r="I756" s="702"/>
      <c r="J756" s="702"/>
      <c r="K756" s="702"/>
      <c r="L756" s="702"/>
      <c r="M756" s="702"/>
      <c r="N756" s="702"/>
      <c r="O756" s="702"/>
      <c r="P756" s="702"/>
      <c r="Q756" s="702"/>
      <c r="R756" s="702"/>
      <c r="S756" s="702"/>
      <c r="T756" s="702"/>
      <c r="U756" s="702"/>
      <c r="V756" s="702"/>
      <c r="W756" s="702"/>
      <c r="X756" s="702"/>
      <c r="Y756" s="702"/>
      <c r="Z756" s="702"/>
      <c r="AA756" s="702"/>
      <c r="AB756" s="702"/>
      <c r="AC756" s="702"/>
    </row>
    <row r="757" ht="15.75" customHeight="1">
      <c r="A757" s="702"/>
      <c r="B757" s="702"/>
      <c r="C757" s="702"/>
      <c r="D757" s="702"/>
      <c r="E757" s="702"/>
      <c r="F757" s="702"/>
      <c r="G757" s="702"/>
      <c r="H757" s="702"/>
      <c r="I757" s="702"/>
      <c r="J757" s="702"/>
      <c r="K757" s="702"/>
      <c r="L757" s="702"/>
      <c r="M757" s="702"/>
      <c r="N757" s="702"/>
      <c r="O757" s="702"/>
      <c r="P757" s="702"/>
      <c r="Q757" s="702"/>
      <c r="R757" s="702"/>
      <c r="S757" s="702"/>
      <c r="T757" s="702"/>
      <c r="U757" s="702"/>
      <c r="V757" s="702"/>
      <c r="W757" s="702"/>
      <c r="X757" s="702"/>
      <c r="Y757" s="702"/>
      <c r="Z757" s="702"/>
      <c r="AA757" s="702"/>
      <c r="AB757" s="702"/>
      <c r="AC757" s="702"/>
    </row>
    <row r="758" ht="15.75" customHeight="1">
      <c r="A758" s="702"/>
      <c r="B758" s="702"/>
      <c r="C758" s="702"/>
      <c r="D758" s="702"/>
      <c r="E758" s="702"/>
      <c r="F758" s="702"/>
      <c r="G758" s="702"/>
      <c r="H758" s="702"/>
      <c r="I758" s="702"/>
      <c r="J758" s="702"/>
      <c r="K758" s="702"/>
      <c r="L758" s="702"/>
      <c r="M758" s="702"/>
      <c r="N758" s="702"/>
      <c r="O758" s="702"/>
      <c r="P758" s="702"/>
      <c r="Q758" s="702"/>
      <c r="R758" s="702"/>
      <c r="S758" s="702"/>
      <c r="T758" s="702"/>
      <c r="U758" s="702"/>
      <c r="V758" s="702"/>
      <c r="W758" s="702"/>
      <c r="X758" s="702"/>
      <c r="Y758" s="702"/>
      <c r="Z758" s="702"/>
      <c r="AA758" s="702"/>
      <c r="AB758" s="702"/>
      <c r="AC758" s="702"/>
    </row>
    <row r="759" ht="15.75" customHeight="1">
      <c r="A759" s="702"/>
      <c r="B759" s="702"/>
      <c r="C759" s="702"/>
      <c r="D759" s="702"/>
      <c r="E759" s="702"/>
      <c r="F759" s="702"/>
      <c r="G759" s="702"/>
      <c r="H759" s="702"/>
      <c r="I759" s="702"/>
      <c r="J759" s="702"/>
      <c r="K759" s="702"/>
      <c r="L759" s="702"/>
      <c r="M759" s="702"/>
      <c r="N759" s="702"/>
      <c r="O759" s="702"/>
      <c r="P759" s="702"/>
      <c r="Q759" s="702"/>
      <c r="R759" s="702"/>
      <c r="S759" s="702"/>
      <c r="T759" s="702"/>
      <c r="U759" s="702"/>
      <c r="V759" s="702"/>
      <c r="W759" s="702"/>
      <c r="X759" s="702"/>
      <c r="Y759" s="702"/>
      <c r="Z759" s="702"/>
      <c r="AA759" s="702"/>
      <c r="AB759" s="702"/>
      <c r="AC759" s="702"/>
    </row>
    <row r="760" ht="15.75" customHeight="1">
      <c r="A760" s="702"/>
      <c r="B760" s="702"/>
      <c r="C760" s="702"/>
      <c r="D760" s="702"/>
      <c r="E760" s="702"/>
      <c r="F760" s="702"/>
      <c r="G760" s="702"/>
      <c r="H760" s="702"/>
      <c r="I760" s="702"/>
      <c r="J760" s="702"/>
      <c r="K760" s="702"/>
      <c r="L760" s="702"/>
      <c r="M760" s="702"/>
      <c r="N760" s="702"/>
      <c r="O760" s="702"/>
      <c r="P760" s="702"/>
      <c r="Q760" s="702"/>
      <c r="R760" s="702"/>
      <c r="S760" s="702"/>
      <c r="T760" s="702"/>
      <c r="U760" s="702"/>
      <c r="V760" s="702"/>
      <c r="W760" s="702"/>
      <c r="X760" s="702"/>
      <c r="Y760" s="702"/>
      <c r="Z760" s="702"/>
      <c r="AA760" s="702"/>
      <c r="AB760" s="702"/>
      <c r="AC760" s="702"/>
    </row>
    <row r="761" ht="15.75" customHeight="1">
      <c r="A761" s="702"/>
      <c r="B761" s="702"/>
      <c r="C761" s="702"/>
      <c r="D761" s="702"/>
      <c r="E761" s="702"/>
      <c r="F761" s="702"/>
      <c r="G761" s="702"/>
      <c r="H761" s="702"/>
      <c r="I761" s="702"/>
      <c r="J761" s="702"/>
      <c r="K761" s="702"/>
      <c r="L761" s="702"/>
      <c r="M761" s="702"/>
      <c r="N761" s="702"/>
      <c r="O761" s="702"/>
      <c r="P761" s="702"/>
      <c r="Q761" s="702"/>
      <c r="R761" s="702"/>
      <c r="S761" s="702"/>
      <c r="T761" s="702"/>
      <c r="U761" s="702"/>
      <c r="V761" s="702"/>
      <c r="W761" s="702"/>
      <c r="X761" s="702"/>
      <c r="Y761" s="702"/>
      <c r="Z761" s="702"/>
      <c r="AA761" s="702"/>
      <c r="AB761" s="702"/>
      <c r="AC761" s="702"/>
    </row>
    <row r="762" ht="15.75" customHeight="1">
      <c r="A762" s="702"/>
      <c r="B762" s="702"/>
      <c r="C762" s="702"/>
      <c r="D762" s="702"/>
      <c r="E762" s="702"/>
      <c r="F762" s="702"/>
      <c r="G762" s="702"/>
      <c r="H762" s="702"/>
      <c r="I762" s="702"/>
      <c r="J762" s="702"/>
      <c r="K762" s="702"/>
      <c r="L762" s="702"/>
      <c r="M762" s="702"/>
      <c r="N762" s="702"/>
      <c r="O762" s="702"/>
      <c r="P762" s="702"/>
      <c r="Q762" s="702"/>
      <c r="R762" s="702"/>
      <c r="S762" s="702"/>
      <c r="T762" s="702"/>
      <c r="U762" s="702"/>
      <c r="V762" s="702"/>
      <c r="W762" s="702"/>
      <c r="X762" s="702"/>
      <c r="Y762" s="702"/>
      <c r="Z762" s="702"/>
      <c r="AA762" s="702"/>
      <c r="AB762" s="702"/>
      <c r="AC762" s="702"/>
    </row>
    <row r="763" ht="15.75" customHeight="1">
      <c r="A763" s="702"/>
      <c r="B763" s="702"/>
      <c r="C763" s="702"/>
      <c r="D763" s="702"/>
      <c r="E763" s="702"/>
      <c r="F763" s="702"/>
      <c r="G763" s="702"/>
      <c r="H763" s="702"/>
      <c r="I763" s="702"/>
      <c r="J763" s="702"/>
      <c r="K763" s="702"/>
      <c r="L763" s="702"/>
      <c r="M763" s="702"/>
      <c r="N763" s="702"/>
      <c r="O763" s="702"/>
      <c r="P763" s="702"/>
      <c r="Q763" s="702"/>
      <c r="R763" s="702"/>
      <c r="S763" s="702"/>
      <c r="T763" s="702"/>
      <c r="U763" s="702"/>
      <c r="V763" s="702"/>
      <c r="W763" s="702"/>
      <c r="X763" s="702"/>
      <c r="Y763" s="702"/>
      <c r="Z763" s="702"/>
      <c r="AA763" s="702"/>
      <c r="AB763" s="702"/>
      <c r="AC763" s="702"/>
    </row>
    <row r="764" ht="15.75" customHeight="1">
      <c r="A764" s="702"/>
      <c r="B764" s="702"/>
      <c r="C764" s="702"/>
      <c r="D764" s="702"/>
      <c r="E764" s="702"/>
      <c r="F764" s="702"/>
      <c r="G764" s="702"/>
      <c r="H764" s="702"/>
      <c r="I764" s="702"/>
      <c r="J764" s="702"/>
      <c r="K764" s="702"/>
      <c r="L764" s="702"/>
      <c r="M764" s="702"/>
      <c r="N764" s="702"/>
      <c r="O764" s="702"/>
      <c r="P764" s="702"/>
      <c r="Q764" s="702"/>
      <c r="R764" s="702"/>
      <c r="S764" s="702"/>
      <c r="T764" s="702"/>
      <c r="U764" s="702"/>
      <c r="V764" s="702"/>
      <c r="W764" s="702"/>
      <c r="X764" s="702"/>
      <c r="Y764" s="702"/>
      <c r="Z764" s="702"/>
      <c r="AA764" s="702"/>
      <c r="AB764" s="702"/>
      <c r="AC764" s="702"/>
    </row>
    <row r="765" ht="15.75" customHeight="1">
      <c r="A765" s="702"/>
      <c r="B765" s="702"/>
      <c r="C765" s="702"/>
      <c r="D765" s="702"/>
      <c r="E765" s="702"/>
      <c r="F765" s="702"/>
      <c r="G765" s="702"/>
      <c r="H765" s="702"/>
      <c r="I765" s="702"/>
      <c r="J765" s="702"/>
      <c r="K765" s="702"/>
      <c r="L765" s="702"/>
      <c r="M765" s="702"/>
      <c r="N765" s="702"/>
      <c r="O765" s="702"/>
      <c r="P765" s="702"/>
      <c r="Q765" s="702"/>
      <c r="R765" s="702"/>
      <c r="S765" s="702"/>
      <c r="T765" s="702"/>
      <c r="U765" s="702"/>
      <c r="V765" s="702"/>
      <c r="W765" s="702"/>
      <c r="X765" s="702"/>
      <c r="Y765" s="702"/>
      <c r="Z765" s="702"/>
      <c r="AA765" s="702"/>
      <c r="AB765" s="702"/>
      <c r="AC765" s="702"/>
    </row>
    <row r="766" ht="15.75" customHeight="1">
      <c r="A766" s="702"/>
      <c r="B766" s="702"/>
      <c r="C766" s="702"/>
      <c r="D766" s="702"/>
      <c r="E766" s="702"/>
      <c r="F766" s="702"/>
      <c r="G766" s="702"/>
      <c r="H766" s="702"/>
      <c r="I766" s="702"/>
      <c r="J766" s="702"/>
      <c r="K766" s="702"/>
      <c r="L766" s="702"/>
      <c r="M766" s="702"/>
      <c r="N766" s="702"/>
      <c r="O766" s="702"/>
      <c r="P766" s="702"/>
      <c r="Q766" s="702"/>
      <c r="R766" s="702"/>
      <c r="S766" s="702"/>
      <c r="T766" s="702"/>
      <c r="U766" s="702"/>
      <c r="V766" s="702"/>
      <c r="W766" s="702"/>
      <c r="X766" s="702"/>
      <c r="Y766" s="702"/>
      <c r="Z766" s="702"/>
      <c r="AA766" s="702"/>
      <c r="AB766" s="702"/>
      <c r="AC766" s="702"/>
    </row>
    <row r="767" ht="15.75" customHeight="1">
      <c r="A767" s="702"/>
      <c r="B767" s="702"/>
      <c r="C767" s="702"/>
      <c r="D767" s="702"/>
      <c r="E767" s="702"/>
      <c r="F767" s="702"/>
      <c r="G767" s="702"/>
      <c r="H767" s="702"/>
      <c r="I767" s="702"/>
      <c r="J767" s="702"/>
      <c r="K767" s="702"/>
      <c r="L767" s="702"/>
      <c r="M767" s="702"/>
      <c r="N767" s="702"/>
      <c r="O767" s="702"/>
      <c r="P767" s="702"/>
      <c r="Q767" s="702"/>
      <c r="R767" s="702"/>
      <c r="S767" s="702"/>
      <c r="T767" s="702"/>
      <c r="U767" s="702"/>
      <c r="V767" s="702"/>
      <c r="W767" s="702"/>
      <c r="X767" s="702"/>
      <c r="Y767" s="702"/>
      <c r="Z767" s="702"/>
      <c r="AA767" s="702"/>
      <c r="AB767" s="702"/>
      <c r="AC767" s="702"/>
    </row>
    <row r="768" ht="15.75" customHeight="1">
      <c r="A768" s="702"/>
      <c r="B768" s="702"/>
      <c r="C768" s="702"/>
      <c r="D768" s="702"/>
      <c r="E768" s="702"/>
      <c r="F768" s="702"/>
      <c r="G768" s="702"/>
      <c r="H768" s="702"/>
      <c r="I768" s="702"/>
      <c r="J768" s="702"/>
      <c r="K768" s="702"/>
      <c r="L768" s="702"/>
      <c r="M768" s="702"/>
      <c r="N768" s="702"/>
      <c r="O768" s="702"/>
      <c r="P768" s="702"/>
      <c r="Q768" s="702"/>
      <c r="R768" s="702"/>
      <c r="S768" s="702"/>
      <c r="T768" s="702"/>
      <c r="U768" s="702"/>
      <c r="V768" s="702"/>
      <c r="W768" s="702"/>
      <c r="X768" s="702"/>
      <c r="Y768" s="702"/>
      <c r="Z768" s="702"/>
      <c r="AA768" s="702"/>
      <c r="AB768" s="702"/>
      <c r="AC768" s="702"/>
    </row>
    <row r="769" ht="15.75" customHeight="1">
      <c r="A769" s="702"/>
      <c r="B769" s="702"/>
      <c r="C769" s="702"/>
      <c r="D769" s="702"/>
      <c r="E769" s="702"/>
      <c r="F769" s="702"/>
      <c r="G769" s="702"/>
      <c r="H769" s="702"/>
      <c r="I769" s="702"/>
      <c r="J769" s="702"/>
      <c r="K769" s="702"/>
      <c r="L769" s="702"/>
      <c r="M769" s="702"/>
      <c r="N769" s="702"/>
      <c r="O769" s="702"/>
      <c r="P769" s="702"/>
      <c r="Q769" s="702"/>
      <c r="R769" s="702"/>
      <c r="S769" s="702"/>
      <c r="T769" s="702"/>
      <c r="U769" s="702"/>
      <c r="V769" s="702"/>
      <c r="W769" s="702"/>
      <c r="X769" s="702"/>
      <c r="Y769" s="702"/>
      <c r="Z769" s="702"/>
      <c r="AA769" s="702"/>
      <c r="AB769" s="702"/>
      <c r="AC769" s="702"/>
    </row>
    <row r="770" ht="15.75" customHeight="1">
      <c r="A770" s="702"/>
      <c r="B770" s="702"/>
      <c r="C770" s="702"/>
      <c r="D770" s="702"/>
      <c r="E770" s="702"/>
      <c r="F770" s="702"/>
      <c r="G770" s="702"/>
      <c r="H770" s="702"/>
      <c r="I770" s="702"/>
      <c r="J770" s="702"/>
      <c r="K770" s="702"/>
      <c r="L770" s="702"/>
      <c r="M770" s="702"/>
      <c r="N770" s="702"/>
      <c r="O770" s="702"/>
      <c r="P770" s="702"/>
      <c r="Q770" s="702"/>
      <c r="R770" s="702"/>
      <c r="S770" s="702"/>
      <c r="T770" s="702"/>
      <c r="U770" s="702"/>
      <c r="V770" s="702"/>
      <c r="W770" s="702"/>
      <c r="X770" s="702"/>
      <c r="Y770" s="702"/>
      <c r="Z770" s="702"/>
      <c r="AA770" s="702"/>
      <c r="AB770" s="702"/>
      <c r="AC770" s="702"/>
    </row>
    <row r="771" ht="15.75" customHeight="1">
      <c r="A771" s="702"/>
      <c r="B771" s="702"/>
      <c r="C771" s="702"/>
      <c r="D771" s="702"/>
      <c r="E771" s="702"/>
      <c r="F771" s="702"/>
      <c r="G771" s="702"/>
      <c r="H771" s="702"/>
      <c r="I771" s="702"/>
      <c r="J771" s="702"/>
      <c r="K771" s="702"/>
      <c r="L771" s="702"/>
      <c r="M771" s="702"/>
      <c r="N771" s="702"/>
      <c r="O771" s="702"/>
      <c r="P771" s="702"/>
      <c r="Q771" s="702"/>
      <c r="R771" s="702"/>
      <c r="S771" s="702"/>
      <c r="T771" s="702"/>
      <c r="U771" s="702"/>
      <c r="V771" s="702"/>
      <c r="W771" s="702"/>
      <c r="X771" s="702"/>
      <c r="Y771" s="702"/>
      <c r="Z771" s="702"/>
      <c r="AA771" s="702"/>
      <c r="AB771" s="702"/>
      <c r="AC771" s="702"/>
    </row>
    <row r="772" ht="15.75" customHeight="1">
      <c r="A772" s="702"/>
      <c r="B772" s="702"/>
      <c r="C772" s="702"/>
      <c r="D772" s="702"/>
      <c r="E772" s="702"/>
      <c r="F772" s="702"/>
      <c r="G772" s="702"/>
      <c r="H772" s="702"/>
      <c r="I772" s="702"/>
      <c r="J772" s="702"/>
      <c r="K772" s="702"/>
      <c r="L772" s="702"/>
      <c r="M772" s="702"/>
      <c r="N772" s="702"/>
      <c r="O772" s="702"/>
      <c r="P772" s="702"/>
      <c r="Q772" s="702"/>
      <c r="R772" s="702"/>
      <c r="S772" s="702"/>
      <c r="T772" s="702"/>
      <c r="U772" s="702"/>
      <c r="V772" s="702"/>
      <c r="W772" s="702"/>
      <c r="X772" s="702"/>
      <c r="Y772" s="702"/>
      <c r="Z772" s="702"/>
      <c r="AA772" s="702"/>
      <c r="AB772" s="702"/>
      <c r="AC772" s="702"/>
    </row>
    <row r="773" ht="15.75" customHeight="1">
      <c r="A773" s="702"/>
      <c r="B773" s="702"/>
      <c r="C773" s="702"/>
      <c r="D773" s="702"/>
      <c r="E773" s="702"/>
      <c r="F773" s="702"/>
      <c r="G773" s="702"/>
      <c r="H773" s="702"/>
      <c r="I773" s="702"/>
      <c r="J773" s="702"/>
      <c r="K773" s="702"/>
      <c r="L773" s="702"/>
      <c r="M773" s="702"/>
      <c r="N773" s="702"/>
      <c r="O773" s="702"/>
      <c r="P773" s="702"/>
      <c r="Q773" s="702"/>
      <c r="R773" s="702"/>
      <c r="S773" s="702"/>
      <c r="T773" s="702"/>
      <c r="U773" s="702"/>
      <c r="V773" s="702"/>
      <c r="W773" s="702"/>
      <c r="X773" s="702"/>
      <c r="Y773" s="702"/>
      <c r="Z773" s="702"/>
      <c r="AA773" s="702"/>
      <c r="AB773" s="702"/>
      <c r="AC773" s="702"/>
    </row>
    <row r="774" ht="15.75" customHeight="1">
      <c r="A774" s="702"/>
      <c r="B774" s="702"/>
      <c r="C774" s="702"/>
      <c r="D774" s="702"/>
      <c r="E774" s="702"/>
      <c r="F774" s="702"/>
      <c r="G774" s="702"/>
      <c r="H774" s="702"/>
      <c r="I774" s="702"/>
      <c r="J774" s="702"/>
      <c r="K774" s="702"/>
      <c r="L774" s="702"/>
      <c r="M774" s="702"/>
      <c r="N774" s="702"/>
      <c r="O774" s="702"/>
      <c r="P774" s="702"/>
      <c r="Q774" s="702"/>
      <c r="R774" s="702"/>
      <c r="S774" s="702"/>
      <c r="T774" s="702"/>
      <c r="U774" s="702"/>
      <c r="V774" s="702"/>
      <c r="W774" s="702"/>
      <c r="X774" s="702"/>
      <c r="Y774" s="702"/>
      <c r="Z774" s="702"/>
      <c r="AA774" s="702"/>
      <c r="AB774" s="702"/>
      <c r="AC774" s="702"/>
    </row>
    <row r="775" ht="15.75" customHeight="1">
      <c r="A775" s="702"/>
      <c r="B775" s="702"/>
      <c r="C775" s="702"/>
      <c r="D775" s="702"/>
      <c r="E775" s="702"/>
      <c r="F775" s="702"/>
      <c r="G775" s="702"/>
      <c r="H775" s="702"/>
      <c r="I775" s="702"/>
      <c r="J775" s="702"/>
      <c r="K775" s="702"/>
      <c r="L775" s="702"/>
      <c r="M775" s="702"/>
      <c r="N775" s="702"/>
      <c r="O775" s="702"/>
      <c r="P775" s="702"/>
      <c r="Q775" s="702"/>
      <c r="R775" s="702"/>
      <c r="S775" s="702"/>
      <c r="T775" s="702"/>
      <c r="U775" s="702"/>
      <c r="V775" s="702"/>
      <c r="W775" s="702"/>
      <c r="X775" s="702"/>
      <c r="Y775" s="702"/>
      <c r="Z775" s="702"/>
      <c r="AA775" s="702"/>
      <c r="AB775" s="702"/>
      <c r="AC775" s="702"/>
    </row>
    <row r="776" ht="15.75" customHeight="1">
      <c r="A776" s="702"/>
      <c r="B776" s="702"/>
      <c r="C776" s="702"/>
      <c r="D776" s="702"/>
      <c r="E776" s="702"/>
      <c r="F776" s="702"/>
      <c r="G776" s="702"/>
      <c r="H776" s="702"/>
      <c r="I776" s="702"/>
      <c r="J776" s="702"/>
      <c r="K776" s="702"/>
      <c r="L776" s="702"/>
      <c r="M776" s="702"/>
      <c r="N776" s="702"/>
      <c r="O776" s="702"/>
      <c r="P776" s="702"/>
      <c r="Q776" s="702"/>
      <c r="R776" s="702"/>
      <c r="S776" s="702"/>
      <c r="T776" s="702"/>
      <c r="U776" s="702"/>
      <c r="V776" s="702"/>
      <c r="W776" s="702"/>
      <c r="X776" s="702"/>
      <c r="Y776" s="702"/>
      <c r="Z776" s="702"/>
      <c r="AA776" s="702"/>
      <c r="AB776" s="702"/>
      <c r="AC776" s="702"/>
    </row>
    <row r="777" ht="15.75" customHeight="1">
      <c r="A777" s="702"/>
      <c r="B777" s="702"/>
      <c r="C777" s="702"/>
      <c r="D777" s="702"/>
      <c r="E777" s="702"/>
      <c r="F777" s="702"/>
      <c r="G777" s="702"/>
      <c r="H777" s="702"/>
      <c r="I777" s="702"/>
      <c r="J777" s="702"/>
      <c r="K777" s="702"/>
      <c r="L777" s="702"/>
      <c r="M777" s="702"/>
      <c r="N777" s="702"/>
      <c r="O777" s="702"/>
      <c r="P777" s="702"/>
      <c r="Q777" s="702"/>
      <c r="R777" s="702"/>
      <c r="S777" s="702"/>
      <c r="T777" s="702"/>
      <c r="U777" s="702"/>
      <c r="V777" s="702"/>
      <c r="W777" s="702"/>
      <c r="X777" s="702"/>
      <c r="Y777" s="702"/>
      <c r="Z777" s="702"/>
      <c r="AA777" s="702"/>
      <c r="AB777" s="702"/>
      <c r="AC777" s="702"/>
    </row>
    <row r="778" ht="15.75" customHeight="1">
      <c r="A778" s="702"/>
      <c r="B778" s="702"/>
      <c r="C778" s="702"/>
      <c r="D778" s="702"/>
      <c r="E778" s="702"/>
      <c r="F778" s="702"/>
      <c r="G778" s="702"/>
      <c r="H778" s="702"/>
      <c r="I778" s="702"/>
      <c r="J778" s="702"/>
      <c r="K778" s="702"/>
      <c r="L778" s="702"/>
      <c r="M778" s="702"/>
      <c r="N778" s="702"/>
      <c r="O778" s="702"/>
      <c r="P778" s="702"/>
      <c r="Q778" s="702"/>
      <c r="R778" s="702"/>
      <c r="S778" s="702"/>
      <c r="T778" s="702"/>
      <c r="U778" s="702"/>
      <c r="V778" s="702"/>
      <c r="W778" s="702"/>
      <c r="X778" s="702"/>
      <c r="Y778" s="702"/>
      <c r="Z778" s="702"/>
      <c r="AA778" s="702"/>
      <c r="AB778" s="702"/>
      <c r="AC778" s="702"/>
    </row>
    <row r="779" ht="15.75" customHeight="1">
      <c r="A779" s="702"/>
      <c r="B779" s="702"/>
      <c r="C779" s="702"/>
      <c r="D779" s="702"/>
      <c r="E779" s="702"/>
      <c r="F779" s="702"/>
      <c r="G779" s="702"/>
      <c r="H779" s="702"/>
      <c r="I779" s="702"/>
      <c r="J779" s="702"/>
      <c r="K779" s="702"/>
      <c r="L779" s="702"/>
      <c r="M779" s="702"/>
      <c r="N779" s="702"/>
      <c r="O779" s="702"/>
      <c r="P779" s="702"/>
      <c r="Q779" s="702"/>
      <c r="R779" s="702"/>
      <c r="S779" s="702"/>
      <c r="T779" s="702"/>
      <c r="U779" s="702"/>
      <c r="V779" s="702"/>
      <c r="W779" s="702"/>
      <c r="X779" s="702"/>
      <c r="Y779" s="702"/>
      <c r="Z779" s="702"/>
      <c r="AA779" s="702"/>
      <c r="AB779" s="702"/>
      <c r="AC779" s="702"/>
    </row>
    <row r="780" ht="15.75" customHeight="1">
      <c r="A780" s="702"/>
      <c r="B780" s="702"/>
      <c r="C780" s="702"/>
      <c r="D780" s="702"/>
      <c r="E780" s="702"/>
      <c r="F780" s="702"/>
      <c r="G780" s="702"/>
      <c r="H780" s="702"/>
      <c r="I780" s="702"/>
      <c r="J780" s="702"/>
      <c r="K780" s="702"/>
      <c r="L780" s="702"/>
      <c r="M780" s="702"/>
      <c r="N780" s="702"/>
      <c r="O780" s="702"/>
      <c r="P780" s="702"/>
      <c r="Q780" s="702"/>
      <c r="R780" s="702"/>
      <c r="S780" s="702"/>
      <c r="T780" s="702"/>
      <c r="U780" s="702"/>
      <c r="V780" s="702"/>
      <c r="W780" s="702"/>
      <c r="X780" s="702"/>
      <c r="Y780" s="702"/>
      <c r="Z780" s="702"/>
      <c r="AA780" s="702"/>
      <c r="AB780" s="702"/>
      <c r="AC780" s="702"/>
    </row>
    <row r="781" ht="15.75" customHeight="1">
      <c r="A781" s="702"/>
      <c r="B781" s="702"/>
      <c r="C781" s="702"/>
      <c r="D781" s="702"/>
      <c r="E781" s="702"/>
      <c r="F781" s="702"/>
      <c r="G781" s="702"/>
      <c r="H781" s="702"/>
      <c r="I781" s="702"/>
      <c r="J781" s="702"/>
      <c r="K781" s="702"/>
      <c r="L781" s="702"/>
      <c r="M781" s="702"/>
      <c r="N781" s="702"/>
      <c r="O781" s="702"/>
      <c r="P781" s="702"/>
      <c r="Q781" s="702"/>
      <c r="R781" s="702"/>
      <c r="S781" s="702"/>
      <c r="T781" s="702"/>
      <c r="U781" s="702"/>
      <c r="V781" s="702"/>
      <c r="W781" s="702"/>
      <c r="X781" s="702"/>
      <c r="Y781" s="702"/>
      <c r="Z781" s="702"/>
      <c r="AA781" s="702"/>
      <c r="AB781" s="702"/>
      <c r="AC781" s="702"/>
    </row>
    <row r="782" ht="15.75" customHeight="1">
      <c r="A782" s="702"/>
      <c r="B782" s="702"/>
      <c r="C782" s="702"/>
      <c r="D782" s="702"/>
      <c r="E782" s="702"/>
      <c r="F782" s="702"/>
      <c r="G782" s="702"/>
      <c r="H782" s="702"/>
      <c r="I782" s="702"/>
      <c r="J782" s="702"/>
      <c r="K782" s="702"/>
      <c r="L782" s="702"/>
      <c r="M782" s="702"/>
      <c r="N782" s="702"/>
      <c r="O782" s="702"/>
      <c r="P782" s="702"/>
      <c r="Q782" s="702"/>
      <c r="R782" s="702"/>
      <c r="S782" s="702"/>
      <c r="T782" s="702"/>
      <c r="U782" s="702"/>
      <c r="V782" s="702"/>
      <c r="W782" s="702"/>
      <c r="X782" s="702"/>
      <c r="Y782" s="702"/>
      <c r="Z782" s="702"/>
      <c r="AA782" s="702"/>
      <c r="AB782" s="702"/>
      <c r="AC782" s="702"/>
    </row>
    <row r="783" ht="15.75" customHeight="1">
      <c r="A783" s="702"/>
      <c r="B783" s="702"/>
      <c r="C783" s="702"/>
      <c r="D783" s="702"/>
      <c r="E783" s="702"/>
      <c r="F783" s="702"/>
      <c r="G783" s="702"/>
      <c r="H783" s="702"/>
      <c r="I783" s="702"/>
      <c r="J783" s="702"/>
      <c r="K783" s="702"/>
      <c r="L783" s="702"/>
      <c r="M783" s="702"/>
      <c r="N783" s="702"/>
      <c r="O783" s="702"/>
      <c r="P783" s="702"/>
      <c r="Q783" s="702"/>
      <c r="R783" s="702"/>
      <c r="S783" s="702"/>
      <c r="T783" s="702"/>
      <c r="U783" s="702"/>
      <c r="V783" s="702"/>
      <c r="W783" s="702"/>
      <c r="X783" s="702"/>
      <c r="Y783" s="702"/>
      <c r="Z783" s="702"/>
      <c r="AA783" s="702"/>
      <c r="AB783" s="702"/>
      <c r="AC783" s="702"/>
    </row>
    <row r="784" ht="15.75" customHeight="1">
      <c r="A784" s="702"/>
      <c r="B784" s="702"/>
      <c r="C784" s="702"/>
      <c r="D784" s="702"/>
      <c r="E784" s="702"/>
      <c r="F784" s="702"/>
      <c r="G784" s="702"/>
      <c r="H784" s="702"/>
      <c r="I784" s="702"/>
      <c r="J784" s="702"/>
      <c r="K784" s="702"/>
      <c r="L784" s="702"/>
      <c r="M784" s="702"/>
      <c r="N784" s="702"/>
      <c r="O784" s="702"/>
      <c r="P784" s="702"/>
      <c r="Q784" s="702"/>
      <c r="R784" s="702"/>
      <c r="S784" s="702"/>
      <c r="T784" s="702"/>
      <c r="U784" s="702"/>
      <c r="V784" s="702"/>
      <c r="W784" s="702"/>
      <c r="X784" s="702"/>
      <c r="Y784" s="702"/>
      <c r="Z784" s="702"/>
      <c r="AA784" s="702"/>
      <c r="AB784" s="702"/>
      <c r="AC784" s="702"/>
    </row>
    <row r="785" ht="15.75" customHeight="1">
      <c r="A785" s="702"/>
      <c r="B785" s="702"/>
      <c r="C785" s="702"/>
      <c r="D785" s="702"/>
      <c r="E785" s="702"/>
      <c r="F785" s="702"/>
      <c r="G785" s="702"/>
      <c r="H785" s="702"/>
      <c r="I785" s="702"/>
      <c r="J785" s="702"/>
      <c r="K785" s="702"/>
      <c r="L785" s="702"/>
      <c r="M785" s="702"/>
      <c r="N785" s="702"/>
      <c r="O785" s="702"/>
      <c r="P785" s="702"/>
      <c r="Q785" s="702"/>
      <c r="R785" s="702"/>
      <c r="S785" s="702"/>
      <c r="T785" s="702"/>
      <c r="U785" s="702"/>
      <c r="V785" s="702"/>
      <c r="W785" s="702"/>
      <c r="X785" s="702"/>
      <c r="Y785" s="702"/>
      <c r="Z785" s="702"/>
      <c r="AA785" s="702"/>
      <c r="AB785" s="702"/>
      <c r="AC785" s="702"/>
    </row>
    <row r="786" ht="15.75" customHeight="1">
      <c r="A786" s="702"/>
      <c r="B786" s="702"/>
      <c r="C786" s="702"/>
      <c r="D786" s="702"/>
      <c r="E786" s="702"/>
      <c r="F786" s="702"/>
      <c r="G786" s="702"/>
      <c r="H786" s="702"/>
      <c r="I786" s="702"/>
      <c r="J786" s="702"/>
      <c r="K786" s="702"/>
      <c r="L786" s="702"/>
      <c r="M786" s="702"/>
      <c r="N786" s="702"/>
      <c r="O786" s="702"/>
      <c r="P786" s="702"/>
      <c r="Q786" s="702"/>
      <c r="R786" s="702"/>
      <c r="S786" s="702"/>
      <c r="T786" s="702"/>
      <c r="U786" s="702"/>
      <c r="V786" s="702"/>
      <c r="W786" s="702"/>
      <c r="X786" s="702"/>
      <c r="Y786" s="702"/>
      <c r="Z786" s="702"/>
      <c r="AA786" s="702"/>
      <c r="AB786" s="702"/>
      <c r="AC786" s="702"/>
    </row>
    <row r="787" ht="15.75" customHeight="1">
      <c r="A787" s="702"/>
      <c r="B787" s="702"/>
      <c r="C787" s="702"/>
      <c r="D787" s="702"/>
      <c r="E787" s="702"/>
      <c r="F787" s="702"/>
      <c r="G787" s="702"/>
      <c r="H787" s="702"/>
      <c r="I787" s="702"/>
      <c r="J787" s="702"/>
      <c r="K787" s="702"/>
      <c r="L787" s="702"/>
      <c r="M787" s="702"/>
      <c r="N787" s="702"/>
      <c r="O787" s="702"/>
      <c r="P787" s="702"/>
      <c r="Q787" s="702"/>
      <c r="R787" s="702"/>
      <c r="S787" s="702"/>
      <c r="T787" s="702"/>
      <c r="U787" s="702"/>
      <c r="V787" s="702"/>
      <c r="W787" s="702"/>
      <c r="X787" s="702"/>
      <c r="Y787" s="702"/>
      <c r="Z787" s="702"/>
      <c r="AA787" s="702"/>
      <c r="AB787" s="702"/>
      <c r="AC787" s="702"/>
    </row>
    <row r="788" ht="15.75" customHeight="1">
      <c r="A788" s="702"/>
      <c r="B788" s="702"/>
      <c r="C788" s="702"/>
      <c r="D788" s="702"/>
      <c r="E788" s="702"/>
      <c r="F788" s="702"/>
      <c r="G788" s="702"/>
      <c r="H788" s="702"/>
      <c r="I788" s="702"/>
      <c r="J788" s="702"/>
      <c r="K788" s="702"/>
      <c r="L788" s="702"/>
      <c r="M788" s="702"/>
      <c r="N788" s="702"/>
      <c r="O788" s="702"/>
      <c r="P788" s="702"/>
      <c r="Q788" s="702"/>
      <c r="R788" s="702"/>
      <c r="S788" s="702"/>
      <c r="T788" s="702"/>
      <c r="U788" s="702"/>
      <c r="V788" s="702"/>
      <c r="W788" s="702"/>
      <c r="X788" s="702"/>
      <c r="Y788" s="702"/>
      <c r="Z788" s="702"/>
      <c r="AA788" s="702"/>
      <c r="AB788" s="702"/>
      <c r="AC788" s="702"/>
    </row>
    <row r="789" ht="15.75" customHeight="1">
      <c r="A789" s="702"/>
      <c r="B789" s="702"/>
      <c r="C789" s="702"/>
      <c r="D789" s="702"/>
      <c r="E789" s="702"/>
      <c r="F789" s="702"/>
      <c r="G789" s="702"/>
      <c r="H789" s="702"/>
      <c r="I789" s="702"/>
      <c r="J789" s="702"/>
      <c r="K789" s="702"/>
      <c r="L789" s="702"/>
      <c r="M789" s="702"/>
      <c r="N789" s="702"/>
      <c r="O789" s="702"/>
      <c r="P789" s="702"/>
      <c r="Q789" s="702"/>
      <c r="R789" s="702"/>
      <c r="S789" s="702"/>
      <c r="T789" s="702"/>
      <c r="U789" s="702"/>
      <c r="V789" s="702"/>
      <c r="W789" s="702"/>
      <c r="X789" s="702"/>
      <c r="Y789" s="702"/>
      <c r="Z789" s="702"/>
      <c r="AA789" s="702"/>
      <c r="AB789" s="702"/>
      <c r="AC789" s="702"/>
    </row>
    <row r="790" ht="15.75" customHeight="1">
      <c r="A790" s="702"/>
      <c r="B790" s="702"/>
      <c r="C790" s="702"/>
      <c r="D790" s="702"/>
      <c r="E790" s="702"/>
      <c r="F790" s="702"/>
      <c r="G790" s="702"/>
      <c r="H790" s="702"/>
      <c r="I790" s="702"/>
      <c r="J790" s="702"/>
      <c r="K790" s="702"/>
      <c r="L790" s="702"/>
      <c r="M790" s="702"/>
      <c r="N790" s="702"/>
      <c r="O790" s="702"/>
      <c r="P790" s="702"/>
      <c r="Q790" s="702"/>
      <c r="R790" s="702"/>
      <c r="S790" s="702"/>
      <c r="T790" s="702"/>
      <c r="U790" s="702"/>
      <c r="V790" s="702"/>
      <c r="W790" s="702"/>
      <c r="X790" s="702"/>
      <c r="Y790" s="702"/>
      <c r="Z790" s="702"/>
      <c r="AA790" s="702"/>
      <c r="AB790" s="702"/>
      <c r="AC790" s="702"/>
    </row>
    <row r="791" ht="15.75" customHeight="1">
      <c r="A791" s="702"/>
      <c r="B791" s="702"/>
      <c r="C791" s="702"/>
      <c r="D791" s="702"/>
      <c r="E791" s="702"/>
      <c r="F791" s="702"/>
      <c r="G791" s="702"/>
      <c r="H791" s="702"/>
      <c r="I791" s="702"/>
      <c r="J791" s="702"/>
      <c r="K791" s="702"/>
      <c r="L791" s="702"/>
      <c r="M791" s="702"/>
      <c r="N791" s="702"/>
      <c r="O791" s="702"/>
      <c r="P791" s="702"/>
      <c r="Q791" s="702"/>
      <c r="R791" s="702"/>
      <c r="S791" s="702"/>
      <c r="T791" s="702"/>
      <c r="U791" s="702"/>
      <c r="V791" s="702"/>
      <c r="W791" s="702"/>
      <c r="X791" s="702"/>
      <c r="Y791" s="702"/>
      <c r="Z791" s="702"/>
      <c r="AA791" s="702"/>
      <c r="AB791" s="702"/>
      <c r="AC791" s="702"/>
    </row>
    <row r="792" ht="15.75" customHeight="1">
      <c r="A792" s="702"/>
      <c r="B792" s="702"/>
      <c r="C792" s="702"/>
      <c r="D792" s="702"/>
      <c r="E792" s="702"/>
      <c r="F792" s="702"/>
      <c r="G792" s="702"/>
      <c r="H792" s="702"/>
      <c r="I792" s="702"/>
      <c r="J792" s="702"/>
      <c r="K792" s="702"/>
      <c r="L792" s="702"/>
      <c r="M792" s="702"/>
      <c r="N792" s="702"/>
      <c r="O792" s="702"/>
      <c r="P792" s="702"/>
      <c r="Q792" s="702"/>
      <c r="R792" s="702"/>
      <c r="S792" s="702"/>
      <c r="T792" s="702"/>
      <c r="U792" s="702"/>
      <c r="V792" s="702"/>
      <c r="W792" s="702"/>
      <c r="X792" s="702"/>
      <c r="Y792" s="702"/>
      <c r="Z792" s="702"/>
      <c r="AA792" s="702"/>
      <c r="AB792" s="702"/>
      <c r="AC792" s="702"/>
    </row>
    <row r="793" ht="15.75" customHeight="1">
      <c r="A793" s="702"/>
      <c r="B793" s="702"/>
      <c r="C793" s="702"/>
      <c r="D793" s="702"/>
      <c r="E793" s="702"/>
      <c r="F793" s="702"/>
      <c r="G793" s="702"/>
      <c r="H793" s="702"/>
      <c r="I793" s="702"/>
      <c r="J793" s="702"/>
      <c r="K793" s="702"/>
      <c r="L793" s="702"/>
      <c r="M793" s="702"/>
      <c r="N793" s="702"/>
      <c r="O793" s="702"/>
      <c r="P793" s="702"/>
      <c r="Q793" s="702"/>
      <c r="R793" s="702"/>
      <c r="S793" s="702"/>
      <c r="T793" s="702"/>
      <c r="U793" s="702"/>
      <c r="V793" s="702"/>
      <c r="W793" s="702"/>
      <c r="X793" s="702"/>
      <c r="Y793" s="702"/>
      <c r="Z793" s="702"/>
      <c r="AA793" s="702"/>
      <c r="AB793" s="702"/>
      <c r="AC793" s="702"/>
    </row>
    <row r="794" ht="15.75" customHeight="1">
      <c r="A794" s="702"/>
      <c r="B794" s="702"/>
      <c r="C794" s="702"/>
      <c r="D794" s="702"/>
      <c r="E794" s="702"/>
      <c r="F794" s="702"/>
      <c r="G794" s="702"/>
      <c r="H794" s="702"/>
      <c r="I794" s="702"/>
      <c r="J794" s="702"/>
      <c r="K794" s="702"/>
      <c r="L794" s="702"/>
      <c r="M794" s="702"/>
      <c r="N794" s="702"/>
      <c r="O794" s="702"/>
      <c r="P794" s="702"/>
      <c r="Q794" s="702"/>
      <c r="R794" s="702"/>
      <c r="S794" s="702"/>
      <c r="T794" s="702"/>
      <c r="U794" s="702"/>
      <c r="V794" s="702"/>
      <c r="W794" s="702"/>
      <c r="X794" s="702"/>
      <c r="Y794" s="702"/>
      <c r="Z794" s="702"/>
      <c r="AA794" s="702"/>
      <c r="AB794" s="702"/>
      <c r="AC794" s="702"/>
    </row>
    <row r="795" ht="15.75" customHeight="1">
      <c r="A795" s="702"/>
      <c r="B795" s="702"/>
      <c r="C795" s="702"/>
      <c r="D795" s="702"/>
      <c r="E795" s="702"/>
      <c r="F795" s="702"/>
      <c r="G795" s="702"/>
      <c r="H795" s="702"/>
      <c r="I795" s="702"/>
      <c r="J795" s="702"/>
      <c r="K795" s="702"/>
      <c r="L795" s="702"/>
      <c r="M795" s="702"/>
      <c r="N795" s="702"/>
      <c r="O795" s="702"/>
      <c r="P795" s="702"/>
      <c r="Q795" s="702"/>
      <c r="R795" s="702"/>
      <c r="S795" s="702"/>
      <c r="T795" s="702"/>
      <c r="U795" s="702"/>
      <c r="V795" s="702"/>
      <c r="W795" s="702"/>
      <c r="X795" s="702"/>
      <c r="Y795" s="702"/>
      <c r="Z795" s="702"/>
      <c r="AA795" s="702"/>
      <c r="AB795" s="702"/>
      <c r="AC795" s="702"/>
    </row>
    <row r="796" ht="15.75" customHeight="1">
      <c r="A796" s="702"/>
      <c r="B796" s="702"/>
      <c r="C796" s="702"/>
      <c r="D796" s="702"/>
      <c r="E796" s="702"/>
      <c r="F796" s="702"/>
      <c r="G796" s="702"/>
      <c r="H796" s="702"/>
      <c r="I796" s="702"/>
      <c r="J796" s="702"/>
      <c r="K796" s="702"/>
      <c r="L796" s="702"/>
      <c r="M796" s="702"/>
      <c r="N796" s="702"/>
      <c r="O796" s="702"/>
      <c r="P796" s="702"/>
      <c r="Q796" s="702"/>
      <c r="R796" s="702"/>
      <c r="S796" s="702"/>
      <c r="T796" s="702"/>
      <c r="U796" s="702"/>
      <c r="V796" s="702"/>
      <c r="W796" s="702"/>
      <c r="X796" s="702"/>
      <c r="Y796" s="702"/>
      <c r="Z796" s="702"/>
      <c r="AA796" s="702"/>
      <c r="AB796" s="702"/>
      <c r="AC796" s="702"/>
    </row>
    <row r="797" ht="15.75" customHeight="1">
      <c r="A797" s="702"/>
      <c r="B797" s="702"/>
      <c r="C797" s="702"/>
      <c r="D797" s="702"/>
      <c r="E797" s="702"/>
      <c r="F797" s="702"/>
      <c r="G797" s="702"/>
      <c r="H797" s="702"/>
      <c r="I797" s="702"/>
      <c r="J797" s="702"/>
      <c r="K797" s="702"/>
      <c r="L797" s="702"/>
      <c r="M797" s="702"/>
      <c r="N797" s="702"/>
      <c r="O797" s="702"/>
      <c r="P797" s="702"/>
      <c r="Q797" s="702"/>
      <c r="R797" s="702"/>
      <c r="S797" s="702"/>
      <c r="T797" s="702"/>
      <c r="U797" s="702"/>
      <c r="V797" s="702"/>
      <c r="W797" s="702"/>
      <c r="X797" s="702"/>
      <c r="Y797" s="702"/>
      <c r="Z797" s="702"/>
      <c r="AA797" s="702"/>
      <c r="AB797" s="702"/>
      <c r="AC797" s="702"/>
    </row>
    <row r="798" ht="15.75" customHeight="1">
      <c r="A798" s="702"/>
      <c r="B798" s="702"/>
      <c r="C798" s="702"/>
      <c r="D798" s="702"/>
      <c r="E798" s="702"/>
      <c r="F798" s="702"/>
      <c r="G798" s="702"/>
      <c r="H798" s="702"/>
      <c r="I798" s="702"/>
      <c r="J798" s="702"/>
      <c r="K798" s="702"/>
      <c r="L798" s="702"/>
      <c r="M798" s="702"/>
      <c r="N798" s="702"/>
      <c r="O798" s="702"/>
      <c r="P798" s="702"/>
      <c r="Q798" s="702"/>
      <c r="R798" s="702"/>
      <c r="S798" s="702"/>
      <c r="T798" s="702"/>
      <c r="U798" s="702"/>
      <c r="V798" s="702"/>
      <c r="W798" s="702"/>
      <c r="X798" s="702"/>
      <c r="Y798" s="702"/>
      <c r="Z798" s="702"/>
      <c r="AA798" s="702"/>
      <c r="AB798" s="702"/>
      <c r="AC798" s="702"/>
    </row>
    <row r="799" ht="15.75" customHeight="1">
      <c r="A799" s="702"/>
      <c r="B799" s="702"/>
      <c r="C799" s="702"/>
      <c r="D799" s="702"/>
      <c r="E799" s="702"/>
      <c r="F799" s="702"/>
      <c r="G799" s="702"/>
      <c r="H799" s="702"/>
      <c r="I799" s="702"/>
      <c r="J799" s="702"/>
      <c r="K799" s="702"/>
      <c r="L799" s="702"/>
      <c r="M799" s="702"/>
      <c r="N799" s="702"/>
      <c r="O799" s="702"/>
      <c r="P799" s="702"/>
      <c r="Q799" s="702"/>
      <c r="R799" s="702"/>
      <c r="S799" s="702"/>
      <c r="T799" s="702"/>
      <c r="U799" s="702"/>
      <c r="V799" s="702"/>
      <c r="W799" s="702"/>
      <c r="X799" s="702"/>
      <c r="Y799" s="702"/>
      <c r="Z799" s="702"/>
      <c r="AA799" s="702"/>
      <c r="AB799" s="702"/>
      <c r="AC799" s="702"/>
    </row>
    <row r="800" ht="15.75" customHeight="1">
      <c r="A800" s="702"/>
      <c r="B800" s="702"/>
      <c r="C800" s="702"/>
      <c r="D800" s="702"/>
      <c r="E800" s="702"/>
      <c r="F800" s="702"/>
      <c r="G800" s="702"/>
      <c r="H800" s="702"/>
      <c r="I800" s="702"/>
      <c r="J800" s="702"/>
      <c r="K800" s="702"/>
      <c r="L800" s="702"/>
      <c r="M800" s="702"/>
      <c r="N800" s="702"/>
      <c r="O800" s="702"/>
      <c r="P800" s="702"/>
      <c r="Q800" s="702"/>
      <c r="R800" s="702"/>
      <c r="S800" s="702"/>
      <c r="T800" s="702"/>
      <c r="U800" s="702"/>
      <c r="V800" s="702"/>
      <c r="W800" s="702"/>
      <c r="X800" s="702"/>
      <c r="Y800" s="702"/>
      <c r="Z800" s="702"/>
      <c r="AA800" s="702"/>
      <c r="AB800" s="702"/>
      <c r="AC800" s="702"/>
    </row>
    <row r="801" ht="15.75" customHeight="1">
      <c r="A801" s="702"/>
      <c r="B801" s="702"/>
      <c r="C801" s="702"/>
      <c r="D801" s="702"/>
      <c r="E801" s="702"/>
      <c r="F801" s="702"/>
      <c r="G801" s="702"/>
      <c r="H801" s="702"/>
      <c r="I801" s="702"/>
      <c r="J801" s="702"/>
      <c r="K801" s="702"/>
      <c r="L801" s="702"/>
      <c r="M801" s="702"/>
      <c r="N801" s="702"/>
      <c r="O801" s="702"/>
      <c r="P801" s="702"/>
      <c r="Q801" s="702"/>
      <c r="R801" s="702"/>
      <c r="S801" s="702"/>
      <c r="T801" s="702"/>
      <c r="U801" s="702"/>
      <c r="V801" s="702"/>
      <c r="W801" s="702"/>
      <c r="X801" s="702"/>
      <c r="Y801" s="702"/>
      <c r="Z801" s="702"/>
      <c r="AA801" s="702"/>
      <c r="AB801" s="702"/>
      <c r="AC801" s="702"/>
    </row>
    <row r="802" ht="15.75" customHeight="1">
      <c r="A802" s="702"/>
      <c r="B802" s="702"/>
      <c r="C802" s="702"/>
      <c r="D802" s="702"/>
      <c r="E802" s="702"/>
      <c r="F802" s="702"/>
      <c r="G802" s="702"/>
      <c r="H802" s="702"/>
      <c r="I802" s="702"/>
      <c r="J802" s="702"/>
      <c r="K802" s="702"/>
      <c r="L802" s="702"/>
      <c r="M802" s="702"/>
      <c r="N802" s="702"/>
      <c r="O802" s="702"/>
      <c r="P802" s="702"/>
      <c r="Q802" s="702"/>
      <c r="R802" s="702"/>
      <c r="S802" s="702"/>
      <c r="T802" s="702"/>
      <c r="U802" s="702"/>
      <c r="V802" s="702"/>
      <c r="W802" s="702"/>
      <c r="X802" s="702"/>
      <c r="Y802" s="702"/>
      <c r="Z802" s="702"/>
      <c r="AA802" s="702"/>
      <c r="AB802" s="702"/>
      <c r="AC802" s="702"/>
    </row>
    <row r="803" ht="15.75" customHeight="1">
      <c r="A803" s="702"/>
      <c r="B803" s="702"/>
      <c r="C803" s="702"/>
      <c r="D803" s="702"/>
      <c r="E803" s="702"/>
      <c r="F803" s="702"/>
      <c r="G803" s="702"/>
      <c r="H803" s="702"/>
      <c r="I803" s="702"/>
      <c r="J803" s="702"/>
      <c r="K803" s="702"/>
      <c r="L803" s="702"/>
      <c r="M803" s="702"/>
      <c r="N803" s="702"/>
      <c r="O803" s="702"/>
      <c r="P803" s="702"/>
      <c r="Q803" s="702"/>
      <c r="R803" s="702"/>
      <c r="S803" s="702"/>
      <c r="T803" s="702"/>
      <c r="U803" s="702"/>
      <c r="V803" s="702"/>
      <c r="W803" s="702"/>
      <c r="X803" s="702"/>
      <c r="Y803" s="702"/>
      <c r="Z803" s="702"/>
      <c r="AA803" s="702"/>
      <c r="AB803" s="702"/>
      <c r="AC803" s="702"/>
    </row>
    <row r="804" ht="15.75" customHeight="1">
      <c r="A804" s="702"/>
      <c r="B804" s="702"/>
      <c r="C804" s="702"/>
      <c r="D804" s="702"/>
      <c r="E804" s="702"/>
      <c r="F804" s="702"/>
      <c r="G804" s="702"/>
      <c r="H804" s="702"/>
      <c r="I804" s="702"/>
      <c r="J804" s="702"/>
      <c r="K804" s="702"/>
      <c r="L804" s="702"/>
      <c r="M804" s="702"/>
      <c r="N804" s="702"/>
      <c r="O804" s="702"/>
      <c r="P804" s="702"/>
      <c r="Q804" s="702"/>
      <c r="R804" s="702"/>
      <c r="S804" s="702"/>
      <c r="T804" s="702"/>
      <c r="U804" s="702"/>
      <c r="V804" s="702"/>
      <c r="W804" s="702"/>
      <c r="X804" s="702"/>
      <c r="Y804" s="702"/>
      <c r="Z804" s="702"/>
      <c r="AA804" s="702"/>
      <c r="AB804" s="702"/>
      <c r="AC804" s="702"/>
    </row>
    <row r="805" ht="15.75" customHeight="1">
      <c r="A805" s="702"/>
      <c r="B805" s="702"/>
      <c r="C805" s="702"/>
      <c r="D805" s="702"/>
      <c r="E805" s="702"/>
      <c r="F805" s="702"/>
      <c r="G805" s="702"/>
      <c r="H805" s="702"/>
      <c r="I805" s="702"/>
      <c r="J805" s="702"/>
      <c r="K805" s="702"/>
      <c r="L805" s="702"/>
      <c r="M805" s="702"/>
      <c r="N805" s="702"/>
      <c r="O805" s="702"/>
      <c r="P805" s="702"/>
      <c r="Q805" s="702"/>
      <c r="R805" s="702"/>
      <c r="S805" s="702"/>
      <c r="T805" s="702"/>
      <c r="U805" s="702"/>
      <c r="V805" s="702"/>
      <c r="W805" s="702"/>
      <c r="X805" s="702"/>
      <c r="Y805" s="702"/>
      <c r="Z805" s="702"/>
      <c r="AA805" s="702"/>
      <c r="AB805" s="702"/>
      <c r="AC805" s="702"/>
    </row>
    <row r="806" ht="15.75" customHeight="1">
      <c r="A806" s="702"/>
      <c r="B806" s="702"/>
      <c r="C806" s="702"/>
      <c r="D806" s="702"/>
      <c r="E806" s="702"/>
      <c r="F806" s="702"/>
      <c r="G806" s="702"/>
      <c r="H806" s="702"/>
      <c r="I806" s="702"/>
      <c r="J806" s="702"/>
      <c r="K806" s="702"/>
      <c r="L806" s="702"/>
      <c r="M806" s="702"/>
      <c r="N806" s="702"/>
      <c r="O806" s="702"/>
      <c r="P806" s="702"/>
      <c r="Q806" s="702"/>
      <c r="R806" s="702"/>
      <c r="S806" s="702"/>
      <c r="T806" s="702"/>
      <c r="U806" s="702"/>
      <c r="V806" s="702"/>
      <c r="W806" s="702"/>
      <c r="X806" s="702"/>
      <c r="Y806" s="702"/>
      <c r="Z806" s="702"/>
      <c r="AA806" s="702"/>
      <c r="AB806" s="702"/>
      <c r="AC806" s="702"/>
    </row>
    <row r="807" ht="15.75" customHeight="1">
      <c r="A807" s="702"/>
      <c r="B807" s="702"/>
      <c r="C807" s="702"/>
      <c r="D807" s="702"/>
      <c r="E807" s="702"/>
      <c r="F807" s="702"/>
      <c r="G807" s="702"/>
      <c r="H807" s="702"/>
      <c r="I807" s="702"/>
      <c r="J807" s="702"/>
      <c r="K807" s="702"/>
      <c r="L807" s="702"/>
      <c r="M807" s="702"/>
      <c r="N807" s="702"/>
      <c r="O807" s="702"/>
      <c r="P807" s="702"/>
      <c r="Q807" s="702"/>
      <c r="R807" s="702"/>
      <c r="S807" s="702"/>
      <c r="T807" s="702"/>
      <c r="U807" s="702"/>
      <c r="V807" s="702"/>
      <c r="W807" s="702"/>
      <c r="X807" s="702"/>
      <c r="Y807" s="702"/>
      <c r="Z807" s="702"/>
      <c r="AA807" s="702"/>
      <c r="AB807" s="702"/>
      <c r="AC807" s="702"/>
    </row>
    <row r="808" ht="15.75" customHeight="1">
      <c r="A808" s="702"/>
      <c r="B808" s="702"/>
      <c r="C808" s="702"/>
      <c r="D808" s="702"/>
      <c r="E808" s="702"/>
      <c r="F808" s="702"/>
      <c r="G808" s="702"/>
      <c r="H808" s="702"/>
      <c r="I808" s="702"/>
      <c r="J808" s="702"/>
      <c r="K808" s="702"/>
      <c r="L808" s="702"/>
      <c r="M808" s="702"/>
      <c r="N808" s="702"/>
      <c r="O808" s="702"/>
      <c r="P808" s="702"/>
      <c r="Q808" s="702"/>
      <c r="R808" s="702"/>
      <c r="S808" s="702"/>
      <c r="T808" s="702"/>
      <c r="U808" s="702"/>
      <c r="V808" s="702"/>
      <c r="W808" s="702"/>
      <c r="X808" s="702"/>
      <c r="Y808" s="702"/>
      <c r="Z808" s="702"/>
      <c r="AA808" s="702"/>
      <c r="AB808" s="702"/>
      <c r="AC808" s="702"/>
    </row>
    <row r="809" ht="15.75" customHeight="1">
      <c r="A809" s="702"/>
      <c r="B809" s="702"/>
      <c r="C809" s="702"/>
      <c r="D809" s="702"/>
      <c r="E809" s="702"/>
      <c r="F809" s="702"/>
      <c r="G809" s="702"/>
      <c r="H809" s="702"/>
      <c r="I809" s="702"/>
      <c r="J809" s="702"/>
      <c r="K809" s="702"/>
      <c r="L809" s="702"/>
      <c r="M809" s="702"/>
      <c r="N809" s="702"/>
      <c r="O809" s="702"/>
      <c r="P809" s="702"/>
      <c r="Q809" s="702"/>
      <c r="R809" s="702"/>
      <c r="S809" s="702"/>
      <c r="T809" s="702"/>
      <c r="U809" s="702"/>
      <c r="V809" s="702"/>
      <c r="W809" s="702"/>
      <c r="X809" s="702"/>
      <c r="Y809" s="702"/>
      <c r="Z809" s="702"/>
      <c r="AA809" s="702"/>
      <c r="AB809" s="702"/>
      <c r="AC809" s="702"/>
    </row>
    <row r="810" ht="15.75" customHeight="1">
      <c r="A810" s="702"/>
      <c r="B810" s="702"/>
      <c r="C810" s="702"/>
      <c r="D810" s="702"/>
      <c r="E810" s="702"/>
      <c r="F810" s="702"/>
      <c r="G810" s="702"/>
      <c r="H810" s="702"/>
      <c r="I810" s="702"/>
      <c r="J810" s="702"/>
      <c r="K810" s="702"/>
      <c r="L810" s="702"/>
      <c r="M810" s="702"/>
      <c r="N810" s="702"/>
      <c r="O810" s="702"/>
      <c r="P810" s="702"/>
      <c r="Q810" s="702"/>
      <c r="R810" s="702"/>
      <c r="S810" s="702"/>
      <c r="T810" s="702"/>
      <c r="U810" s="702"/>
      <c r="V810" s="702"/>
      <c r="W810" s="702"/>
      <c r="X810" s="702"/>
      <c r="Y810" s="702"/>
      <c r="Z810" s="702"/>
      <c r="AA810" s="702"/>
      <c r="AB810" s="702"/>
      <c r="AC810" s="702"/>
    </row>
    <row r="811" ht="15.75" customHeight="1">
      <c r="A811" s="702"/>
      <c r="B811" s="702"/>
      <c r="C811" s="702"/>
      <c r="D811" s="702"/>
      <c r="E811" s="702"/>
      <c r="F811" s="702"/>
      <c r="G811" s="702"/>
      <c r="H811" s="702"/>
      <c r="I811" s="702"/>
      <c r="J811" s="702"/>
      <c r="K811" s="702"/>
      <c r="L811" s="702"/>
      <c r="M811" s="702"/>
      <c r="N811" s="702"/>
      <c r="O811" s="702"/>
      <c r="P811" s="702"/>
      <c r="Q811" s="702"/>
      <c r="R811" s="702"/>
      <c r="S811" s="702"/>
      <c r="T811" s="702"/>
      <c r="U811" s="702"/>
      <c r="V811" s="702"/>
      <c r="W811" s="702"/>
      <c r="X811" s="702"/>
      <c r="Y811" s="702"/>
      <c r="Z811" s="702"/>
      <c r="AA811" s="702"/>
      <c r="AB811" s="702"/>
      <c r="AC811" s="702"/>
    </row>
    <row r="812" ht="15.75" customHeight="1">
      <c r="A812" s="702"/>
      <c r="B812" s="702"/>
      <c r="C812" s="702"/>
      <c r="D812" s="702"/>
      <c r="E812" s="702"/>
      <c r="F812" s="702"/>
      <c r="G812" s="702"/>
      <c r="H812" s="702"/>
      <c r="I812" s="702"/>
      <c r="J812" s="702"/>
      <c r="K812" s="702"/>
      <c r="L812" s="702"/>
      <c r="M812" s="702"/>
      <c r="N812" s="702"/>
      <c r="O812" s="702"/>
      <c r="P812" s="702"/>
      <c r="Q812" s="702"/>
      <c r="R812" s="702"/>
      <c r="S812" s="702"/>
      <c r="T812" s="702"/>
      <c r="U812" s="702"/>
      <c r="V812" s="702"/>
      <c r="W812" s="702"/>
      <c r="X812" s="702"/>
      <c r="Y812" s="702"/>
      <c r="Z812" s="702"/>
      <c r="AA812" s="702"/>
      <c r="AB812" s="702"/>
      <c r="AC812" s="702"/>
    </row>
    <row r="813" ht="15.75" customHeight="1">
      <c r="A813" s="702"/>
      <c r="B813" s="702"/>
      <c r="C813" s="702"/>
      <c r="D813" s="702"/>
      <c r="E813" s="702"/>
      <c r="F813" s="702"/>
      <c r="G813" s="702"/>
      <c r="H813" s="702"/>
      <c r="I813" s="702"/>
      <c r="J813" s="702"/>
      <c r="K813" s="702"/>
      <c r="L813" s="702"/>
      <c r="M813" s="702"/>
      <c r="N813" s="702"/>
      <c r="O813" s="702"/>
      <c r="P813" s="702"/>
      <c r="Q813" s="702"/>
      <c r="R813" s="702"/>
      <c r="S813" s="702"/>
      <c r="T813" s="702"/>
      <c r="U813" s="702"/>
      <c r="V813" s="702"/>
      <c r="W813" s="702"/>
      <c r="X813" s="702"/>
      <c r="Y813" s="702"/>
      <c r="Z813" s="702"/>
      <c r="AA813" s="702"/>
      <c r="AB813" s="702"/>
      <c r="AC813" s="702"/>
    </row>
    <row r="814" ht="15.75" customHeight="1">
      <c r="A814" s="702"/>
      <c r="B814" s="702"/>
      <c r="C814" s="702"/>
      <c r="D814" s="702"/>
      <c r="E814" s="702"/>
      <c r="F814" s="702"/>
      <c r="G814" s="702"/>
      <c r="H814" s="702"/>
      <c r="I814" s="702"/>
      <c r="J814" s="702"/>
      <c r="K814" s="702"/>
      <c r="L814" s="702"/>
      <c r="M814" s="702"/>
      <c r="N814" s="702"/>
      <c r="O814" s="702"/>
      <c r="P814" s="702"/>
      <c r="Q814" s="702"/>
      <c r="R814" s="702"/>
      <c r="S814" s="702"/>
      <c r="T814" s="702"/>
      <c r="U814" s="702"/>
      <c r="V814" s="702"/>
      <c r="W814" s="702"/>
      <c r="X814" s="702"/>
      <c r="Y814" s="702"/>
      <c r="Z814" s="702"/>
      <c r="AA814" s="702"/>
      <c r="AB814" s="702"/>
      <c r="AC814" s="702"/>
    </row>
    <row r="815" ht="15.75" customHeight="1">
      <c r="A815" s="702"/>
      <c r="B815" s="702"/>
      <c r="C815" s="702"/>
      <c r="D815" s="702"/>
      <c r="E815" s="702"/>
      <c r="F815" s="702"/>
      <c r="G815" s="702"/>
      <c r="H815" s="702"/>
      <c r="I815" s="702"/>
      <c r="J815" s="702"/>
      <c r="K815" s="702"/>
      <c r="L815" s="702"/>
      <c r="M815" s="702"/>
      <c r="N815" s="702"/>
      <c r="O815" s="702"/>
      <c r="P815" s="702"/>
      <c r="Q815" s="702"/>
      <c r="R815" s="702"/>
      <c r="S815" s="702"/>
      <c r="T815" s="702"/>
      <c r="U815" s="702"/>
      <c r="V815" s="702"/>
      <c r="W815" s="702"/>
      <c r="X815" s="702"/>
      <c r="Y815" s="702"/>
      <c r="Z815" s="702"/>
      <c r="AA815" s="702"/>
      <c r="AB815" s="702"/>
      <c r="AC815" s="702"/>
    </row>
    <row r="816" ht="15.75" customHeight="1">
      <c r="A816" s="702"/>
      <c r="B816" s="702"/>
      <c r="C816" s="702"/>
      <c r="D816" s="702"/>
      <c r="E816" s="702"/>
      <c r="F816" s="702"/>
      <c r="G816" s="702"/>
      <c r="H816" s="702"/>
      <c r="I816" s="702"/>
      <c r="J816" s="702"/>
      <c r="K816" s="702"/>
      <c r="L816" s="702"/>
      <c r="M816" s="702"/>
      <c r="N816" s="702"/>
      <c r="O816" s="702"/>
      <c r="P816" s="702"/>
      <c r="Q816" s="702"/>
      <c r="R816" s="702"/>
      <c r="S816" s="702"/>
      <c r="T816" s="702"/>
      <c r="U816" s="702"/>
      <c r="V816" s="702"/>
      <c r="W816" s="702"/>
      <c r="X816" s="702"/>
      <c r="Y816" s="702"/>
      <c r="Z816" s="702"/>
      <c r="AA816" s="702"/>
      <c r="AB816" s="702"/>
      <c r="AC816" s="702"/>
    </row>
    <row r="817" ht="15.75" customHeight="1">
      <c r="A817" s="702"/>
      <c r="B817" s="702"/>
      <c r="C817" s="702"/>
      <c r="D817" s="702"/>
      <c r="E817" s="702"/>
      <c r="F817" s="702"/>
      <c r="G817" s="702"/>
      <c r="H817" s="702"/>
      <c r="I817" s="702"/>
      <c r="J817" s="702"/>
      <c r="K817" s="702"/>
      <c r="L817" s="702"/>
      <c r="M817" s="702"/>
      <c r="N817" s="702"/>
      <c r="O817" s="702"/>
      <c r="P817" s="702"/>
      <c r="Q817" s="702"/>
      <c r="R817" s="702"/>
      <c r="S817" s="702"/>
      <c r="T817" s="702"/>
      <c r="U817" s="702"/>
      <c r="V817" s="702"/>
      <c r="W817" s="702"/>
      <c r="X817" s="702"/>
      <c r="Y817" s="702"/>
      <c r="Z817" s="702"/>
      <c r="AA817" s="702"/>
      <c r="AB817" s="702"/>
      <c r="AC817" s="702"/>
    </row>
    <row r="818" ht="15.75" customHeight="1">
      <c r="A818" s="702"/>
      <c r="B818" s="702"/>
      <c r="C818" s="702"/>
      <c r="D818" s="702"/>
      <c r="E818" s="702"/>
      <c r="F818" s="702"/>
      <c r="G818" s="702"/>
      <c r="H818" s="702"/>
      <c r="I818" s="702"/>
      <c r="J818" s="702"/>
      <c r="K818" s="702"/>
      <c r="L818" s="702"/>
      <c r="M818" s="702"/>
      <c r="N818" s="702"/>
      <c r="O818" s="702"/>
      <c r="P818" s="702"/>
      <c r="Q818" s="702"/>
      <c r="R818" s="702"/>
      <c r="S818" s="702"/>
      <c r="T818" s="702"/>
      <c r="U818" s="702"/>
      <c r="V818" s="702"/>
      <c r="W818" s="702"/>
      <c r="X818" s="702"/>
      <c r="Y818" s="702"/>
      <c r="Z818" s="702"/>
      <c r="AA818" s="702"/>
      <c r="AB818" s="702"/>
      <c r="AC818" s="702"/>
    </row>
    <row r="819" ht="15.75" customHeight="1">
      <c r="A819" s="702"/>
      <c r="B819" s="702"/>
      <c r="C819" s="702"/>
      <c r="D819" s="702"/>
      <c r="E819" s="702"/>
      <c r="F819" s="702"/>
      <c r="G819" s="702"/>
      <c r="H819" s="702"/>
      <c r="I819" s="702"/>
      <c r="J819" s="702"/>
      <c r="K819" s="702"/>
      <c r="L819" s="702"/>
      <c r="M819" s="702"/>
      <c r="N819" s="702"/>
      <c r="O819" s="702"/>
      <c r="P819" s="702"/>
      <c r="Q819" s="702"/>
      <c r="R819" s="702"/>
      <c r="S819" s="702"/>
      <c r="T819" s="702"/>
      <c r="U819" s="702"/>
      <c r="V819" s="702"/>
      <c r="W819" s="702"/>
      <c r="X819" s="702"/>
      <c r="Y819" s="702"/>
      <c r="Z819" s="702"/>
      <c r="AA819" s="702"/>
      <c r="AB819" s="702"/>
      <c r="AC819" s="702"/>
    </row>
    <row r="820" ht="15.75" customHeight="1">
      <c r="A820" s="702"/>
      <c r="B820" s="702"/>
      <c r="C820" s="702"/>
      <c r="D820" s="702"/>
      <c r="E820" s="702"/>
      <c r="F820" s="702"/>
      <c r="G820" s="702"/>
      <c r="H820" s="702"/>
      <c r="I820" s="702"/>
      <c r="J820" s="702"/>
      <c r="K820" s="702"/>
      <c r="L820" s="702"/>
      <c r="M820" s="702"/>
      <c r="N820" s="702"/>
      <c r="O820" s="702"/>
      <c r="P820" s="702"/>
      <c r="Q820" s="702"/>
      <c r="R820" s="702"/>
      <c r="S820" s="702"/>
      <c r="T820" s="702"/>
      <c r="U820" s="702"/>
      <c r="V820" s="702"/>
      <c r="W820" s="702"/>
      <c r="X820" s="702"/>
      <c r="Y820" s="702"/>
      <c r="Z820" s="702"/>
      <c r="AA820" s="702"/>
      <c r="AB820" s="702"/>
      <c r="AC820" s="702"/>
    </row>
    <row r="821" ht="15.75" customHeight="1">
      <c r="A821" s="702"/>
      <c r="B821" s="702"/>
      <c r="C821" s="702"/>
      <c r="D821" s="702"/>
      <c r="E821" s="702"/>
      <c r="F821" s="702"/>
      <c r="G821" s="702"/>
      <c r="H821" s="702"/>
      <c r="I821" s="702"/>
      <c r="J821" s="702"/>
      <c r="K821" s="702"/>
      <c r="L821" s="702"/>
      <c r="M821" s="702"/>
      <c r="N821" s="702"/>
      <c r="O821" s="702"/>
      <c r="P821" s="702"/>
      <c r="Q821" s="702"/>
      <c r="R821" s="702"/>
      <c r="S821" s="702"/>
      <c r="T821" s="702"/>
      <c r="U821" s="702"/>
      <c r="V821" s="702"/>
      <c r="W821" s="702"/>
      <c r="X821" s="702"/>
      <c r="Y821" s="702"/>
      <c r="Z821" s="702"/>
      <c r="AA821" s="702"/>
      <c r="AB821" s="702"/>
      <c r="AC821" s="702"/>
    </row>
    <row r="822" ht="15.75" customHeight="1">
      <c r="A822" s="702"/>
      <c r="B822" s="702"/>
      <c r="C822" s="702"/>
      <c r="D822" s="702"/>
      <c r="E822" s="702"/>
      <c r="F822" s="702"/>
      <c r="G822" s="702"/>
      <c r="H822" s="702"/>
      <c r="I822" s="702"/>
      <c r="J822" s="702"/>
      <c r="K822" s="702"/>
      <c r="L822" s="702"/>
      <c r="M822" s="702"/>
      <c r="N822" s="702"/>
      <c r="O822" s="702"/>
      <c r="P822" s="702"/>
      <c r="Q822" s="702"/>
      <c r="R822" s="702"/>
      <c r="S822" s="702"/>
      <c r="T822" s="702"/>
      <c r="U822" s="702"/>
      <c r="V822" s="702"/>
      <c r="W822" s="702"/>
      <c r="X822" s="702"/>
      <c r="Y822" s="702"/>
      <c r="Z822" s="702"/>
      <c r="AA822" s="702"/>
      <c r="AB822" s="702"/>
      <c r="AC822" s="702"/>
    </row>
    <row r="823" ht="15.75" customHeight="1">
      <c r="A823" s="702"/>
      <c r="B823" s="702"/>
      <c r="C823" s="702"/>
      <c r="D823" s="702"/>
      <c r="E823" s="702"/>
      <c r="F823" s="702"/>
      <c r="G823" s="702"/>
      <c r="H823" s="702"/>
      <c r="I823" s="702"/>
      <c r="J823" s="702"/>
      <c r="K823" s="702"/>
      <c r="L823" s="702"/>
      <c r="M823" s="702"/>
      <c r="N823" s="702"/>
      <c r="O823" s="702"/>
      <c r="P823" s="702"/>
      <c r="Q823" s="702"/>
      <c r="R823" s="702"/>
      <c r="S823" s="702"/>
      <c r="T823" s="702"/>
      <c r="U823" s="702"/>
      <c r="V823" s="702"/>
      <c r="W823" s="702"/>
      <c r="X823" s="702"/>
      <c r="Y823" s="702"/>
      <c r="Z823" s="702"/>
      <c r="AA823" s="702"/>
      <c r="AB823" s="702"/>
      <c r="AC823" s="702"/>
    </row>
    <row r="824" ht="15.75" customHeight="1">
      <c r="A824" s="702"/>
      <c r="B824" s="702"/>
      <c r="C824" s="702"/>
      <c r="D824" s="702"/>
      <c r="E824" s="702"/>
      <c r="F824" s="702"/>
      <c r="G824" s="702"/>
      <c r="H824" s="702"/>
      <c r="I824" s="702"/>
      <c r="J824" s="702"/>
      <c r="K824" s="702"/>
      <c r="L824" s="702"/>
      <c r="M824" s="702"/>
      <c r="N824" s="702"/>
      <c r="O824" s="702"/>
      <c r="P824" s="702"/>
      <c r="Q824" s="702"/>
      <c r="R824" s="702"/>
      <c r="S824" s="702"/>
      <c r="T824" s="702"/>
      <c r="U824" s="702"/>
      <c r="V824" s="702"/>
      <c r="W824" s="702"/>
      <c r="X824" s="702"/>
      <c r="Y824" s="702"/>
      <c r="Z824" s="702"/>
      <c r="AA824" s="702"/>
      <c r="AB824" s="702"/>
      <c r="AC824" s="702"/>
    </row>
    <row r="825" ht="15.75" customHeight="1">
      <c r="A825" s="702"/>
      <c r="B825" s="702"/>
      <c r="C825" s="702"/>
      <c r="D825" s="702"/>
      <c r="E825" s="702"/>
      <c r="F825" s="702"/>
      <c r="G825" s="702"/>
      <c r="H825" s="702"/>
      <c r="I825" s="702"/>
      <c r="J825" s="702"/>
      <c r="K825" s="702"/>
      <c r="L825" s="702"/>
      <c r="M825" s="702"/>
      <c r="N825" s="702"/>
      <c r="O825" s="702"/>
      <c r="P825" s="702"/>
      <c r="Q825" s="702"/>
      <c r="R825" s="702"/>
      <c r="S825" s="702"/>
      <c r="T825" s="702"/>
      <c r="U825" s="702"/>
      <c r="V825" s="702"/>
      <c r="W825" s="702"/>
      <c r="X825" s="702"/>
      <c r="Y825" s="702"/>
      <c r="Z825" s="702"/>
      <c r="AA825" s="702"/>
      <c r="AB825" s="702"/>
      <c r="AC825" s="702"/>
    </row>
    <row r="826" ht="15.75" customHeight="1">
      <c r="A826" s="702"/>
      <c r="B826" s="702"/>
      <c r="C826" s="702"/>
      <c r="D826" s="702"/>
      <c r="E826" s="702"/>
      <c r="F826" s="702"/>
      <c r="G826" s="702"/>
      <c r="H826" s="702"/>
      <c r="I826" s="702"/>
      <c r="J826" s="702"/>
      <c r="K826" s="702"/>
      <c r="L826" s="702"/>
      <c r="M826" s="702"/>
      <c r="N826" s="702"/>
      <c r="O826" s="702"/>
      <c r="P826" s="702"/>
      <c r="Q826" s="702"/>
      <c r="R826" s="702"/>
      <c r="S826" s="702"/>
      <c r="T826" s="702"/>
      <c r="U826" s="702"/>
      <c r="V826" s="702"/>
      <c r="W826" s="702"/>
      <c r="X826" s="702"/>
      <c r="Y826" s="702"/>
      <c r="Z826" s="702"/>
      <c r="AA826" s="702"/>
      <c r="AB826" s="702"/>
      <c r="AC826" s="702"/>
    </row>
    <row r="827" ht="15.75" customHeight="1">
      <c r="A827" s="702"/>
      <c r="B827" s="702"/>
      <c r="C827" s="702"/>
      <c r="D827" s="702"/>
      <c r="E827" s="702"/>
      <c r="F827" s="702"/>
      <c r="G827" s="702"/>
      <c r="H827" s="702"/>
      <c r="I827" s="702"/>
      <c r="J827" s="702"/>
      <c r="K827" s="702"/>
      <c r="L827" s="702"/>
      <c r="M827" s="702"/>
      <c r="N827" s="702"/>
      <c r="O827" s="702"/>
      <c r="P827" s="702"/>
      <c r="Q827" s="702"/>
      <c r="R827" s="702"/>
      <c r="S827" s="702"/>
      <c r="T827" s="702"/>
      <c r="U827" s="702"/>
      <c r="V827" s="702"/>
      <c r="W827" s="702"/>
      <c r="X827" s="702"/>
      <c r="Y827" s="702"/>
      <c r="Z827" s="702"/>
      <c r="AA827" s="702"/>
      <c r="AB827" s="702"/>
      <c r="AC827" s="702"/>
    </row>
    <row r="828" ht="15.75" customHeight="1">
      <c r="A828" s="702"/>
      <c r="B828" s="702"/>
      <c r="C828" s="702"/>
      <c r="D828" s="702"/>
      <c r="E828" s="702"/>
      <c r="F828" s="702"/>
      <c r="G828" s="702"/>
      <c r="H828" s="702"/>
      <c r="I828" s="702"/>
      <c r="J828" s="702"/>
      <c r="K828" s="702"/>
      <c r="L828" s="702"/>
      <c r="M828" s="702"/>
      <c r="N828" s="702"/>
      <c r="O828" s="702"/>
      <c r="P828" s="702"/>
      <c r="Q828" s="702"/>
      <c r="R828" s="702"/>
      <c r="S828" s="702"/>
      <c r="T828" s="702"/>
      <c r="U828" s="702"/>
      <c r="V828" s="702"/>
      <c r="W828" s="702"/>
      <c r="X828" s="702"/>
      <c r="Y828" s="702"/>
      <c r="Z828" s="702"/>
      <c r="AA828" s="702"/>
      <c r="AB828" s="702"/>
      <c r="AC828" s="702"/>
    </row>
    <row r="829" ht="15.75" customHeight="1">
      <c r="A829" s="702"/>
      <c r="B829" s="702"/>
      <c r="C829" s="702"/>
      <c r="D829" s="702"/>
      <c r="E829" s="702"/>
      <c r="F829" s="702"/>
      <c r="G829" s="702"/>
      <c r="H829" s="702"/>
      <c r="I829" s="702"/>
      <c r="J829" s="702"/>
      <c r="K829" s="702"/>
      <c r="L829" s="702"/>
      <c r="M829" s="702"/>
      <c r="N829" s="702"/>
      <c r="O829" s="702"/>
      <c r="P829" s="702"/>
      <c r="Q829" s="702"/>
      <c r="R829" s="702"/>
      <c r="S829" s="702"/>
      <c r="T829" s="702"/>
      <c r="U829" s="702"/>
      <c r="V829" s="702"/>
      <c r="W829" s="702"/>
      <c r="X829" s="702"/>
      <c r="Y829" s="702"/>
      <c r="Z829" s="702"/>
      <c r="AA829" s="702"/>
      <c r="AB829" s="702"/>
      <c r="AC829" s="702"/>
    </row>
    <row r="830" ht="15.75" customHeight="1">
      <c r="A830" s="702"/>
      <c r="B830" s="702"/>
      <c r="C830" s="702"/>
      <c r="D830" s="702"/>
      <c r="E830" s="702"/>
      <c r="F830" s="702"/>
      <c r="G830" s="702"/>
      <c r="H830" s="702"/>
      <c r="I830" s="702"/>
      <c r="J830" s="702"/>
      <c r="K830" s="702"/>
      <c r="L830" s="702"/>
      <c r="M830" s="702"/>
      <c r="N830" s="702"/>
      <c r="O830" s="702"/>
      <c r="P830" s="702"/>
      <c r="Q830" s="702"/>
      <c r="R830" s="702"/>
      <c r="S830" s="702"/>
      <c r="T830" s="702"/>
      <c r="U830" s="702"/>
      <c r="V830" s="702"/>
      <c r="W830" s="702"/>
      <c r="X830" s="702"/>
      <c r="Y830" s="702"/>
      <c r="Z830" s="702"/>
      <c r="AA830" s="702"/>
      <c r="AB830" s="702"/>
      <c r="AC830" s="702"/>
    </row>
    <row r="831" ht="15.75" customHeight="1">
      <c r="A831" s="702"/>
      <c r="B831" s="702"/>
      <c r="C831" s="702"/>
      <c r="D831" s="702"/>
      <c r="E831" s="702"/>
      <c r="F831" s="702"/>
      <c r="G831" s="702"/>
      <c r="H831" s="702"/>
      <c r="I831" s="702"/>
      <c r="J831" s="702"/>
      <c r="K831" s="702"/>
      <c r="L831" s="702"/>
      <c r="M831" s="702"/>
      <c r="N831" s="702"/>
      <c r="O831" s="702"/>
      <c r="P831" s="702"/>
      <c r="Q831" s="702"/>
      <c r="R831" s="702"/>
      <c r="S831" s="702"/>
      <c r="T831" s="702"/>
      <c r="U831" s="702"/>
      <c r="V831" s="702"/>
      <c r="W831" s="702"/>
      <c r="X831" s="702"/>
      <c r="Y831" s="702"/>
      <c r="Z831" s="702"/>
      <c r="AA831" s="702"/>
      <c r="AB831" s="702"/>
      <c r="AC831" s="702"/>
    </row>
    <row r="832" ht="15.75" customHeight="1">
      <c r="A832" s="702"/>
      <c r="B832" s="702"/>
      <c r="C832" s="702"/>
      <c r="D832" s="702"/>
      <c r="E832" s="702"/>
      <c r="F832" s="702"/>
      <c r="G832" s="702"/>
      <c r="H832" s="702"/>
      <c r="I832" s="702"/>
      <c r="J832" s="702"/>
      <c r="K832" s="702"/>
      <c r="L832" s="702"/>
      <c r="M832" s="702"/>
      <c r="N832" s="702"/>
      <c r="O832" s="702"/>
      <c r="P832" s="702"/>
      <c r="Q832" s="702"/>
      <c r="R832" s="702"/>
      <c r="S832" s="702"/>
      <c r="T832" s="702"/>
      <c r="U832" s="702"/>
      <c r="V832" s="702"/>
      <c r="W832" s="702"/>
      <c r="X832" s="702"/>
      <c r="Y832" s="702"/>
      <c r="Z832" s="702"/>
      <c r="AA832" s="702"/>
      <c r="AB832" s="702"/>
      <c r="AC832" s="702"/>
    </row>
    <row r="833" ht="15.75" customHeight="1">
      <c r="A833" s="702"/>
      <c r="B833" s="702"/>
      <c r="C833" s="702"/>
      <c r="D833" s="702"/>
      <c r="E833" s="702"/>
      <c r="F833" s="702"/>
      <c r="G833" s="702"/>
      <c r="H833" s="702"/>
      <c r="I833" s="702"/>
      <c r="J833" s="702"/>
      <c r="K833" s="702"/>
      <c r="L833" s="702"/>
      <c r="M833" s="702"/>
      <c r="N833" s="702"/>
      <c r="O833" s="702"/>
      <c r="P833" s="702"/>
      <c r="Q833" s="702"/>
      <c r="R833" s="702"/>
      <c r="S833" s="702"/>
      <c r="T833" s="702"/>
      <c r="U833" s="702"/>
      <c r="V833" s="702"/>
      <c r="W833" s="702"/>
      <c r="X833" s="702"/>
      <c r="Y833" s="702"/>
      <c r="Z833" s="702"/>
      <c r="AA833" s="702"/>
      <c r="AB833" s="702"/>
      <c r="AC833" s="702"/>
    </row>
    <row r="834" ht="15.75" customHeight="1">
      <c r="A834" s="702"/>
      <c r="B834" s="702"/>
      <c r="C834" s="702"/>
      <c r="D834" s="702"/>
      <c r="E834" s="702"/>
      <c r="F834" s="702"/>
      <c r="G834" s="702"/>
      <c r="H834" s="702"/>
      <c r="I834" s="702"/>
      <c r="J834" s="702"/>
      <c r="K834" s="702"/>
      <c r="L834" s="702"/>
      <c r="M834" s="702"/>
      <c r="N834" s="702"/>
      <c r="O834" s="702"/>
      <c r="P834" s="702"/>
      <c r="Q834" s="702"/>
      <c r="R834" s="702"/>
      <c r="S834" s="702"/>
      <c r="T834" s="702"/>
      <c r="U834" s="702"/>
      <c r="V834" s="702"/>
      <c r="W834" s="702"/>
      <c r="X834" s="702"/>
      <c r="Y834" s="702"/>
      <c r="Z834" s="702"/>
      <c r="AA834" s="702"/>
      <c r="AB834" s="702"/>
      <c r="AC834" s="702"/>
    </row>
    <row r="835" ht="15.75" customHeight="1">
      <c r="A835" s="702"/>
      <c r="B835" s="702"/>
      <c r="C835" s="702"/>
      <c r="D835" s="702"/>
      <c r="E835" s="702"/>
      <c r="F835" s="702"/>
      <c r="G835" s="702"/>
      <c r="H835" s="702"/>
      <c r="I835" s="702"/>
      <c r="J835" s="702"/>
      <c r="K835" s="702"/>
      <c r="L835" s="702"/>
      <c r="M835" s="702"/>
      <c r="N835" s="702"/>
      <c r="O835" s="702"/>
      <c r="P835" s="702"/>
      <c r="Q835" s="702"/>
      <c r="R835" s="702"/>
      <c r="S835" s="702"/>
      <c r="T835" s="702"/>
      <c r="U835" s="702"/>
      <c r="V835" s="702"/>
      <c r="W835" s="702"/>
      <c r="X835" s="702"/>
      <c r="Y835" s="702"/>
      <c r="Z835" s="702"/>
      <c r="AA835" s="702"/>
      <c r="AB835" s="702"/>
      <c r="AC835" s="702"/>
    </row>
    <row r="836" ht="15.75" customHeight="1">
      <c r="A836" s="702"/>
      <c r="B836" s="702"/>
      <c r="C836" s="702"/>
      <c r="D836" s="702"/>
      <c r="E836" s="702"/>
      <c r="F836" s="702"/>
      <c r="G836" s="702"/>
      <c r="H836" s="702"/>
      <c r="I836" s="702"/>
      <c r="J836" s="702"/>
      <c r="K836" s="702"/>
      <c r="L836" s="702"/>
      <c r="M836" s="702"/>
      <c r="N836" s="702"/>
      <c r="O836" s="702"/>
      <c r="P836" s="702"/>
      <c r="Q836" s="702"/>
      <c r="R836" s="702"/>
      <c r="S836" s="702"/>
      <c r="T836" s="702"/>
      <c r="U836" s="702"/>
      <c r="V836" s="702"/>
      <c r="W836" s="702"/>
      <c r="X836" s="702"/>
      <c r="Y836" s="702"/>
      <c r="Z836" s="702"/>
      <c r="AA836" s="702"/>
      <c r="AB836" s="702"/>
      <c r="AC836" s="702"/>
    </row>
    <row r="837" ht="15.75" customHeight="1">
      <c r="A837" s="702"/>
      <c r="B837" s="702"/>
      <c r="C837" s="702"/>
      <c r="D837" s="702"/>
      <c r="E837" s="702"/>
      <c r="F837" s="702"/>
      <c r="G837" s="702"/>
      <c r="H837" s="702"/>
      <c r="I837" s="702"/>
      <c r="J837" s="702"/>
      <c r="K837" s="702"/>
      <c r="L837" s="702"/>
      <c r="M837" s="702"/>
      <c r="N837" s="702"/>
      <c r="O837" s="702"/>
      <c r="P837" s="702"/>
      <c r="Q837" s="702"/>
      <c r="R837" s="702"/>
      <c r="S837" s="702"/>
      <c r="T837" s="702"/>
      <c r="U837" s="702"/>
      <c r="V837" s="702"/>
      <c r="W837" s="702"/>
      <c r="X837" s="702"/>
      <c r="Y837" s="702"/>
      <c r="Z837" s="702"/>
      <c r="AA837" s="702"/>
      <c r="AB837" s="702"/>
      <c r="AC837" s="702"/>
    </row>
    <row r="838" ht="15.75" customHeight="1">
      <c r="A838" s="702"/>
      <c r="B838" s="702"/>
      <c r="C838" s="702"/>
      <c r="D838" s="702"/>
      <c r="E838" s="702"/>
      <c r="F838" s="702"/>
      <c r="G838" s="702"/>
      <c r="H838" s="702"/>
      <c r="I838" s="702"/>
      <c r="J838" s="702"/>
      <c r="K838" s="702"/>
      <c r="L838" s="702"/>
      <c r="M838" s="702"/>
      <c r="N838" s="702"/>
      <c r="O838" s="702"/>
      <c r="P838" s="702"/>
      <c r="Q838" s="702"/>
      <c r="R838" s="702"/>
      <c r="S838" s="702"/>
      <c r="T838" s="702"/>
      <c r="U838" s="702"/>
      <c r="V838" s="702"/>
      <c r="W838" s="702"/>
      <c r="X838" s="702"/>
      <c r="Y838" s="702"/>
      <c r="Z838" s="702"/>
      <c r="AA838" s="702"/>
      <c r="AB838" s="702"/>
      <c r="AC838" s="702"/>
    </row>
    <row r="839" ht="15.75" customHeight="1">
      <c r="A839" s="702"/>
      <c r="B839" s="702"/>
      <c r="C839" s="702"/>
      <c r="D839" s="702"/>
      <c r="E839" s="702"/>
      <c r="F839" s="702"/>
      <c r="G839" s="702"/>
      <c r="H839" s="702"/>
      <c r="I839" s="702"/>
      <c r="J839" s="702"/>
      <c r="K839" s="702"/>
      <c r="L839" s="702"/>
      <c r="M839" s="702"/>
      <c r="N839" s="702"/>
      <c r="O839" s="702"/>
      <c r="P839" s="702"/>
      <c r="Q839" s="702"/>
      <c r="R839" s="702"/>
      <c r="S839" s="702"/>
      <c r="T839" s="702"/>
      <c r="U839" s="702"/>
      <c r="V839" s="702"/>
      <c r="W839" s="702"/>
      <c r="X839" s="702"/>
      <c r="Y839" s="702"/>
      <c r="Z839" s="702"/>
      <c r="AA839" s="702"/>
      <c r="AB839" s="702"/>
      <c r="AC839" s="702"/>
    </row>
    <row r="840" ht="15.75" customHeight="1">
      <c r="A840" s="702"/>
      <c r="B840" s="702"/>
      <c r="C840" s="702"/>
      <c r="D840" s="702"/>
      <c r="E840" s="702"/>
      <c r="F840" s="702"/>
      <c r="G840" s="702"/>
      <c r="H840" s="702"/>
      <c r="I840" s="702"/>
      <c r="J840" s="702"/>
      <c r="K840" s="702"/>
      <c r="L840" s="702"/>
      <c r="M840" s="702"/>
      <c r="N840" s="702"/>
      <c r="O840" s="702"/>
      <c r="P840" s="702"/>
      <c r="Q840" s="702"/>
      <c r="R840" s="702"/>
      <c r="S840" s="702"/>
      <c r="T840" s="702"/>
      <c r="U840" s="702"/>
      <c r="V840" s="702"/>
      <c r="W840" s="702"/>
      <c r="X840" s="702"/>
      <c r="Y840" s="702"/>
      <c r="Z840" s="702"/>
      <c r="AA840" s="702"/>
      <c r="AB840" s="702"/>
      <c r="AC840" s="702"/>
    </row>
    <row r="841" ht="15.75" customHeight="1">
      <c r="A841" s="702"/>
      <c r="B841" s="702"/>
      <c r="C841" s="702"/>
      <c r="D841" s="702"/>
      <c r="E841" s="702"/>
      <c r="F841" s="702"/>
      <c r="G841" s="702"/>
      <c r="H841" s="702"/>
      <c r="I841" s="702"/>
      <c r="J841" s="702"/>
      <c r="K841" s="702"/>
      <c r="L841" s="702"/>
      <c r="M841" s="702"/>
      <c r="N841" s="702"/>
      <c r="O841" s="702"/>
      <c r="P841" s="702"/>
      <c r="Q841" s="702"/>
      <c r="R841" s="702"/>
      <c r="S841" s="702"/>
      <c r="T841" s="702"/>
      <c r="U841" s="702"/>
      <c r="V841" s="702"/>
      <c r="W841" s="702"/>
      <c r="X841" s="702"/>
      <c r="Y841" s="702"/>
      <c r="Z841" s="702"/>
      <c r="AA841" s="702"/>
      <c r="AB841" s="702"/>
      <c r="AC841" s="702"/>
    </row>
    <row r="842" ht="15.75" customHeight="1">
      <c r="A842" s="702"/>
      <c r="B842" s="702"/>
      <c r="C842" s="702"/>
      <c r="D842" s="702"/>
      <c r="E842" s="702"/>
      <c r="F842" s="702"/>
      <c r="G842" s="702"/>
      <c r="H842" s="702"/>
      <c r="I842" s="702"/>
      <c r="J842" s="702"/>
      <c r="K842" s="702"/>
      <c r="L842" s="702"/>
      <c r="M842" s="702"/>
      <c r="N842" s="702"/>
      <c r="O842" s="702"/>
      <c r="P842" s="702"/>
      <c r="Q842" s="702"/>
      <c r="R842" s="702"/>
      <c r="S842" s="702"/>
      <c r="T842" s="702"/>
      <c r="U842" s="702"/>
      <c r="V842" s="702"/>
      <c r="W842" s="702"/>
      <c r="X842" s="702"/>
      <c r="Y842" s="702"/>
      <c r="Z842" s="702"/>
      <c r="AA842" s="702"/>
      <c r="AB842" s="702"/>
      <c r="AC842" s="702"/>
    </row>
    <row r="843" ht="15.75" customHeight="1">
      <c r="A843" s="702"/>
      <c r="B843" s="702"/>
      <c r="C843" s="702"/>
      <c r="D843" s="702"/>
      <c r="E843" s="702"/>
      <c r="F843" s="702"/>
      <c r="G843" s="702"/>
      <c r="H843" s="702"/>
      <c r="I843" s="702"/>
      <c r="J843" s="702"/>
      <c r="K843" s="702"/>
      <c r="L843" s="702"/>
      <c r="M843" s="702"/>
      <c r="N843" s="702"/>
      <c r="O843" s="702"/>
      <c r="P843" s="702"/>
      <c r="Q843" s="702"/>
      <c r="R843" s="702"/>
      <c r="S843" s="702"/>
      <c r="T843" s="702"/>
      <c r="U843" s="702"/>
      <c r="V843" s="702"/>
      <c r="W843" s="702"/>
      <c r="X843" s="702"/>
      <c r="Y843" s="702"/>
      <c r="Z843" s="702"/>
      <c r="AA843" s="702"/>
      <c r="AB843" s="702"/>
      <c r="AC843" s="702"/>
    </row>
    <row r="844" ht="15.75" customHeight="1">
      <c r="A844" s="702"/>
      <c r="B844" s="702"/>
      <c r="C844" s="702"/>
      <c r="D844" s="702"/>
      <c r="E844" s="702"/>
      <c r="F844" s="702"/>
      <c r="G844" s="702"/>
      <c r="H844" s="702"/>
      <c r="I844" s="702"/>
      <c r="J844" s="702"/>
      <c r="K844" s="702"/>
      <c r="L844" s="702"/>
      <c r="M844" s="702"/>
      <c r="N844" s="702"/>
      <c r="O844" s="702"/>
      <c r="P844" s="702"/>
      <c r="Q844" s="702"/>
      <c r="R844" s="702"/>
      <c r="S844" s="702"/>
      <c r="T844" s="702"/>
      <c r="U844" s="702"/>
      <c r="V844" s="702"/>
      <c r="W844" s="702"/>
      <c r="X844" s="702"/>
      <c r="Y844" s="702"/>
      <c r="Z844" s="702"/>
      <c r="AA844" s="702"/>
      <c r="AB844" s="702"/>
      <c r="AC844" s="702"/>
    </row>
    <row r="845" ht="15.75" customHeight="1">
      <c r="A845" s="702"/>
      <c r="B845" s="702"/>
      <c r="C845" s="702"/>
      <c r="D845" s="702"/>
      <c r="E845" s="702"/>
      <c r="F845" s="702"/>
      <c r="G845" s="702"/>
      <c r="H845" s="702"/>
      <c r="I845" s="702"/>
      <c r="J845" s="702"/>
      <c r="K845" s="702"/>
      <c r="L845" s="702"/>
      <c r="M845" s="702"/>
      <c r="N845" s="702"/>
      <c r="O845" s="702"/>
      <c r="P845" s="702"/>
      <c r="Q845" s="702"/>
      <c r="R845" s="702"/>
      <c r="S845" s="702"/>
      <c r="T845" s="702"/>
      <c r="U845" s="702"/>
      <c r="V845" s="702"/>
      <c r="W845" s="702"/>
      <c r="X845" s="702"/>
      <c r="Y845" s="702"/>
      <c r="Z845" s="702"/>
      <c r="AA845" s="702"/>
      <c r="AB845" s="702"/>
      <c r="AC845" s="702"/>
    </row>
    <row r="846" ht="15.75" customHeight="1">
      <c r="A846" s="702"/>
      <c r="B846" s="702"/>
      <c r="C846" s="702"/>
      <c r="D846" s="702"/>
      <c r="E846" s="702"/>
      <c r="F846" s="702"/>
      <c r="G846" s="702"/>
      <c r="H846" s="702"/>
      <c r="I846" s="702"/>
      <c r="J846" s="702"/>
      <c r="K846" s="702"/>
      <c r="L846" s="702"/>
      <c r="M846" s="702"/>
      <c r="N846" s="702"/>
      <c r="O846" s="702"/>
      <c r="P846" s="702"/>
      <c r="Q846" s="702"/>
      <c r="R846" s="702"/>
      <c r="S846" s="702"/>
      <c r="T846" s="702"/>
      <c r="U846" s="702"/>
      <c r="V846" s="702"/>
      <c r="W846" s="702"/>
      <c r="X846" s="702"/>
      <c r="Y846" s="702"/>
      <c r="Z846" s="702"/>
      <c r="AA846" s="702"/>
      <c r="AB846" s="702"/>
      <c r="AC846" s="702"/>
    </row>
    <row r="847" ht="15.75" customHeight="1">
      <c r="A847" s="702"/>
      <c r="B847" s="702"/>
      <c r="C847" s="702"/>
      <c r="D847" s="702"/>
      <c r="E847" s="702"/>
      <c r="F847" s="702"/>
      <c r="G847" s="702"/>
      <c r="H847" s="702"/>
      <c r="I847" s="702"/>
      <c r="J847" s="702"/>
      <c r="K847" s="702"/>
      <c r="L847" s="702"/>
      <c r="M847" s="702"/>
      <c r="N847" s="702"/>
      <c r="O847" s="702"/>
      <c r="P847" s="702"/>
      <c r="Q847" s="702"/>
      <c r="R847" s="702"/>
      <c r="S847" s="702"/>
      <c r="T847" s="702"/>
      <c r="U847" s="702"/>
      <c r="V847" s="702"/>
      <c r="W847" s="702"/>
      <c r="X847" s="702"/>
      <c r="Y847" s="702"/>
      <c r="Z847" s="702"/>
      <c r="AA847" s="702"/>
      <c r="AB847" s="702"/>
      <c r="AC847" s="702"/>
    </row>
    <row r="848" ht="15.75" customHeight="1">
      <c r="A848" s="702"/>
      <c r="B848" s="702"/>
      <c r="C848" s="702"/>
      <c r="D848" s="702"/>
      <c r="E848" s="702"/>
      <c r="F848" s="702"/>
      <c r="G848" s="702"/>
      <c r="H848" s="702"/>
      <c r="I848" s="702"/>
      <c r="J848" s="702"/>
      <c r="K848" s="702"/>
      <c r="L848" s="702"/>
      <c r="M848" s="702"/>
      <c r="N848" s="702"/>
      <c r="O848" s="702"/>
      <c r="P848" s="702"/>
      <c r="Q848" s="702"/>
      <c r="R848" s="702"/>
      <c r="S848" s="702"/>
      <c r="T848" s="702"/>
      <c r="U848" s="702"/>
      <c r="V848" s="702"/>
      <c r="W848" s="702"/>
      <c r="X848" s="702"/>
      <c r="Y848" s="702"/>
      <c r="Z848" s="702"/>
      <c r="AA848" s="702"/>
      <c r="AB848" s="702"/>
      <c r="AC848" s="702"/>
    </row>
    <row r="849" ht="15.75" customHeight="1">
      <c r="A849" s="702"/>
      <c r="B849" s="702"/>
      <c r="C849" s="702"/>
      <c r="D849" s="702"/>
      <c r="E849" s="702"/>
      <c r="F849" s="702"/>
      <c r="G849" s="702"/>
      <c r="H849" s="702"/>
      <c r="I849" s="702"/>
      <c r="J849" s="702"/>
      <c r="K849" s="702"/>
      <c r="L849" s="702"/>
      <c r="M849" s="702"/>
      <c r="N849" s="702"/>
      <c r="O849" s="702"/>
      <c r="P849" s="702"/>
      <c r="Q849" s="702"/>
      <c r="R849" s="702"/>
      <c r="S849" s="702"/>
      <c r="T849" s="702"/>
      <c r="U849" s="702"/>
      <c r="V849" s="702"/>
      <c r="W849" s="702"/>
      <c r="X849" s="702"/>
      <c r="Y849" s="702"/>
      <c r="Z849" s="702"/>
      <c r="AA849" s="702"/>
      <c r="AB849" s="702"/>
      <c r="AC849" s="702"/>
    </row>
    <row r="850" ht="15.75" customHeight="1">
      <c r="A850" s="702"/>
      <c r="B850" s="702"/>
      <c r="C850" s="702"/>
      <c r="D850" s="702"/>
      <c r="E850" s="702"/>
      <c r="F850" s="702"/>
      <c r="G850" s="702"/>
      <c r="H850" s="702"/>
      <c r="I850" s="702"/>
      <c r="J850" s="702"/>
      <c r="K850" s="702"/>
      <c r="L850" s="702"/>
      <c r="M850" s="702"/>
      <c r="N850" s="702"/>
      <c r="O850" s="702"/>
      <c r="P850" s="702"/>
      <c r="Q850" s="702"/>
      <c r="R850" s="702"/>
      <c r="S850" s="702"/>
      <c r="T850" s="702"/>
      <c r="U850" s="702"/>
      <c r="V850" s="702"/>
      <c r="W850" s="702"/>
      <c r="X850" s="702"/>
      <c r="Y850" s="702"/>
      <c r="Z850" s="702"/>
      <c r="AA850" s="702"/>
      <c r="AB850" s="702"/>
      <c r="AC850" s="702"/>
    </row>
    <row r="851" ht="15.75" customHeight="1">
      <c r="A851" s="702"/>
      <c r="B851" s="702"/>
      <c r="C851" s="702"/>
      <c r="D851" s="702"/>
      <c r="E851" s="702"/>
      <c r="F851" s="702"/>
      <c r="G851" s="702"/>
      <c r="H851" s="702"/>
      <c r="I851" s="702"/>
      <c r="J851" s="702"/>
      <c r="K851" s="702"/>
      <c r="L851" s="702"/>
      <c r="M851" s="702"/>
      <c r="N851" s="702"/>
      <c r="O851" s="702"/>
      <c r="P851" s="702"/>
      <c r="Q851" s="702"/>
      <c r="R851" s="702"/>
      <c r="S851" s="702"/>
      <c r="T851" s="702"/>
      <c r="U851" s="702"/>
      <c r="V851" s="702"/>
      <c r="W851" s="702"/>
      <c r="X851" s="702"/>
      <c r="Y851" s="702"/>
      <c r="Z851" s="702"/>
      <c r="AA851" s="702"/>
      <c r="AB851" s="702"/>
      <c r="AC851" s="702"/>
    </row>
    <row r="852" ht="15.75" customHeight="1">
      <c r="A852" s="702"/>
      <c r="B852" s="702"/>
      <c r="C852" s="702"/>
      <c r="D852" s="702"/>
      <c r="E852" s="702"/>
      <c r="F852" s="702"/>
      <c r="G852" s="702"/>
      <c r="H852" s="702"/>
      <c r="I852" s="702"/>
      <c r="J852" s="702"/>
      <c r="K852" s="702"/>
      <c r="L852" s="702"/>
      <c r="M852" s="702"/>
      <c r="N852" s="702"/>
      <c r="O852" s="702"/>
      <c r="P852" s="702"/>
      <c r="Q852" s="702"/>
      <c r="R852" s="702"/>
      <c r="S852" s="702"/>
      <c r="T852" s="702"/>
      <c r="U852" s="702"/>
      <c r="V852" s="702"/>
      <c r="W852" s="702"/>
      <c r="X852" s="702"/>
      <c r="Y852" s="702"/>
      <c r="Z852" s="702"/>
      <c r="AA852" s="702"/>
      <c r="AB852" s="702"/>
      <c r="AC852" s="702"/>
    </row>
    <row r="853" ht="15.75" customHeight="1">
      <c r="A853" s="702"/>
      <c r="B853" s="702"/>
      <c r="C853" s="702"/>
      <c r="D853" s="702"/>
      <c r="E853" s="702"/>
      <c r="F853" s="702"/>
      <c r="G853" s="702"/>
      <c r="H853" s="702"/>
      <c r="I853" s="702"/>
      <c r="J853" s="702"/>
      <c r="K853" s="702"/>
      <c r="L853" s="702"/>
      <c r="M853" s="702"/>
      <c r="N853" s="702"/>
      <c r="O853" s="702"/>
      <c r="P853" s="702"/>
      <c r="Q853" s="702"/>
      <c r="R853" s="702"/>
      <c r="S853" s="702"/>
      <c r="T853" s="702"/>
      <c r="U853" s="702"/>
      <c r="V853" s="702"/>
      <c r="W853" s="702"/>
      <c r="X853" s="702"/>
      <c r="Y853" s="702"/>
      <c r="Z853" s="702"/>
      <c r="AA853" s="702"/>
      <c r="AB853" s="702"/>
      <c r="AC853" s="702"/>
    </row>
    <row r="854" ht="15.75" customHeight="1">
      <c r="A854" s="702"/>
      <c r="B854" s="702"/>
      <c r="C854" s="702"/>
      <c r="D854" s="702"/>
      <c r="E854" s="702"/>
      <c r="F854" s="702"/>
      <c r="G854" s="702"/>
      <c r="H854" s="702"/>
      <c r="I854" s="702"/>
      <c r="J854" s="702"/>
      <c r="K854" s="702"/>
      <c r="L854" s="702"/>
      <c r="M854" s="702"/>
      <c r="N854" s="702"/>
      <c r="O854" s="702"/>
      <c r="P854" s="702"/>
      <c r="Q854" s="702"/>
      <c r="R854" s="702"/>
      <c r="S854" s="702"/>
      <c r="T854" s="702"/>
      <c r="U854" s="702"/>
      <c r="V854" s="702"/>
      <c r="W854" s="702"/>
      <c r="X854" s="702"/>
      <c r="Y854" s="702"/>
      <c r="Z854" s="702"/>
      <c r="AA854" s="702"/>
      <c r="AB854" s="702"/>
      <c r="AC854" s="702"/>
    </row>
    <row r="855" ht="15.75" customHeight="1">
      <c r="A855" s="702"/>
      <c r="B855" s="702"/>
      <c r="C855" s="702"/>
      <c r="D855" s="702"/>
      <c r="E855" s="702"/>
      <c r="F855" s="702"/>
      <c r="G855" s="702"/>
      <c r="H855" s="702"/>
      <c r="I855" s="702"/>
      <c r="J855" s="702"/>
      <c r="K855" s="702"/>
      <c r="L855" s="702"/>
      <c r="M855" s="702"/>
      <c r="N855" s="702"/>
      <c r="O855" s="702"/>
      <c r="P855" s="702"/>
      <c r="Q855" s="702"/>
      <c r="R855" s="702"/>
      <c r="S855" s="702"/>
      <c r="T855" s="702"/>
      <c r="U855" s="702"/>
      <c r="V855" s="702"/>
      <c r="W855" s="702"/>
      <c r="X855" s="702"/>
      <c r="Y855" s="702"/>
      <c r="Z855" s="702"/>
      <c r="AA855" s="702"/>
      <c r="AB855" s="702"/>
      <c r="AC855" s="702"/>
    </row>
    <row r="856" ht="15.75" customHeight="1">
      <c r="A856" s="702"/>
      <c r="B856" s="702"/>
      <c r="C856" s="702"/>
      <c r="D856" s="702"/>
      <c r="E856" s="702"/>
      <c r="F856" s="702"/>
      <c r="G856" s="702"/>
      <c r="H856" s="702"/>
      <c r="I856" s="702"/>
      <c r="J856" s="702"/>
      <c r="K856" s="702"/>
      <c r="L856" s="702"/>
      <c r="M856" s="702"/>
      <c r="N856" s="702"/>
      <c r="O856" s="702"/>
      <c r="P856" s="702"/>
      <c r="Q856" s="702"/>
      <c r="R856" s="702"/>
      <c r="S856" s="702"/>
      <c r="T856" s="702"/>
      <c r="U856" s="702"/>
      <c r="V856" s="702"/>
      <c r="W856" s="702"/>
      <c r="X856" s="702"/>
      <c r="Y856" s="702"/>
      <c r="Z856" s="702"/>
      <c r="AA856" s="702"/>
      <c r="AB856" s="702"/>
      <c r="AC856" s="702"/>
    </row>
    <row r="857" ht="15.75" customHeight="1">
      <c r="A857" s="702"/>
      <c r="B857" s="702"/>
      <c r="C857" s="702"/>
      <c r="D857" s="702"/>
      <c r="E857" s="702"/>
      <c r="F857" s="702"/>
      <c r="G857" s="702"/>
      <c r="H857" s="702"/>
      <c r="I857" s="702"/>
      <c r="J857" s="702"/>
      <c r="K857" s="702"/>
      <c r="L857" s="702"/>
      <c r="M857" s="702"/>
      <c r="N857" s="702"/>
      <c r="O857" s="702"/>
      <c r="P857" s="702"/>
      <c r="Q857" s="702"/>
      <c r="R857" s="702"/>
      <c r="S857" s="702"/>
      <c r="T857" s="702"/>
      <c r="U857" s="702"/>
      <c r="V857" s="702"/>
      <c r="W857" s="702"/>
      <c r="X857" s="702"/>
      <c r="Y857" s="702"/>
      <c r="Z857" s="702"/>
      <c r="AA857" s="702"/>
      <c r="AB857" s="702"/>
      <c r="AC857" s="702"/>
    </row>
    <row r="858" ht="15.75" customHeight="1">
      <c r="A858" s="702"/>
      <c r="B858" s="702"/>
      <c r="C858" s="702"/>
      <c r="D858" s="702"/>
      <c r="E858" s="702"/>
      <c r="F858" s="702"/>
      <c r="G858" s="702"/>
      <c r="H858" s="702"/>
      <c r="I858" s="702"/>
      <c r="J858" s="702"/>
      <c r="K858" s="702"/>
      <c r="L858" s="702"/>
      <c r="M858" s="702"/>
      <c r="N858" s="702"/>
      <c r="O858" s="702"/>
      <c r="P858" s="702"/>
      <c r="Q858" s="702"/>
      <c r="R858" s="702"/>
      <c r="S858" s="702"/>
      <c r="T858" s="702"/>
      <c r="U858" s="702"/>
      <c r="V858" s="702"/>
      <c r="W858" s="702"/>
      <c r="X858" s="702"/>
      <c r="Y858" s="702"/>
      <c r="Z858" s="702"/>
      <c r="AA858" s="702"/>
      <c r="AB858" s="702"/>
      <c r="AC858" s="702"/>
    </row>
    <row r="859" ht="15.75" customHeight="1">
      <c r="A859" s="702"/>
      <c r="B859" s="702"/>
      <c r="C859" s="702"/>
      <c r="D859" s="702"/>
      <c r="E859" s="702"/>
      <c r="F859" s="702"/>
      <c r="G859" s="702"/>
      <c r="H859" s="702"/>
      <c r="I859" s="702"/>
      <c r="J859" s="702"/>
      <c r="K859" s="702"/>
      <c r="L859" s="702"/>
      <c r="M859" s="702"/>
      <c r="N859" s="702"/>
      <c r="O859" s="702"/>
      <c r="P859" s="702"/>
      <c r="Q859" s="702"/>
      <c r="R859" s="702"/>
      <c r="S859" s="702"/>
      <c r="T859" s="702"/>
      <c r="U859" s="702"/>
      <c r="V859" s="702"/>
      <c r="W859" s="702"/>
      <c r="X859" s="702"/>
      <c r="Y859" s="702"/>
      <c r="Z859" s="702"/>
      <c r="AA859" s="702"/>
      <c r="AB859" s="702"/>
      <c r="AC859" s="702"/>
    </row>
    <row r="860" ht="15.75" customHeight="1">
      <c r="A860" s="702"/>
      <c r="B860" s="702"/>
      <c r="C860" s="702"/>
      <c r="D860" s="702"/>
      <c r="E860" s="702"/>
      <c r="F860" s="702"/>
      <c r="G860" s="702"/>
      <c r="H860" s="702"/>
      <c r="I860" s="702"/>
      <c r="J860" s="702"/>
      <c r="K860" s="702"/>
      <c r="L860" s="702"/>
      <c r="M860" s="702"/>
      <c r="N860" s="702"/>
      <c r="O860" s="702"/>
      <c r="P860" s="702"/>
      <c r="Q860" s="702"/>
      <c r="R860" s="702"/>
      <c r="S860" s="702"/>
      <c r="T860" s="702"/>
      <c r="U860" s="702"/>
      <c r="V860" s="702"/>
      <c r="W860" s="702"/>
      <c r="X860" s="702"/>
      <c r="Y860" s="702"/>
      <c r="Z860" s="702"/>
      <c r="AA860" s="702"/>
      <c r="AB860" s="702"/>
      <c r="AC860" s="702"/>
    </row>
    <row r="861" ht="15.75" customHeight="1">
      <c r="A861" s="702"/>
      <c r="B861" s="702"/>
      <c r="C861" s="702"/>
      <c r="D861" s="702"/>
      <c r="E861" s="702"/>
      <c r="F861" s="702"/>
      <c r="G861" s="702"/>
      <c r="H861" s="702"/>
      <c r="I861" s="702"/>
      <c r="J861" s="702"/>
      <c r="K861" s="702"/>
      <c r="L861" s="702"/>
      <c r="M861" s="702"/>
      <c r="N861" s="702"/>
      <c r="O861" s="702"/>
      <c r="P861" s="702"/>
      <c r="Q861" s="702"/>
      <c r="R861" s="702"/>
      <c r="S861" s="702"/>
      <c r="T861" s="702"/>
      <c r="U861" s="702"/>
      <c r="V861" s="702"/>
      <c r="W861" s="702"/>
      <c r="X861" s="702"/>
      <c r="Y861" s="702"/>
      <c r="Z861" s="702"/>
      <c r="AA861" s="702"/>
      <c r="AB861" s="702"/>
      <c r="AC861" s="702"/>
    </row>
    <row r="862" ht="15.75" customHeight="1">
      <c r="A862" s="702"/>
      <c r="B862" s="702"/>
      <c r="C862" s="702"/>
      <c r="D862" s="702"/>
      <c r="E862" s="702"/>
      <c r="F862" s="702"/>
      <c r="G862" s="702"/>
      <c r="H862" s="702"/>
      <c r="I862" s="702"/>
      <c r="J862" s="702"/>
      <c r="K862" s="702"/>
      <c r="L862" s="702"/>
      <c r="M862" s="702"/>
      <c r="N862" s="702"/>
      <c r="O862" s="702"/>
      <c r="P862" s="702"/>
      <c r="Q862" s="702"/>
      <c r="R862" s="702"/>
      <c r="S862" s="702"/>
      <c r="T862" s="702"/>
      <c r="U862" s="702"/>
      <c r="V862" s="702"/>
      <c r="W862" s="702"/>
      <c r="X862" s="702"/>
      <c r="Y862" s="702"/>
      <c r="Z862" s="702"/>
      <c r="AA862" s="702"/>
      <c r="AB862" s="702"/>
      <c r="AC862" s="702"/>
    </row>
    <row r="863" ht="15.75" customHeight="1">
      <c r="A863" s="702"/>
      <c r="B863" s="702"/>
      <c r="C863" s="702"/>
      <c r="D863" s="702"/>
      <c r="E863" s="702"/>
      <c r="F863" s="702"/>
      <c r="G863" s="702"/>
      <c r="H863" s="702"/>
      <c r="I863" s="702"/>
      <c r="J863" s="702"/>
      <c r="K863" s="702"/>
      <c r="L863" s="702"/>
      <c r="M863" s="702"/>
      <c r="N863" s="702"/>
      <c r="O863" s="702"/>
      <c r="P863" s="702"/>
      <c r="Q863" s="702"/>
      <c r="R863" s="702"/>
      <c r="S863" s="702"/>
      <c r="T863" s="702"/>
      <c r="U863" s="702"/>
      <c r="V863" s="702"/>
      <c r="W863" s="702"/>
      <c r="X863" s="702"/>
      <c r="Y863" s="702"/>
      <c r="Z863" s="702"/>
      <c r="AA863" s="702"/>
      <c r="AB863" s="702"/>
      <c r="AC863" s="702"/>
    </row>
    <row r="864" ht="15.75" customHeight="1">
      <c r="A864" s="702"/>
      <c r="B864" s="702"/>
      <c r="C864" s="702"/>
      <c r="D864" s="702"/>
      <c r="E864" s="702"/>
      <c r="F864" s="702"/>
      <c r="G864" s="702"/>
      <c r="H864" s="702"/>
      <c r="I864" s="702"/>
      <c r="J864" s="702"/>
      <c r="K864" s="702"/>
      <c r="L864" s="702"/>
      <c r="M864" s="702"/>
      <c r="N864" s="702"/>
      <c r="O864" s="702"/>
      <c r="P864" s="702"/>
      <c r="Q864" s="702"/>
      <c r="R864" s="702"/>
      <c r="S864" s="702"/>
      <c r="T864" s="702"/>
      <c r="U864" s="702"/>
      <c r="V864" s="702"/>
      <c r="W864" s="702"/>
      <c r="X864" s="702"/>
      <c r="Y864" s="702"/>
      <c r="Z864" s="702"/>
      <c r="AA864" s="702"/>
      <c r="AB864" s="702"/>
      <c r="AC864" s="702"/>
    </row>
    <row r="865" ht="15.75" customHeight="1">
      <c r="A865" s="702"/>
      <c r="B865" s="702"/>
      <c r="C865" s="702"/>
      <c r="D865" s="702"/>
      <c r="E865" s="702"/>
      <c r="F865" s="702"/>
      <c r="G865" s="702"/>
      <c r="H865" s="702"/>
      <c r="I865" s="702"/>
      <c r="J865" s="702"/>
      <c r="K865" s="702"/>
      <c r="L865" s="702"/>
      <c r="M865" s="702"/>
      <c r="N865" s="702"/>
      <c r="O865" s="702"/>
      <c r="P865" s="702"/>
      <c r="Q865" s="702"/>
      <c r="R865" s="702"/>
      <c r="S865" s="702"/>
      <c r="T865" s="702"/>
      <c r="U865" s="702"/>
      <c r="V865" s="702"/>
      <c r="W865" s="702"/>
      <c r="X865" s="702"/>
      <c r="Y865" s="702"/>
      <c r="Z865" s="702"/>
      <c r="AA865" s="702"/>
      <c r="AB865" s="702"/>
      <c r="AC865" s="702"/>
    </row>
    <row r="866" ht="15.75" customHeight="1">
      <c r="A866" s="702"/>
      <c r="B866" s="702"/>
      <c r="C866" s="702"/>
      <c r="D866" s="702"/>
      <c r="E866" s="702"/>
      <c r="F866" s="702"/>
      <c r="G866" s="702"/>
      <c r="H866" s="702"/>
      <c r="I866" s="702"/>
      <c r="J866" s="702"/>
      <c r="K866" s="702"/>
      <c r="L866" s="702"/>
      <c r="M866" s="702"/>
      <c r="N866" s="702"/>
      <c r="O866" s="702"/>
      <c r="P866" s="702"/>
      <c r="Q866" s="702"/>
      <c r="R866" s="702"/>
      <c r="S866" s="702"/>
      <c r="T866" s="702"/>
      <c r="U866" s="702"/>
      <c r="V866" s="702"/>
      <c r="W866" s="702"/>
      <c r="X866" s="702"/>
      <c r="Y866" s="702"/>
      <c r="Z866" s="702"/>
      <c r="AA866" s="702"/>
      <c r="AB866" s="702"/>
      <c r="AC866" s="702"/>
    </row>
    <row r="867" ht="15.75" customHeight="1">
      <c r="A867" s="702"/>
      <c r="B867" s="702"/>
      <c r="C867" s="702"/>
      <c r="D867" s="702"/>
      <c r="E867" s="702"/>
      <c r="F867" s="702"/>
      <c r="G867" s="702"/>
      <c r="H867" s="702"/>
      <c r="I867" s="702"/>
      <c r="J867" s="702"/>
      <c r="K867" s="702"/>
      <c r="L867" s="702"/>
      <c r="M867" s="702"/>
      <c r="N867" s="702"/>
      <c r="O867" s="702"/>
      <c r="P867" s="702"/>
      <c r="Q867" s="702"/>
      <c r="R867" s="702"/>
      <c r="S867" s="702"/>
      <c r="T867" s="702"/>
      <c r="U867" s="702"/>
      <c r="V867" s="702"/>
      <c r="W867" s="702"/>
      <c r="X867" s="702"/>
      <c r="Y867" s="702"/>
      <c r="Z867" s="702"/>
      <c r="AA867" s="702"/>
      <c r="AB867" s="702"/>
      <c r="AC867" s="702"/>
    </row>
    <row r="868" ht="15.75" customHeight="1">
      <c r="A868" s="702"/>
      <c r="B868" s="702"/>
      <c r="C868" s="702"/>
      <c r="D868" s="702"/>
      <c r="E868" s="702"/>
      <c r="F868" s="702"/>
      <c r="G868" s="702"/>
      <c r="H868" s="702"/>
      <c r="I868" s="702"/>
      <c r="J868" s="702"/>
      <c r="K868" s="702"/>
      <c r="L868" s="702"/>
      <c r="M868" s="702"/>
      <c r="N868" s="702"/>
      <c r="O868" s="702"/>
      <c r="P868" s="702"/>
      <c r="Q868" s="702"/>
      <c r="R868" s="702"/>
      <c r="S868" s="702"/>
      <c r="T868" s="702"/>
      <c r="U868" s="702"/>
      <c r="V868" s="702"/>
      <c r="W868" s="702"/>
      <c r="X868" s="702"/>
      <c r="Y868" s="702"/>
      <c r="Z868" s="702"/>
      <c r="AA868" s="702"/>
      <c r="AB868" s="702"/>
      <c r="AC868" s="702"/>
    </row>
    <row r="869" ht="15.75" customHeight="1">
      <c r="A869" s="702"/>
      <c r="B869" s="702"/>
      <c r="C869" s="702"/>
      <c r="D869" s="702"/>
      <c r="E869" s="702"/>
      <c r="F869" s="702"/>
      <c r="G869" s="702"/>
      <c r="H869" s="702"/>
      <c r="I869" s="702"/>
      <c r="J869" s="702"/>
      <c r="K869" s="702"/>
      <c r="L869" s="702"/>
      <c r="M869" s="702"/>
      <c r="N869" s="702"/>
      <c r="O869" s="702"/>
      <c r="P869" s="702"/>
      <c r="Q869" s="702"/>
      <c r="R869" s="702"/>
      <c r="S869" s="702"/>
      <c r="T869" s="702"/>
      <c r="U869" s="702"/>
      <c r="V869" s="702"/>
      <c r="W869" s="702"/>
      <c r="X869" s="702"/>
      <c r="Y869" s="702"/>
      <c r="Z869" s="702"/>
      <c r="AA869" s="702"/>
      <c r="AB869" s="702"/>
      <c r="AC869" s="702"/>
    </row>
    <row r="870" ht="15.75" customHeight="1">
      <c r="A870" s="702"/>
      <c r="B870" s="702"/>
      <c r="C870" s="702"/>
      <c r="D870" s="702"/>
      <c r="E870" s="702"/>
      <c r="F870" s="702"/>
      <c r="G870" s="702"/>
      <c r="H870" s="702"/>
      <c r="I870" s="702"/>
      <c r="J870" s="702"/>
      <c r="K870" s="702"/>
      <c r="L870" s="702"/>
      <c r="M870" s="702"/>
      <c r="N870" s="702"/>
      <c r="O870" s="702"/>
      <c r="P870" s="702"/>
      <c r="Q870" s="702"/>
      <c r="R870" s="702"/>
      <c r="S870" s="702"/>
      <c r="T870" s="702"/>
      <c r="U870" s="702"/>
      <c r="V870" s="702"/>
      <c r="W870" s="702"/>
      <c r="X870" s="702"/>
      <c r="Y870" s="702"/>
      <c r="Z870" s="702"/>
      <c r="AA870" s="702"/>
      <c r="AB870" s="702"/>
      <c r="AC870" s="702"/>
    </row>
    <row r="871" ht="15.75" customHeight="1">
      <c r="A871" s="702"/>
      <c r="B871" s="702"/>
      <c r="C871" s="702"/>
      <c r="D871" s="702"/>
      <c r="E871" s="702"/>
      <c r="F871" s="702"/>
      <c r="G871" s="702"/>
      <c r="H871" s="702"/>
      <c r="I871" s="702"/>
      <c r="J871" s="702"/>
      <c r="K871" s="702"/>
      <c r="L871" s="702"/>
      <c r="M871" s="702"/>
      <c r="N871" s="702"/>
      <c r="O871" s="702"/>
      <c r="P871" s="702"/>
      <c r="Q871" s="702"/>
      <c r="R871" s="702"/>
      <c r="S871" s="702"/>
      <c r="T871" s="702"/>
      <c r="U871" s="702"/>
      <c r="V871" s="702"/>
      <c r="W871" s="702"/>
      <c r="X871" s="702"/>
      <c r="Y871" s="702"/>
      <c r="Z871" s="702"/>
      <c r="AA871" s="702"/>
      <c r="AB871" s="702"/>
      <c r="AC871" s="702"/>
    </row>
    <row r="872" ht="15.75" customHeight="1">
      <c r="A872" s="702"/>
      <c r="B872" s="702"/>
      <c r="C872" s="702"/>
      <c r="D872" s="702"/>
      <c r="E872" s="702"/>
      <c r="F872" s="702"/>
      <c r="G872" s="702"/>
      <c r="H872" s="702"/>
      <c r="I872" s="702"/>
      <c r="J872" s="702"/>
      <c r="K872" s="702"/>
      <c r="L872" s="702"/>
      <c r="M872" s="702"/>
      <c r="N872" s="702"/>
      <c r="O872" s="702"/>
      <c r="P872" s="702"/>
      <c r="Q872" s="702"/>
      <c r="R872" s="702"/>
      <c r="S872" s="702"/>
      <c r="T872" s="702"/>
      <c r="U872" s="702"/>
      <c r="V872" s="702"/>
      <c r="W872" s="702"/>
      <c r="X872" s="702"/>
      <c r="Y872" s="702"/>
      <c r="Z872" s="702"/>
      <c r="AA872" s="702"/>
      <c r="AB872" s="702"/>
      <c r="AC872" s="702"/>
    </row>
    <row r="873" ht="15.75" customHeight="1">
      <c r="A873" s="702"/>
      <c r="B873" s="702"/>
      <c r="C873" s="702"/>
      <c r="D873" s="702"/>
      <c r="E873" s="702"/>
      <c r="F873" s="702"/>
      <c r="G873" s="702"/>
      <c r="H873" s="702"/>
      <c r="I873" s="702"/>
      <c r="J873" s="702"/>
      <c r="K873" s="702"/>
      <c r="L873" s="702"/>
      <c r="M873" s="702"/>
      <c r="N873" s="702"/>
      <c r="O873" s="702"/>
      <c r="P873" s="702"/>
      <c r="Q873" s="702"/>
      <c r="R873" s="702"/>
      <c r="S873" s="702"/>
      <c r="T873" s="702"/>
      <c r="U873" s="702"/>
      <c r="V873" s="702"/>
      <c r="W873" s="702"/>
      <c r="X873" s="702"/>
      <c r="Y873" s="702"/>
      <c r="Z873" s="702"/>
      <c r="AA873" s="702"/>
      <c r="AB873" s="702"/>
      <c r="AC873" s="702"/>
    </row>
    <row r="874" ht="15.75" customHeight="1">
      <c r="A874" s="702"/>
      <c r="B874" s="702"/>
      <c r="C874" s="702"/>
      <c r="D874" s="702"/>
      <c r="E874" s="702"/>
      <c r="F874" s="702"/>
      <c r="G874" s="702"/>
      <c r="H874" s="702"/>
      <c r="I874" s="702"/>
      <c r="J874" s="702"/>
      <c r="K874" s="702"/>
      <c r="L874" s="702"/>
      <c r="M874" s="702"/>
      <c r="N874" s="702"/>
      <c r="O874" s="702"/>
      <c r="P874" s="702"/>
      <c r="Q874" s="702"/>
      <c r="R874" s="702"/>
      <c r="S874" s="702"/>
      <c r="T874" s="702"/>
      <c r="U874" s="702"/>
      <c r="V874" s="702"/>
      <c r="W874" s="702"/>
      <c r="X874" s="702"/>
      <c r="Y874" s="702"/>
      <c r="Z874" s="702"/>
      <c r="AA874" s="702"/>
      <c r="AB874" s="702"/>
      <c r="AC874" s="702"/>
    </row>
    <row r="875" ht="15.75" customHeight="1">
      <c r="A875" s="702"/>
      <c r="B875" s="702"/>
      <c r="C875" s="702"/>
      <c r="D875" s="702"/>
      <c r="E875" s="702"/>
      <c r="F875" s="702"/>
      <c r="G875" s="702"/>
      <c r="H875" s="702"/>
      <c r="I875" s="702"/>
      <c r="J875" s="702"/>
      <c r="K875" s="702"/>
      <c r="L875" s="702"/>
      <c r="M875" s="702"/>
      <c r="N875" s="702"/>
      <c r="O875" s="702"/>
      <c r="P875" s="702"/>
      <c r="Q875" s="702"/>
      <c r="R875" s="702"/>
      <c r="S875" s="702"/>
      <c r="T875" s="702"/>
      <c r="U875" s="702"/>
      <c r="V875" s="702"/>
      <c r="W875" s="702"/>
      <c r="X875" s="702"/>
      <c r="Y875" s="702"/>
      <c r="Z875" s="702"/>
      <c r="AA875" s="702"/>
      <c r="AB875" s="702"/>
      <c r="AC875" s="702"/>
    </row>
    <row r="876" ht="15.75" customHeight="1">
      <c r="A876" s="702"/>
      <c r="B876" s="702"/>
      <c r="C876" s="702"/>
      <c r="D876" s="702"/>
      <c r="E876" s="702"/>
      <c r="F876" s="702"/>
      <c r="G876" s="702"/>
      <c r="H876" s="702"/>
      <c r="I876" s="702"/>
      <c r="J876" s="702"/>
      <c r="K876" s="702"/>
      <c r="L876" s="702"/>
      <c r="M876" s="702"/>
      <c r="N876" s="702"/>
      <c r="O876" s="702"/>
      <c r="P876" s="702"/>
      <c r="Q876" s="702"/>
      <c r="R876" s="702"/>
      <c r="S876" s="702"/>
      <c r="T876" s="702"/>
      <c r="U876" s="702"/>
      <c r="V876" s="702"/>
      <c r="W876" s="702"/>
      <c r="X876" s="702"/>
      <c r="Y876" s="702"/>
      <c r="Z876" s="702"/>
      <c r="AA876" s="702"/>
      <c r="AB876" s="702"/>
      <c r="AC876" s="702"/>
    </row>
    <row r="877" ht="15.75" customHeight="1">
      <c r="A877" s="702"/>
      <c r="B877" s="702"/>
      <c r="C877" s="702"/>
      <c r="D877" s="702"/>
      <c r="E877" s="702"/>
      <c r="F877" s="702"/>
      <c r="G877" s="702"/>
      <c r="H877" s="702"/>
      <c r="I877" s="702"/>
      <c r="J877" s="702"/>
      <c r="K877" s="702"/>
      <c r="L877" s="702"/>
      <c r="M877" s="702"/>
      <c r="N877" s="702"/>
      <c r="O877" s="702"/>
      <c r="P877" s="702"/>
      <c r="Q877" s="702"/>
      <c r="R877" s="702"/>
      <c r="S877" s="702"/>
      <c r="T877" s="702"/>
      <c r="U877" s="702"/>
      <c r="V877" s="702"/>
      <c r="W877" s="702"/>
      <c r="X877" s="702"/>
      <c r="Y877" s="702"/>
      <c r="Z877" s="702"/>
      <c r="AA877" s="702"/>
      <c r="AB877" s="702"/>
      <c r="AC877" s="702"/>
    </row>
    <row r="878" ht="15.75" customHeight="1">
      <c r="A878" s="702"/>
      <c r="B878" s="702"/>
      <c r="C878" s="702"/>
      <c r="D878" s="702"/>
      <c r="E878" s="702"/>
      <c r="F878" s="702"/>
      <c r="G878" s="702"/>
      <c r="H878" s="702"/>
      <c r="I878" s="702"/>
      <c r="J878" s="702"/>
      <c r="K878" s="702"/>
      <c r="L878" s="702"/>
      <c r="M878" s="702"/>
      <c r="N878" s="702"/>
      <c r="O878" s="702"/>
      <c r="P878" s="702"/>
      <c r="Q878" s="702"/>
      <c r="R878" s="702"/>
      <c r="S878" s="702"/>
      <c r="T878" s="702"/>
      <c r="U878" s="702"/>
      <c r="V878" s="702"/>
      <c r="W878" s="702"/>
      <c r="X878" s="702"/>
      <c r="Y878" s="702"/>
      <c r="Z878" s="702"/>
      <c r="AA878" s="702"/>
      <c r="AB878" s="702"/>
      <c r="AC878" s="702"/>
    </row>
    <row r="879" ht="15.75" customHeight="1">
      <c r="A879" s="702"/>
      <c r="B879" s="702"/>
      <c r="C879" s="702"/>
      <c r="D879" s="702"/>
      <c r="E879" s="702"/>
      <c r="F879" s="702"/>
      <c r="G879" s="702"/>
      <c r="H879" s="702"/>
      <c r="I879" s="702"/>
      <c r="J879" s="702"/>
      <c r="K879" s="702"/>
      <c r="L879" s="702"/>
      <c r="M879" s="702"/>
      <c r="N879" s="702"/>
      <c r="O879" s="702"/>
      <c r="P879" s="702"/>
      <c r="Q879" s="702"/>
      <c r="R879" s="702"/>
      <c r="S879" s="702"/>
      <c r="T879" s="702"/>
      <c r="U879" s="702"/>
      <c r="V879" s="702"/>
      <c r="W879" s="702"/>
      <c r="X879" s="702"/>
      <c r="Y879" s="702"/>
      <c r="Z879" s="702"/>
      <c r="AA879" s="702"/>
      <c r="AB879" s="702"/>
      <c r="AC879" s="702"/>
    </row>
    <row r="880" ht="15.75" customHeight="1">
      <c r="A880" s="702"/>
      <c r="B880" s="702"/>
      <c r="C880" s="702"/>
      <c r="D880" s="702"/>
      <c r="E880" s="702"/>
      <c r="F880" s="702"/>
      <c r="G880" s="702"/>
      <c r="H880" s="702"/>
      <c r="I880" s="702"/>
      <c r="J880" s="702"/>
      <c r="K880" s="702"/>
      <c r="L880" s="702"/>
      <c r="M880" s="702"/>
      <c r="N880" s="702"/>
      <c r="O880" s="702"/>
      <c r="P880" s="702"/>
      <c r="Q880" s="702"/>
      <c r="R880" s="702"/>
      <c r="S880" s="702"/>
      <c r="T880" s="702"/>
      <c r="U880" s="702"/>
      <c r="V880" s="702"/>
      <c r="W880" s="702"/>
      <c r="X880" s="702"/>
      <c r="Y880" s="702"/>
      <c r="Z880" s="702"/>
      <c r="AA880" s="702"/>
      <c r="AB880" s="702"/>
      <c r="AC880" s="702"/>
    </row>
    <row r="881" ht="15.75" customHeight="1">
      <c r="A881" s="702"/>
      <c r="B881" s="702"/>
      <c r="C881" s="702"/>
      <c r="D881" s="702"/>
      <c r="E881" s="702"/>
      <c r="F881" s="702"/>
      <c r="G881" s="702"/>
      <c r="H881" s="702"/>
      <c r="I881" s="702"/>
      <c r="J881" s="702"/>
      <c r="K881" s="702"/>
      <c r="L881" s="702"/>
      <c r="M881" s="702"/>
      <c r="N881" s="702"/>
      <c r="O881" s="702"/>
      <c r="P881" s="702"/>
      <c r="Q881" s="702"/>
      <c r="R881" s="702"/>
      <c r="S881" s="702"/>
      <c r="T881" s="702"/>
      <c r="U881" s="702"/>
      <c r="V881" s="702"/>
      <c r="W881" s="702"/>
      <c r="X881" s="702"/>
      <c r="Y881" s="702"/>
      <c r="Z881" s="702"/>
      <c r="AA881" s="702"/>
      <c r="AB881" s="702"/>
      <c r="AC881" s="702"/>
    </row>
    <row r="882" ht="15.75" customHeight="1">
      <c r="A882" s="702"/>
      <c r="B882" s="702"/>
      <c r="C882" s="702"/>
      <c r="D882" s="702"/>
      <c r="E882" s="702"/>
      <c r="F882" s="702"/>
      <c r="G882" s="702"/>
      <c r="H882" s="702"/>
      <c r="I882" s="702"/>
      <c r="J882" s="702"/>
      <c r="K882" s="702"/>
      <c r="L882" s="702"/>
      <c r="M882" s="702"/>
      <c r="N882" s="702"/>
      <c r="O882" s="702"/>
      <c r="P882" s="702"/>
      <c r="Q882" s="702"/>
      <c r="R882" s="702"/>
      <c r="S882" s="702"/>
      <c r="T882" s="702"/>
      <c r="U882" s="702"/>
      <c r="V882" s="702"/>
      <c r="W882" s="702"/>
      <c r="X882" s="702"/>
      <c r="Y882" s="702"/>
      <c r="Z882" s="702"/>
      <c r="AA882" s="702"/>
      <c r="AB882" s="702"/>
      <c r="AC882" s="702"/>
    </row>
    <row r="883" ht="15.75" customHeight="1">
      <c r="A883" s="702"/>
      <c r="B883" s="702"/>
      <c r="C883" s="702"/>
      <c r="D883" s="702"/>
      <c r="E883" s="702"/>
      <c r="F883" s="702"/>
      <c r="G883" s="702"/>
      <c r="H883" s="702"/>
      <c r="I883" s="702"/>
      <c r="J883" s="702"/>
      <c r="K883" s="702"/>
      <c r="L883" s="702"/>
      <c r="M883" s="702"/>
      <c r="N883" s="702"/>
      <c r="O883" s="702"/>
      <c r="P883" s="702"/>
      <c r="Q883" s="702"/>
      <c r="R883" s="702"/>
      <c r="S883" s="702"/>
      <c r="T883" s="702"/>
      <c r="U883" s="702"/>
      <c r="V883" s="702"/>
      <c r="W883" s="702"/>
      <c r="X883" s="702"/>
      <c r="Y883" s="702"/>
      <c r="Z883" s="702"/>
      <c r="AA883" s="702"/>
      <c r="AB883" s="702"/>
      <c r="AC883" s="702"/>
    </row>
    <row r="884" ht="15.75" customHeight="1">
      <c r="A884" s="702"/>
      <c r="B884" s="702"/>
      <c r="C884" s="702"/>
      <c r="D884" s="702"/>
      <c r="E884" s="702"/>
      <c r="F884" s="702"/>
      <c r="G884" s="702"/>
      <c r="H884" s="702"/>
      <c r="I884" s="702"/>
      <c r="J884" s="702"/>
      <c r="K884" s="702"/>
      <c r="L884" s="702"/>
      <c r="M884" s="702"/>
      <c r="N884" s="702"/>
      <c r="O884" s="702"/>
      <c r="P884" s="702"/>
      <c r="Q884" s="702"/>
      <c r="R884" s="702"/>
      <c r="S884" s="702"/>
      <c r="T884" s="702"/>
      <c r="U884" s="702"/>
      <c r="V884" s="702"/>
      <c r="W884" s="702"/>
      <c r="X884" s="702"/>
      <c r="Y884" s="702"/>
      <c r="Z884" s="702"/>
      <c r="AA884" s="702"/>
      <c r="AB884" s="702"/>
      <c r="AC884" s="702"/>
    </row>
    <row r="885" ht="15.75" customHeight="1">
      <c r="A885" s="702"/>
      <c r="B885" s="702"/>
      <c r="C885" s="702"/>
      <c r="D885" s="702"/>
      <c r="E885" s="702"/>
      <c r="F885" s="702"/>
      <c r="G885" s="702"/>
      <c r="H885" s="702"/>
      <c r="I885" s="702"/>
      <c r="J885" s="702"/>
      <c r="K885" s="702"/>
      <c r="L885" s="702"/>
      <c r="M885" s="702"/>
      <c r="N885" s="702"/>
      <c r="O885" s="702"/>
      <c r="P885" s="702"/>
      <c r="Q885" s="702"/>
      <c r="R885" s="702"/>
      <c r="S885" s="702"/>
      <c r="T885" s="702"/>
      <c r="U885" s="702"/>
      <c r="V885" s="702"/>
      <c r="W885" s="702"/>
      <c r="X885" s="702"/>
      <c r="Y885" s="702"/>
      <c r="Z885" s="702"/>
      <c r="AA885" s="702"/>
      <c r="AB885" s="702"/>
      <c r="AC885" s="702"/>
    </row>
    <row r="886" ht="15.75" customHeight="1">
      <c r="A886" s="702"/>
      <c r="B886" s="702"/>
      <c r="C886" s="702"/>
      <c r="D886" s="702"/>
      <c r="E886" s="702"/>
      <c r="F886" s="702"/>
      <c r="G886" s="702"/>
      <c r="H886" s="702"/>
      <c r="I886" s="702"/>
      <c r="J886" s="702"/>
      <c r="K886" s="702"/>
      <c r="L886" s="702"/>
      <c r="M886" s="702"/>
      <c r="N886" s="702"/>
      <c r="O886" s="702"/>
      <c r="P886" s="702"/>
      <c r="Q886" s="702"/>
      <c r="R886" s="702"/>
      <c r="S886" s="702"/>
      <c r="T886" s="702"/>
      <c r="U886" s="702"/>
      <c r="V886" s="702"/>
      <c r="W886" s="702"/>
      <c r="X886" s="702"/>
      <c r="Y886" s="702"/>
      <c r="Z886" s="702"/>
      <c r="AA886" s="702"/>
      <c r="AB886" s="702"/>
      <c r="AC886" s="702"/>
    </row>
    <row r="887" ht="15.75" customHeight="1">
      <c r="A887" s="702"/>
      <c r="B887" s="702"/>
      <c r="C887" s="702"/>
      <c r="D887" s="702"/>
      <c r="E887" s="702"/>
      <c r="F887" s="702"/>
      <c r="G887" s="702"/>
      <c r="H887" s="702"/>
      <c r="I887" s="702"/>
      <c r="J887" s="702"/>
      <c r="K887" s="702"/>
      <c r="L887" s="702"/>
      <c r="M887" s="702"/>
      <c r="N887" s="702"/>
      <c r="O887" s="702"/>
      <c r="P887" s="702"/>
      <c r="Q887" s="702"/>
      <c r="R887" s="702"/>
      <c r="S887" s="702"/>
      <c r="T887" s="702"/>
      <c r="U887" s="702"/>
      <c r="V887" s="702"/>
      <c r="W887" s="702"/>
      <c r="X887" s="702"/>
      <c r="Y887" s="702"/>
      <c r="Z887" s="702"/>
      <c r="AA887" s="702"/>
      <c r="AB887" s="702"/>
      <c r="AC887" s="702"/>
    </row>
    <row r="888" ht="15.75" customHeight="1">
      <c r="A888" s="702"/>
      <c r="B888" s="702"/>
      <c r="C888" s="702"/>
      <c r="D888" s="702"/>
      <c r="E888" s="702"/>
      <c r="F888" s="702"/>
      <c r="G888" s="702"/>
      <c r="H888" s="702"/>
      <c r="I888" s="702"/>
      <c r="J888" s="702"/>
      <c r="K888" s="702"/>
      <c r="L888" s="702"/>
      <c r="M888" s="702"/>
      <c r="N888" s="702"/>
      <c r="O888" s="702"/>
      <c r="P888" s="702"/>
      <c r="Q888" s="702"/>
      <c r="R888" s="702"/>
      <c r="S888" s="702"/>
      <c r="T888" s="702"/>
      <c r="U888" s="702"/>
      <c r="V888" s="702"/>
      <c r="W888" s="702"/>
      <c r="X888" s="702"/>
      <c r="Y888" s="702"/>
      <c r="Z888" s="702"/>
      <c r="AA888" s="702"/>
      <c r="AB888" s="702"/>
      <c r="AC888" s="702"/>
    </row>
    <row r="889" ht="15.75" customHeight="1">
      <c r="A889" s="702"/>
      <c r="B889" s="702"/>
      <c r="C889" s="702"/>
      <c r="D889" s="702"/>
      <c r="E889" s="702"/>
      <c r="F889" s="702"/>
      <c r="G889" s="702"/>
      <c r="H889" s="702"/>
      <c r="I889" s="702"/>
      <c r="J889" s="702"/>
      <c r="K889" s="702"/>
      <c r="L889" s="702"/>
      <c r="M889" s="702"/>
      <c r="N889" s="702"/>
      <c r="O889" s="702"/>
      <c r="P889" s="702"/>
      <c r="Q889" s="702"/>
      <c r="R889" s="702"/>
      <c r="S889" s="702"/>
      <c r="T889" s="702"/>
      <c r="U889" s="702"/>
      <c r="V889" s="702"/>
      <c r="W889" s="702"/>
      <c r="X889" s="702"/>
      <c r="Y889" s="702"/>
      <c r="Z889" s="702"/>
      <c r="AA889" s="702"/>
      <c r="AB889" s="702"/>
      <c r="AC889" s="702"/>
    </row>
    <row r="890" ht="15.75" customHeight="1">
      <c r="A890" s="702"/>
      <c r="B890" s="702"/>
      <c r="C890" s="702"/>
      <c r="D890" s="702"/>
      <c r="E890" s="702"/>
      <c r="F890" s="702"/>
      <c r="G890" s="702"/>
      <c r="H890" s="702"/>
      <c r="I890" s="702"/>
      <c r="J890" s="702"/>
      <c r="K890" s="702"/>
      <c r="L890" s="702"/>
      <c r="M890" s="702"/>
      <c r="N890" s="702"/>
      <c r="O890" s="702"/>
      <c r="P890" s="702"/>
      <c r="Q890" s="702"/>
      <c r="R890" s="702"/>
      <c r="S890" s="702"/>
      <c r="T890" s="702"/>
      <c r="U890" s="702"/>
      <c r="V890" s="702"/>
      <c r="W890" s="702"/>
      <c r="X890" s="702"/>
      <c r="Y890" s="702"/>
      <c r="Z890" s="702"/>
      <c r="AA890" s="702"/>
      <c r="AB890" s="702"/>
      <c r="AC890" s="702"/>
    </row>
    <row r="891" ht="15.75" customHeight="1">
      <c r="A891" s="702"/>
      <c r="B891" s="702"/>
      <c r="C891" s="702"/>
      <c r="D891" s="702"/>
      <c r="E891" s="702"/>
      <c r="F891" s="702"/>
      <c r="G891" s="702"/>
      <c r="H891" s="702"/>
      <c r="I891" s="702"/>
      <c r="J891" s="702"/>
      <c r="K891" s="702"/>
      <c r="L891" s="702"/>
      <c r="M891" s="702"/>
      <c r="N891" s="702"/>
      <c r="O891" s="702"/>
      <c r="P891" s="702"/>
      <c r="Q891" s="702"/>
      <c r="R891" s="702"/>
      <c r="S891" s="702"/>
      <c r="T891" s="702"/>
      <c r="U891" s="702"/>
      <c r="V891" s="702"/>
      <c r="W891" s="702"/>
      <c r="X891" s="702"/>
      <c r="Y891" s="702"/>
      <c r="Z891" s="702"/>
      <c r="AA891" s="702"/>
      <c r="AB891" s="702"/>
      <c r="AC891" s="702"/>
    </row>
    <row r="892" ht="15.75" customHeight="1">
      <c r="A892" s="702"/>
      <c r="B892" s="702"/>
      <c r="C892" s="702"/>
      <c r="D892" s="702"/>
      <c r="E892" s="702"/>
      <c r="F892" s="702"/>
      <c r="G892" s="702"/>
      <c r="H892" s="702"/>
      <c r="I892" s="702"/>
      <c r="J892" s="702"/>
      <c r="K892" s="702"/>
      <c r="L892" s="702"/>
      <c r="M892" s="702"/>
      <c r="N892" s="702"/>
      <c r="O892" s="702"/>
      <c r="P892" s="702"/>
      <c r="Q892" s="702"/>
      <c r="R892" s="702"/>
      <c r="S892" s="702"/>
      <c r="T892" s="702"/>
      <c r="U892" s="702"/>
      <c r="V892" s="702"/>
      <c r="W892" s="702"/>
      <c r="X892" s="702"/>
      <c r="Y892" s="702"/>
      <c r="Z892" s="702"/>
      <c r="AA892" s="702"/>
      <c r="AB892" s="702"/>
      <c r="AC892" s="702"/>
    </row>
    <row r="893" ht="15.75" customHeight="1">
      <c r="A893" s="702"/>
      <c r="B893" s="702"/>
      <c r="C893" s="702"/>
      <c r="D893" s="702"/>
      <c r="E893" s="702"/>
      <c r="F893" s="702"/>
      <c r="G893" s="702"/>
      <c r="H893" s="702"/>
      <c r="I893" s="702"/>
      <c r="J893" s="702"/>
      <c r="K893" s="702"/>
      <c r="L893" s="702"/>
      <c r="M893" s="702"/>
      <c r="N893" s="702"/>
      <c r="O893" s="702"/>
      <c r="P893" s="702"/>
      <c r="Q893" s="702"/>
      <c r="R893" s="702"/>
      <c r="S893" s="702"/>
      <c r="T893" s="702"/>
      <c r="U893" s="702"/>
      <c r="V893" s="702"/>
      <c r="W893" s="702"/>
      <c r="X893" s="702"/>
      <c r="Y893" s="702"/>
      <c r="Z893" s="702"/>
      <c r="AA893" s="702"/>
      <c r="AB893" s="702"/>
      <c r="AC893" s="702"/>
    </row>
    <row r="894" ht="15.75" customHeight="1"/>
  </sheetData>
  <mergeCells count="65">
    <mergeCell ref="C11:F11"/>
    <mergeCell ref="G11:I11"/>
    <mergeCell ref="D16:H16"/>
    <mergeCell ref="D17:H17"/>
    <mergeCell ref="D18:H18"/>
    <mergeCell ref="D19:H19"/>
    <mergeCell ref="M23:N23"/>
    <mergeCell ref="Q53:T53"/>
    <mergeCell ref="U53:W53"/>
    <mergeCell ref="G64:I64"/>
    <mergeCell ref="G65:H65"/>
    <mergeCell ref="N67:O67"/>
    <mergeCell ref="E68:F68"/>
    <mergeCell ref="N68:O68"/>
    <mergeCell ref="E69:F69"/>
    <mergeCell ref="E70:F70"/>
    <mergeCell ref="E71:F71"/>
    <mergeCell ref="E72:F72"/>
    <mergeCell ref="N72:O72"/>
    <mergeCell ref="E73:F73"/>
    <mergeCell ref="E74:F74"/>
    <mergeCell ref="E75:F75"/>
    <mergeCell ref="E76:F76"/>
    <mergeCell ref="A1:P2"/>
    <mergeCell ref="A4:B4"/>
    <mergeCell ref="C4:F4"/>
    <mergeCell ref="G4:I4"/>
    <mergeCell ref="A5:B5"/>
    <mergeCell ref="C5:F5"/>
    <mergeCell ref="G5:I5"/>
    <mergeCell ref="C8:F8"/>
    <mergeCell ref="G8:I8"/>
    <mergeCell ref="A6:B6"/>
    <mergeCell ref="C6:F6"/>
    <mergeCell ref="G6:I6"/>
    <mergeCell ref="A7:B7"/>
    <mergeCell ref="C7:F7"/>
    <mergeCell ref="G7:I7"/>
    <mergeCell ref="A8:B8"/>
    <mergeCell ref="A9:B9"/>
    <mergeCell ref="C9:F9"/>
    <mergeCell ref="G9:I9"/>
    <mergeCell ref="A10:B10"/>
    <mergeCell ref="C10:F10"/>
    <mergeCell ref="G10:I10"/>
    <mergeCell ref="A11:B11"/>
    <mergeCell ref="A12:B12"/>
    <mergeCell ref="C12:F12"/>
    <mergeCell ref="G12:I12"/>
    <mergeCell ref="A13:B13"/>
    <mergeCell ref="C13:F13"/>
    <mergeCell ref="G13:I13"/>
    <mergeCell ref="D15:H15"/>
    <mergeCell ref="A20:D20"/>
    <mergeCell ref="C55:C63"/>
    <mergeCell ref="E84:F84"/>
    <mergeCell ref="E85:F85"/>
    <mergeCell ref="A125:H125"/>
    <mergeCell ref="E77:F77"/>
    <mergeCell ref="E78:F78"/>
    <mergeCell ref="E79:F79"/>
    <mergeCell ref="E80:F80"/>
    <mergeCell ref="E81:F81"/>
    <mergeCell ref="E82:F82"/>
    <mergeCell ref="E83:F83"/>
  </mergeCells>
  <dataValidations>
    <dataValidation type="custom" allowBlank="1" showDropDown="1" sqref="C107">
      <formula1>AND(ISNUMBER(C107),(NOT(OR(NOT(ISERROR(DATEVALUE(C107))), AND(ISNUMBER(C107), LEFT(CELL("format", C107))="D")))))</formula1>
    </dataValidation>
    <dataValidation type="custom" allowBlank="1" showDropDown="1" sqref="I39:I53">
      <formula1>AND(ISNUMBER(I39),(NOT(OR(NOT(ISERROR(DATEVALUE(I39))), AND(ISNUMBER(I39), LEFT(CELL("format", I39))="D")))))</formula1>
    </dataValidation>
  </dataValidations>
  <hyperlinks>
    <hyperlink r:id="rId1" ref="G39"/>
    <hyperlink r:id="rId2" ref="H39"/>
    <hyperlink r:id="rId3" ref="G42"/>
    <hyperlink r:id="rId4" ref="H42"/>
    <hyperlink r:id="rId5" location="pn=DP24688TGY" ref="G43"/>
    <hyperlink r:id="rId6" ref="H43"/>
    <hyperlink r:id="rId7" ref="G44"/>
    <hyperlink r:id="rId8" ref="H44"/>
    <hyperlink r:id="rId9" location="pn=WMP1E" ref="G45"/>
    <hyperlink r:id="rId10" ref="H45"/>
    <hyperlink r:id="rId11" ref="G46"/>
    <hyperlink r:id="rId12" ref="G47"/>
    <hyperlink r:id="rId13" ref="H47"/>
    <hyperlink r:id="rId14" location="q=utp28sp1bu" ref="G50"/>
    <hyperlink r:id="rId15" ref="H50"/>
    <hyperlink r:id="rId16" ref="G51"/>
    <hyperlink r:id="rId17" ref="H51"/>
    <hyperlink r:id="rId18" ref="E90"/>
    <hyperlink r:id="rId19" ref="F90"/>
    <hyperlink r:id="rId20" ref="E91"/>
    <hyperlink r:id="rId21" ref="F91"/>
    <hyperlink r:id="rId22" ref="E92"/>
    <hyperlink r:id="rId23" ref="F92"/>
    <hyperlink r:id="rId24" ref="E93"/>
    <hyperlink r:id="rId25" ref="F93"/>
    <hyperlink r:id="rId26" location="attr=" ref="F94"/>
    <hyperlink r:id="rId27" ref="F95"/>
    <hyperlink r:id="rId28" ref="E96"/>
    <hyperlink r:id="rId29" ref="F96"/>
    <hyperlink r:id="rId30" ref="E97"/>
    <hyperlink r:id="rId31" ref="F97"/>
    <hyperlink r:id="rId32" ref="E98"/>
    <hyperlink r:id="rId33" ref="F98"/>
    <hyperlink r:id="rId34" ref="E99"/>
    <hyperlink r:id="rId35" ref="F99"/>
    <hyperlink r:id="rId36" ref="E100"/>
    <hyperlink r:id="rId37" ref="F100"/>
    <hyperlink r:id="rId38" ref="E101"/>
    <hyperlink r:id="rId39" ref="F101"/>
    <hyperlink r:id="rId40" ref="E102"/>
    <hyperlink r:id="rId41" ref="F102"/>
    <hyperlink r:id="rId42" ref="E103"/>
    <hyperlink r:id="rId43" ref="F103"/>
    <hyperlink r:id="rId44" ref="E104"/>
    <hyperlink r:id="rId45" location="polycard_client=search-nordic&amp;position=8&amp;search_layout=stack&amp;type=item&amp;tracking_id=58405fbd-cadb-4af1-928f-5abc0bb393cd&amp;wid=MEC581849574&amp;sid=search" ref="F104"/>
    <hyperlink r:id="rId46" ref="E105"/>
    <hyperlink r:id="rId47" ref="F105"/>
    <hyperlink r:id="rId48" ref="F106"/>
    <hyperlink r:id="rId49" ref="E107"/>
    <hyperlink r:id="rId50" ref="F107"/>
    <hyperlink r:id="rId51" ref="E108"/>
    <hyperlink r:id="rId52" ref="F108"/>
    <hyperlink r:id="rId53" ref="E109"/>
    <hyperlink r:id="rId54" ref="F109"/>
    <hyperlink r:id="rId55" ref="E110"/>
    <hyperlink r:id="rId56" ref="F110"/>
    <hyperlink r:id="rId57" ref="F111"/>
    <hyperlink r:id="rId58" ref="E112"/>
    <hyperlink r:id="rId59" ref="F114"/>
    <hyperlink r:id="rId60" ref="E115"/>
    <hyperlink r:id="rId61" ref="F115"/>
    <hyperlink r:id="rId62" ref="E116"/>
    <hyperlink r:id="rId63" ref="F116"/>
    <hyperlink r:id="rId64" ref="E117"/>
    <hyperlink r:id="rId65" ref="F117"/>
    <hyperlink r:id="rId66" ref="E118"/>
    <hyperlink r:id="rId67" ref="F118"/>
    <hyperlink r:id="rId68" ref="E119"/>
    <hyperlink r:id="rId69" ref="F119"/>
    <hyperlink r:id="rId70" ref="E120"/>
    <hyperlink r:id="rId71" ref="F120"/>
    <hyperlink r:id="rId72" ref="E121"/>
    <hyperlink r:id="rId73" ref="F121"/>
  </hyperlinks>
  <printOptions/>
  <pageMargins bottom="0.75" footer="0.0" header="0.0" left="0.7" right="0.7" top="0.75"/>
  <pageSetup orientation="landscape"/>
  <drawing r:id="rId74"/>
  <tableParts count="2">
    <tablePart r:id="rId77"/>
    <tablePart r:id="rId78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0"/>
    <col customWidth="1" min="3" max="3" width="15.0"/>
    <col customWidth="1" min="4" max="4" width="18.75"/>
    <col customWidth="1" min="5" max="5" width="17.13"/>
    <col customWidth="1" min="6" max="6" width="21.5"/>
    <col customWidth="1" min="7" max="7" width="21.63"/>
    <col customWidth="1" min="8" max="8" width="18.13"/>
    <col customWidth="1" min="9" max="9" width="18.0"/>
    <col customWidth="1" min="11" max="11" width="17.88"/>
    <col customWidth="1" min="12" max="12" width="16.63"/>
  </cols>
  <sheetData>
    <row r="3">
      <c r="B3" s="717" t="s">
        <v>1018</v>
      </c>
      <c r="C3" s="12"/>
      <c r="D3" s="12"/>
      <c r="E3" s="12"/>
      <c r="F3" s="12"/>
      <c r="G3" s="12"/>
      <c r="H3" s="12"/>
      <c r="I3" s="13"/>
      <c r="K3" s="719" t="s">
        <v>1021</v>
      </c>
      <c r="L3" s="13"/>
    </row>
    <row r="4">
      <c r="B4" s="722" t="s">
        <v>1023</v>
      </c>
      <c r="C4" s="722" t="s">
        <v>1025</v>
      </c>
      <c r="D4" s="722" t="s">
        <v>1027</v>
      </c>
      <c r="E4" s="722" t="s">
        <v>1029</v>
      </c>
      <c r="F4" s="722" t="s">
        <v>1030</v>
      </c>
      <c r="G4" s="722" t="s">
        <v>1032</v>
      </c>
      <c r="H4" s="722" t="s">
        <v>1033</v>
      </c>
      <c r="I4" s="722" t="s">
        <v>1034</v>
      </c>
      <c r="K4" s="724" t="s">
        <v>1035</v>
      </c>
      <c r="L4" s="724" t="s">
        <v>1036</v>
      </c>
    </row>
    <row r="5">
      <c r="B5" s="725" t="s">
        <v>1037</v>
      </c>
      <c r="C5" s="725">
        <v>4.0</v>
      </c>
      <c r="D5" s="725">
        <v>4.0</v>
      </c>
      <c r="E5" s="725" t="s">
        <v>1038</v>
      </c>
      <c r="F5" s="725" t="s">
        <v>1040</v>
      </c>
      <c r="G5" s="725" t="s">
        <v>1042</v>
      </c>
      <c r="H5" s="725" t="s">
        <v>1043</v>
      </c>
      <c r="I5" s="725" t="s">
        <v>1045</v>
      </c>
      <c r="K5" s="41">
        <v>5.0</v>
      </c>
      <c r="L5" s="41">
        <v>5.0</v>
      </c>
    </row>
    <row r="6">
      <c r="B6" s="725" t="s">
        <v>1047</v>
      </c>
      <c r="C6" s="725">
        <v>3.0</v>
      </c>
      <c r="D6" s="725">
        <v>3.0</v>
      </c>
      <c r="E6" s="725" t="s">
        <v>1048</v>
      </c>
      <c r="F6" s="725" t="s">
        <v>1040</v>
      </c>
      <c r="G6" s="725" t="s">
        <v>1042</v>
      </c>
      <c r="H6" s="725" t="s">
        <v>1043</v>
      </c>
      <c r="I6" s="725" t="s">
        <v>1045</v>
      </c>
      <c r="K6" s="71"/>
      <c r="L6" s="41">
        <v>25.0</v>
      </c>
    </row>
    <row r="7">
      <c r="B7" s="725" t="s">
        <v>1051</v>
      </c>
      <c r="C7" s="725">
        <v>4.0</v>
      </c>
      <c r="D7" s="725"/>
      <c r="E7" s="725"/>
      <c r="F7" s="725" t="s">
        <v>1040</v>
      </c>
      <c r="G7" s="725" t="s">
        <v>1042</v>
      </c>
      <c r="H7" s="725" t="s">
        <v>1043</v>
      </c>
      <c r="I7" s="725" t="s">
        <v>1045</v>
      </c>
    </row>
    <row r="8">
      <c r="B8" s="725" t="s">
        <v>1054</v>
      </c>
      <c r="C8" s="725">
        <v>3.0</v>
      </c>
      <c r="D8" s="725">
        <v>3.0</v>
      </c>
      <c r="E8" s="725" t="s">
        <v>1048</v>
      </c>
      <c r="F8" s="725" t="s">
        <v>1040</v>
      </c>
      <c r="G8" s="725" t="s">
        <v>1042</v>
      </c>
      <c r="H8" s="725" t="s">
        <v>1043</v>
      </c>
      <c r="I8" s="725" t="s">
        <v>1045</v>
      </c>
    </row>
    <row r="9">
      <c r="B9" s="731" t="s">
        <v>762</v>
      </c>
      <c r="C9" s="732">
        <f t="shared" ref="C9:D9" si="1">SUM(C5:C8)</f>
        <v>14</v>
      </c>
      <c r="D9" s="732">
        <f t="shared" si="1"/>
        <v>10</v>
      </c>
      <c r="E9" s="731" t="s">
        <v>1058</v>
      </c>
      <c r="F9" s="732"/>
      <c r="G9" s="732"/>
      <c r="H9" s="732"/>
      <c r="I9" s="732"/>
    </row>
    <row r="12" ht="22.5" customHeight="1">
      <c r="B12" s="733" t="s">
        <v>1062</v>
      </c>
      <c r="C12" s="733" t="s">
        <v>1064</v>
      </c>
      <c r="D12" s="733" t="s">
        <v>1066</v>
      </c>
      <c r="E12" s="736" t="s">
        <v>1067</v>
      </c>
      <c r="F12" s="737" t="s">
        <v>93</v>
      </c>
    </row>
    <row r="13" ht="22.5" customHeight="1">
      <c r="B13" s="738">
        <v>1.74</v>
      </c>
      <c r="C13" s="742" t="s">
        <v>1072</v>
      </c>
      <c r="D13" s="742" t="s">
        <v>1076</v>
      </c>
      <c r="E13" s="744">
        <v>4.0</v>
      </c>
      <c r="F13" s="754">
        <f>Tabla_11[PRECIO (3m)]*Tabla_11[CANTIDAD]</f>
        <v>6.96</v>
      </c>
    </row>
    <row r="14" ht="22.5" customHeight="1">
      <c r="B14" s="738">
        <v>6.6</v>
      </c>
      <c r="C14" s="755" t="s">
        <v>1109</v>
      </c>
      <c r="D14" s="755" t="s">
        <v>1076</v>
      </c>
      <c r="E14" s="744">
        <v>11.0</v>
      </c>
      <c r="F14" s="754">
        <f>Tabla_11[PRECIO (3m)]*Tabla_11[CANTIDAD]</f>
        <v>72.6</v>
      </c>
    </row>
    <row r="15" ht="22.5" customHeight="1">
      <c r="B15" s="762"/>
      <c r="C15" s="763"/>
      <c r="D15" s="763"/>
      <c r="E15" s="744" t="s">
        <v>93</v>
      </c>
      <c r="F15" s="754">
        <f>SUM(F13:F14)</f>
        <v>79.56</v>
      </c>
    </row>
  </sheetData>
  <mergeCells count="2">
    <mergeCell ref="B3:I3"/>
    <mergeCell ref="K3:L3"/>
  </mergeCells>
  <hyperlinks>
    <hyperlink r:id="rId1" ref="C13"/>
    <hyperlink r:id="rId2" ref="D13"/>
    <hyperlink r:id="rId3" ref="C14"/>
    <hyperlink r:id="rId4" ref="D14"/>
  </hyperlinks>
  <drawing r:id="rId5"/>
  <tableParts count="1"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9.5"/>
    <col customWidth="1" min="3" max="3" width="24.13"/>
    <col customWidth="1" min="4" max="4" width="25.5"/>
    <col customWidth="1" min="5" max="5" width="36.0"/>
    <col customWidth="1" min="6" max="6" width="42.38"/>
    <col customWidth="1" min="7" max="7" width="31.13"/>
    <col customWidth="1" min="8" max="8" width="48.0"/>
    <col customWidth="1" min="9" max="9" width="31.63"/>
    <col customWidth="1" min="10" max="10" width="29.5"/>
    <col customWidth="1" min="11" max="11" width="18.13"/>
    <col customWidth="1" min="12" max="12" width="25.75"/>
    <col customWidth="1" min="13" max="13" width="50.75"/>
    <col customWidth="1" min="14" max="14" width="22.25"/>
    <col customWidth="1" min="15" max="17" width="14.25"/>
  </cols>
  <sheetData>
    <row r="1">
      <c r="B1" s="814" t="s">
        <v>25</v>
      </c>
      <c r="G1" s="817" t="s">
        <v>1150</v>
      </c>
      <c r="M1" s="820" t="s">
        <v>1151</v>
      </c>
    </row>
    <row r="2">
      <c r="L2" s="182"/>
    </row>
    <row r="4" ht="22.5" customHeight="1">
      <c r="B4" s="821" t="s">
        <v>1152</v>
      </c>
      <c r="C4" s="821" t="s">
        <v>1153</v>
      </c>
      <c r="D4" s="821" t="s">
        <v>1154</v>
      </c>
      <c r="E4" s="821" t="s">
        <v>1155</v>
      </c>
      <c r="G4" s="821" t="s">
        <v>1152</v>
      </c>
      <c r="H4" s="821" t="s">
        <v>1153</v>
      </c>
      <c r="I4" s="821" t="s">
        <v>1154</v>
      </c>
      <c r="J4" s="821" t="s">
        <v>1155</v>
      </c>
      <c r="M4" s="828" t="s">
        <v>1152</v>
      </c>
      <c r="N4" s="828" t="s">
        <v>1153</v>
      </c>
      <c r="O4" s="828" t="s">
        <v>1157</v>
      </c>
      <c r="P4" s="828" t="s">
        <v>1155</v>
      </c>
    </row>
    <row r="5" ht="22.5" customHeight="1">
      <c r="B5" s="835" t="s">
        <v>1158</v>
      </c>
      <c r="C5" s="837">
        <v>5.0</v>
      </c>
      <c r="D5" s="837">
        <v>100.0</v>
      </c>
      <c r="E5" s="837">
        <f t="shared" ref="E5:E9" si="1">C5*D5</f>
        <v>500</v>
      </c>
      <c r="G5" s="835" t="s">
        <v>1158</v>
      </c>
      <c r="H5" s="837">
        <v>5.0</v>
      </c>
      <c r="I5" s="837">
        <v>14.0</v>
      </c>
      <c r="J5" s="837">
        <f t="shared" ref="J5:J9" si="2">H5*I5</f>
        <v>70</v>
      </c>
      <c r="M5" s="835" t="s">
        <v>1164</v>
      </c>
      <c r="N5" s="835">
        <v>5.0</v>
      </c>
      <c r="O5" s="835">
        <v>7.0</v>
      </c>
      <c r="P5" s="841">
        <f t="shared" ref="P5:P11" si="3">N5*O5</f>
        <v>35</v>
      </c>
    </row>
    <row r="6" ht="22.5" customHeight="1">
      <c r="B6" s="835" t="s">
        <v>1167</v>
      </c>
      <c r="C6" s="837">
        <v>0.1</v>
      </c>
      <c r="D6" s="837">
        <v>81.0</v>
      </c>
      <c r="E6" s="837">
        <f t="shared" si="1"/>
        <v>8.1</v>
      </c>
      <c r="G6" s="835" t="s">
        <v>1167</v>
      </c>
      <c r="H6" s="837">
        <v>0.1</v>
      </c>
      <c r="I6" s="837">
        <v>14.0</v>
      </c>
      <c r="J6" s="837">
        <f t="shared" si="2"/>
        <v>1.4</v>
      </c>
      <c r="M6" s="835" t="s">
        <v>1167</v>
      </c>
      <c r="N6" s="837">
        <v>0.1</v>
      </c>
      <c r="O6" s="835">
        <v>7.0</v>
      </c>
      <c r="P6" s="841">
        <f t="shared" si="3"/>
        <v>0.7</v>
      </c>
    </row>
    <row r="7" ht="22.5" customHeight="1">
      <c r="B7" s="835" t="s">
        <v>711</v>
      </c>
      <c r="C7" s="837">
        <v>2.0</v>
      </c>
      <c r="D7" s="837">
        <v>13.0</v>
      </c>
      <c r="E7" s="837">
        <f t="shared" si="1"/>
        <v>26</v>
      </c>
      <c r="G7" s="835" t="s">
        <v>711</v>
      </c>
      <c r="H7" s="837">
        <v>2.0</v>
      </c>
      <c r="I7" s="837">
        <v>1.0</v>
      </c>
      <c r="J7" s="837">
        <f t="shared" si="2"/>
        <v>2</v>
      </c>
      <c r="M7" s="835" t="s">
        <v>1168</v>
      </c>
      <c r="N7" s="835">
        <v>2.0</v>
      </c>
      <c r="O7" s="835">
        <v>2.0</v>
      </c>
      <c r="P7" s="841">
        <f t="shared" si="3"/>
        <v>4</v>
      </c>
    </row>
    <row r="8" ht="22.5" customHeight="1">
      <c r="B8" s="835" t="s">
        <v>1169</v>
      </c>
      <c r="C8" s="837">
        <v>2.0</v>
      </c>
      <c r="D8" s="837">
        <v>66.0</v>
      </c>
      <c r="E8" s="837">
        <f t="shared" si="1"/>
        <v>132</v>
      </c>
      <c r="G8" s="835" t="s">
        <v>1169</v>
      </c>
      <c r="H8" s="837">
        <v>2.0</v>
      </c>
      <c r="I8" s="837">
        <v>9.0</v>
      </c>
      <c r="J8" s="837">
        <f t="shared" si="2"/>
        <v>18</v>
      </c>
      <c r="M8" s="835" t="s">
        <v>528</v>
      </c>
      <c r="N8" s="835">
        <v>5.0</v>
      </c>
      <c r="O8" s="835">
        <v>24.0</v>
      </c>
      <c r="P8" s="841">
        <f t="shared" si="3"/>
        <v>120</v>
      </c>
    </row>
    <row r="9" ht="22.5" customHeight="1">
      <c r="B9" s="835" t="s">
        <v>1174</v>
      </c>
      <c r="C9" s="837">
        <v>1.0</v>
      </c>
      <c r="D9" s="837">
        <v>117.0</v>
      </c>
      <c r="E9" s="837">
        <f t="shared" si="1"/>
        <v>117</v>
      </c>
      <c r="G9" s="835" t="s">
        <v>1174</v>
      </c>
      <c r="H9" s="837">
        <v>1.0</v>
      </c>
      <c r="I9" s="837">
        <v>36.0</v>
      </c>
      <c r="J9" s="837">
        <f t="shared" si="2"/>
        <v>36</v>
      </c>
      <c r="M9" s="835" t="s">
        <v>1188</v>
      </c>
      <c r="N9" s="835">
        <v>1.0</v>
      </c>
      <c r="O9" s="835">
        <v>16.0</v>
      </c>
      <c r="P9" s="841">
        <f t="shared" si="3"/>
        <v>16</v>
      </c>
    </row>
    <row r="10" ht="22.5" customHeight="1">
      <c r="B10" s="865" t="s">
        <v>1189</v>
      </c>
      <c r="C10" s="866"/>
      <c r="D10" s="866"/>
      <c r="E10" s="869">
        <f>SUM(E5:E9)</f>
        <v>783.1</v>
      </c>
      <c r="G10" s="865" t="s">
        <v>1189</v>
      </c>
      <c r="H10" s="866"/>
      <c r="I10" s="866"/>
      <c r="J10" s="869">
        <f>SUM(J5:J9)</f>
        <v>127.4</v>
      </c>
      <c r="M10" s="835" t="s">
        <v>1195</v>
      </c>
      <c r="N10" s="835">
        <v>1.0</v>
      </c>
      <c r="O10" s="835">
        <v>13.0</v>
      </c>
      <c r="P10" s="841">
        <f t="shared" si="3"/>
        <v>13</v>
      </c>
    </row>
    <row r="11" ht="22.5" customHeight="1">
      <c r="B11" s="835" t="s">
        <v>1198</v>
      </c>
      <c r="C11" s="870"/>
      <c r="D11" s="870"/>
      <c r="E11" s="837">
        <f>E10*0.3</f>
        <v>234.93</v>
      </c>
      <c r="G11" s="835" t="s">
        <v>1198</v>
      </c>
      <c r="H11" s="870"/>
      <c r="I11" s="870"/>
      <c r="J11" s="837">
        <f>J10*0.3</f>
        <v>38.22</v>
      </c>
      <c r="M11" s="835" t="s">
        <v>1206</v>
      </c>
      <c r="N11" s="835">
        <v>2.0</v>
      </c>
      <c r="O11" s="835">
        <v>20.0</v>
      </c>
      <c r="P11" s="841">
        <f t="shared" si="3"/>
        <v>40</v>
      </c>
    </row>
    <row r="12" ht="22.5" customHeight="1">
      <c r="B12" s="865" t="s">
        <v>1207</v>
      </c>
      <c r="C12" s="866"/>
      <c r="D12" s="866"/>
      <c r="E12" s="869">
        <f>SUM(E10:E11)</f>
        <v>1018.03</v>
      </c>
      <c r="G12" s="865" t="s">
        <v>1207</v>
      </c>
      <c r="H12" s="866"/>
      <c r="I12" s="866"/>
      <c r="J12" s="869">
        <f>SUM(J10:J11)</f>
        <v>165.62</v>
      </c>
      <c r="M12" s="865" t="s">
        <v>1208</v>
      </c>
      <c r="N12" s="883"/>
      <c r="O12" s="883"/>
      <c r="P12" s="883">
        <f>SUM(P5:P11)</f>
        <v>228.7</v>
      </c>
    </row>
    <row r="13" ht="22.5" customHeight="1">
      <c r="M13" s="835" t="s">
        <v>1198</v>
      </c>
      <c r="N13" s="841"/>
      <c r="O13" s="841"/>
      <c r="P13" s="841">
        <f>J12*0.3</f>
        <v>49.686</v>
      </c>
    </row>
    <row r="14" ht="22.5" customHeight="1">
      <c r="M14" s="865" t="s">
        <v>1207</v>
      </c>
      <c r="N14" s="883"/>
      <c r="O14" s="883"/>
      <c r="P14" s="883">
        <f>SUM(P12:P13)</f>
        <v>278.386</v>
      </c>
    </row>
    <row r="15" ht="22.5" customHeight="1">
      <c r="B15" s="821" t="s">
        <v>1221</v>
      </c>
      <c r="C15" s="821" t="s">
        <v>1153</v>
      </c>
      <c r="D15" s="821" t="s">
        <v>1154</v>
      </c>
      <c r="E15" s="821" t="s">
        <v>1155</v>
      </c>
      <c r="G15" s="821" t="s">
        <v>1221</v>
      </c>
      <c r="H15" s="821" t="s">
        <v>1153</v>
      </c>
      <c r="I15" s="821" t="s">
        <v>1154</v>
      </c>
      <c r="J15" s="821" t="s">
        <v>1155</v>
      </c>
    </row>
    <row r="16" ht="22.5" customHeight="1">
      <c r="B16" s="835" t="s">
        <v>1224</v>
      </c>
      <c r="C16" s="837">
        <v>2.5</v>
      </c>
      <c r="D16" s="837">
        <v>29.0</v>
      </c>
      <c r="E16" s="837">
        <f t="shared" ref="E16:E17" si="4">C16*D16</f>
        <v>72.5</v>
      </c>
      <c r="G16" s="835" t="s">
        <v>1224</v>
      </c>
      <c r="H16" s="837">
        <v>2.5</v>
      </c>
      <c r="I16" s="837">
        <v>16.0</v>
      </c>
      <c r="J16" s="837">
        <f t="shared" ref="J16:J17" si="5">H16*I16</f>
        <v>40</v>
      </c>
    </row>
    <row r="17" ht="22.5" customHeight="1">
      <c r="B17" s="835" t="s">
        <v>1225</v>
      </c>
      <c r="C17" s="837">
        <v>0.05</v>
      </c>
      <c r="D17" s="837">
        <v>40.0</v>
      </c>
      <c r="E17" s="837">
        <f t="shared" si="4"/>
        <v>2</v>
      </c>
      <c r="G17" s="835" t="s">
        <v>1225</v>
      </c>
      <c r="H17" s="837">
        <v>0.05</v>
      </c>
      <c r="I17" s="837">
        <v>24.0</v>
      </c>
      <c r="J17" s="837">
        <f t="shared" si="5"/>
        <v>1.2</v>
      </c>
    </row>
    <row r="18" ht="22.5" customHeight="1">
      <c r="B18" s="865" t="s">
        <v>1233</v>
      </c>
      <c r="C18" s="866"/>
      <c r="D18" s="866"/>
      <c r="E18" s="869">
        <f>SUM(E16:E17)</f>
        <v>74.5</v>
      </c>
      <c r="G18" s="865" t="s">
        <v>1233</v>
      </c>
      <c r="H18" s="866"/>
      <c r="I18" s="866"/>
      <c r="J18" s="869">
        <f>SUM(J16:J17)</f>
        <v>41.2</v>
      </c>
      <c r="M18" s="916" t="s">
        <v>1221</v>
      </c>
      <c r="N18" s="916" t="s">
        <v>1153</v>
      </c>
      <c r="O18" s="916" t="s">
        <v>1157</v>
      </c>
      <c r="P18" s="916" t="s">
        <v>1155</v>
      </c>
    </row>
    <row r="19" ht="22.5" customHeight="1">
      <c r="B19" s="835" t="s">
        <v>1198</v>
      </c>
      <c r="C19" s="870"/>
      <c r="D19" s="870"/>
      <c r="E19" s="837">
        <f>E18*0.3</f>
        <v>22.35</v>
      </c>
      <c r="G19" s="835" t="s">
        <v>1198</v>
      </c>
      <c r="H19" s="870"/>
      <c r="I19" s="870"/>
      <c r="J19" s="837">
        <f>J18*0.3</f>
        <v>12.36</v>
      </c>
      <c r="M19" s="835" t="s">
        <v>1264</v>
      </c>
      <c r="N19" s="835">
        <v>2.5</v>
      </c>
      <c r="O19" s="835">
        <v>6.0</v>
      </c>
      <c r="P19" s="841">
        <f t="shared" ref="P19:P20" si="6"> N19*O19</f>
        <v>15</v>
      </c>
    </row>
    <row r="20" ht="22.5" customHeight="1">
      <c r="B20" s="865" t="s">
        <v>1271</v>
      </c>
      <c r="C20" s="866"/>
      <c r="D20" s="866"/>
      <c r="E20" s="869">
        <f>SUM(E18:E19)</f>
        <v>96.85</v>
      </c>
      <c r="G20" s="865" t="s">
        <v>1271</v>
      </c>
      <c r="H20" s="866"/>
      <c r="I20" s="866"/>
      <c r="J20" s="869">
        <f>SUM(J18:J19)</f>
        <v>53.56</v>
      </c>
      <c r="M20" s="835" t="s">
        <v>1225</v>
      </c>
      <c r="N20" s="835">
        <v>0.05</v>
      </c>
      <c r="O20" s="835">
        <v>14.0</v>
      </c>
      <c r="P20" s="841">
        <f t="shared" si="6"/>
        <v>0.7</v>
      </c>
    </row>
    <row r="21" ht="22.5" customHeight="1">
      <c r="M21" s="865" t="s">
        <v>1233</v>
      </c>
      <c r="N21" s="883"/>
      <c r="O21" s="883"/>
      <c r="P21" s="883">
        <f>SUM(P19:P20)</f>
        <v>15.7</v>
      </c>
    </row>
    <row r="22" ht="22.5" customHeight="1">
      <c r="M22" s="835" t="s">
        <v>1319</v>
      </c>
      <c r="N22" s="841"/>
      <c r="O22" s="841"/>
      <c r="P22" s="841">
        <f>P21*0.3</f>
        <v>4.71</v>
      </c>
    </row>
    <row r="23" ht="22.5" customHeight="1">
      <c r="M23" s="865" t="s">
        <v>1271</v>
      </c>
      <c r="N23" s="883"/>
      <c r="O23" s="883"/>
      <c r="P23" s="883">
        <f>SUM(P21:P22)</f>
        <v>20.41</v>
      </c>
    </row>
    <row r="24" ht="22.5" customHeight="1">
      <c r="B24" s="821" t="s">
        <v>1345</v>
      </c>
      <c r="C24" s="821" t="s">
        <v>1348</v>
      </c>
      <c r="D24" s="821" t="s">
        <v>1349</v>
      </c>
      <c r="E24" s="821" t="s">
        <v>1355</v>
      </c>
      <c r="G24" s="260"/>
      <c r="H24" s="260"/>
      <c r="I24" s="260"/>
      <c r="J24" s="260"/>
    </row>
    <row r="25" ht="22.5" customHeight="1">
      <c r="B25" s="835" t="s">
        <v>1358</v>
      </c>
      <c r="C25" s="837">
        <v>2.0</v>
      </c>
      <c r="D25" s="837">
        <v>5.0</v>
      </c>
      <c r="E25" s="837">
        <v>10.0</v>
      </c>
      <c r="G25" s="260"/>
      <c r="H25" s="260"/>
      <c r="I25" s="260"/>
      <c r="J25" s="260"/>
    </row>
    <row r="26" ht="22.5" customHeight="1">
      <c r="B26" s="835" t="s">
        <v>1364</v>
      </c>
      <c r="C26" s="837">
        <v>2.0</v>
      </c>
      <c r="D26" s="837">
        <v>5.0</v>
      </c>
      <c r="E26" s="837">
        <v>15.0</v>
      </c>
      <c r="G26" s="260"/>
      <c r="H26" s="260"/>
      <c r="I26" s="260"/>
      <c r="J26" s="260"/>
    </row>
    <row r="27" ht="22.5" customHeight="1">
      <c r="B27" s="835" t="s">
        <v>1370</v>
      </c>
      <c r="C27" s="837">
        <v>10.0</v>
      </c>
      <c r="D27" s="837">
        <v>25.0</v>
      </c>
      <c r="E27" s="837">
        <v>80.0</v>
      </c>
      <c r="G27" s="260"/>
      <c r="H27" s="260"/>
      <c r="I27" s="260"/>
      <c r="J27" s="260"/>
    </row>
    <row r="28" ht="22.5" customHeight="1">
      <c r="B28" s="835" t="s">
        <v>1373</v>
      </c>
      <c r="C28" s="837">
        <v>10.0</v>
      </c>
      <c r="D28" s="837">
        <v>30.0</v>
      </c>
      <c r="E28" s="837">
        <v>120.0</v>
      </c>
      <c r="G28" s="260"/>
      <c r="H28" s="260"/>
      <c r="I28" s="260"/>
      <c r="J28" s="260"/>
    </row>
    <row r="29" ht="22.5" customHeight="1">
      <c r="B29" s="835" t="s">
        <v>1377</v>
      </c>
      <c r="C29" s="837">
        <v>20.0</v>
      </c>
      <c r="D29" s="837">
        <v>60.0</v>
      </c>
      <c r="E29" s="837">
        <v>200.0</v>
      </c>
      <c r="G29" s="260"/>
      <c r="H29" s="260"/>
      <c r="I29" s="260"/>
      <c r="J29" s="260"/>
    </row>
    <row r="30" ht="22.5" customHeight="1">
      <c r="B30" s="835" t="s">
        <v>1381</v>
      </c>
      <c r="C30" s="837">
        <v>5.0</v>
      </c>
      <c r="D30" s="837">
        <v>15.0</v>
      </c>
      <c r="E30" s="837">
        <v>30.0</v>
      </c>
      <c r="G30" s="260"/>
      <c r="H30" s="260"/>
      <c r="I30" s="260"/>
      <c r="J30" s="260"/>
    </row>
    <row r="31" ht="22.5" customHeight="1">
      <c r="B31" s="865" t="s">
        <v>1383</v>
      </c>
      <c r="C31" s="869" t="s">
        <v>1401</v>
      </c>
      <c r="D31" s="869" t="s">
        <v>1403</v>
      </c>
      <c r="E31" s="869" t="s">
        <v>1404</v>
      </c>
      <c r="G31" s="260"/>
      <c r="H31" s="260"/>
      <c r="I31" s="260"/>
      <c r="J31" s="260"/>
    </row>
    <row r="32">
      <c r="B32" s="1010"/>
    </row>
    <row r="33">
      <c r="B33" s="1010"/>
    </row>
    <row r="35">
      <c r="B35" s="182" t="s">
        <v>1406</v>
      </c>
      <c r="C35" s="182" t="s">
        <v>1407</v>
      </c>
    </row>
    <row r="36">
      <c r="B36" s="182" t="s">
        <v>25</v>
      </c>
      <c r="D36" s="1013" t="s">
        <v>1409</v>
      </c>
    </row>
    <row r="37">
      <c r="B37" s="182" t="s">
        <v>1415</v>
      </c>
    </row>
    <row r="38">
      <c r="B38" s="182" t="s">
        <v>1151</v>
      </c>
    </row>
    <row r="40" ht="22.5" customHeight="1">
      <c r="D40" s="1015" t="s">
        <v>1416</v>
      </c>
      <c r="E40" s="1015" t="s">
        <v>1418</v>
      </c>
      <c r="G40" s="1017" t="s">
        <v>566</v>
      </c>
      <c r="H40" s="1017" t="s">
        <v>1420</v>
      </c>
      <c r="I40" s="1020" t="s">
        <v>1421</v>
      </c>
      <c r="J40" s="1017" t="s">
        <v>1422</v>
      </c>
      <c r="K40" s="1020" t="s">
        <v>1425</v>
      </c>
      <c r="L40" s="1020" t="s">
        <v>1427</v>
      </c>
      <c r="M40" s="1017" t="s">
        <v>1428</v>
      </c>
    </row>
    <row r="41" ht="22.5" customHeight="1">
      <c r="D41" s="41" t="s">
        <v>1429</v>
      </c>
      <c r="E41" s="41" t="s">
        <v>1430</v>
      </c>
      <c r="G41" s="193" t="s">
        <v>1431</v>
      </c>
      <c r="H41" s="193" t="s">
        <v>1432</v>
      </c>
      <c r="I41" s="1022">
        <v>1018.03</v>
      </c>
      <c r="J41" s="1023" t="s">
        <v>1433</v>
      </c>
      <c r="K41" s="1022">
        <v>0.6</v>
      </c>
      <c r="L41" s="1022">
        <v>610.82</v>
      </c>
      <c r="M41" s="193" t="s">
        <v>1436</v>
      </c>
    </row>
    <row r="42" ht="22.5" customHeight="1">
      <c r="D42" s="41" t="s">
        <v>1384</v>
      </c>
      <c r="E42" s="41" t="s">
        <v>1438</v>
      </c>
      <c r="G42" s="193" t="s">
        <v>1440</v>
      </c>
      <c r="H42" s="193" t="s">
        <v>1442</v>
      </c>
      <c r="I42" s="1022">
        <v>165.62</v>
      </c>
      <c r="J42" s="1023" t="s">
        <v>1433</v>
      </c>
      <c r="K42" s="1022">
        <v>0.6</v>
      </c>
      <c r="L42" s="1022">
        <v>99.37</v>
      </c>
      <c r="M42" s="193" t="s">
        <v>1447</v>
      </c>
    </row>
    <row r="43" ht="22.5" customHeight="1">
      <c r="D43" s="41" t="s">
        <v>1448</v>
      </c>
      <c r="E43" s="41" t="s">
        <v>1449</v>
      </c>
      <c r="G43" s="193" t="s">
        <v>1450</v>
      </c>
      <c r="H43" s="193" t="s">
        <v>1451</v>
      </c>
      <c r="I43" s="1022">
        <v>278.386</v>
      </c>
      <c r="J43" s="1023" t="s">
        <v>1433</v>
      </c>
      <c r="K43" s="1022">
        <v>0.6</v>
      </c>
      <c r="L43" s="1022">
        <v>167.03</v>
      </c>
      <c r="M43" s="193" t="s">
        <v>1454</v>
      </c>
    </row>
    <row r="44" ht="22.5" customHeight="1">
      <c r="D44" s="41" t="s">
        <v>1456</v>
      </c>
      <c r="E44" s="41" t="s">
        <v>1458</v>
      </c>
      <c r="G44" s="1032" t="s">
        <v>1459</v>
      </c>
      <c r="H44" s="1032" t="s">
        <v>1460</v>
      </c>
      <c r="I44" s="1033">
        <v>1462.04</v>
      </c>
      <c r="J44" s="1023" t="s">
        <v>244</v>
      </c>
      <c r="K44" s="1022" t="s">
        <v>244</v>
      </c>
      <c r="L44" s="1022" t="s">
        <v>244</v>
      </c>
      <c r="M44" s="193" t="s">
        <v>1462</v>
      </c>
    </row>
    <row r="45" ht="22.5" customHeight="1">
      <c r="D45" s="41" t="s">
        <v>1463</v>
      </c>
      <c r="E45" s="41" t="s">
        <v>1464</v>
      </c>
      <c r="G45" s="1034" t="s">
        <v>1465</v>
      </c>
      <c r="H45" s="1034" t="s">
        <v>1467</v>
      </c>
      <c r="I45" s="1035" t="s">
        <v>244</v>
      </c>
      <c r="J45" s="1037" t="s">
        <v>1469</v>
      </c>
      <c r="K45" s="1035">
        <v>0.6</v>
      </c>
      <c r="L45" s="1035">
        <v>877.22</v>
      </c>
      <c r="M45" s="1034"/>
    </row>
    <row r="46" ht="22.5" customHeight="1">
      <c r="D46" s="41" t="s">
        <v>1474</v>
      </c>
      <c r="E46" s="41" t="s">
        <v>1475</v>
      </c>
      <c r="G46" s="193" t="s">
        <v>1476</v>
      </c>
      <c r="H46" s="193" t="s">
        <v>1477</v>
      </c>
      <c r="I46" s="1022">
        <v>1000.0</v>
      </c>
      <c r="J46" s="1023" t="s">
        <v>1469</v>
      </c>
      <c r="K46" s="1022">
        <v>1.0</v>
      </c>
      <c r="L46" s="1022">
        <v>1000.0</v>
      </c>
      <c r="M46" s="193" t="s">
        <v>1480</v>
      </c>
    </row>
    <row r="47" ht="22.5" customHeight="1">
      <c r="D47" s="41" t="s">
        <v>1481</v>
      </c>
      <c r="E47" s="41" t="s">
        <v>1482</v>
      </c>
      <c r="G47" s="193" t="s">
        <v>1484</v>
      </c>
      <c r="H47" s="193" t="s">
        <v>1486</v>
      </c>
      <c r="I47" s="1022" t="s">
        <v>244</v>
      </c>
      <c r="J47" s="1023" t="s">
        <v>244</v>
      </c>
      <c r="K47" s="1022" t="s">
        <v>244</v>
      </c>
      <c r="L47" s="1022">
        <v>122.78</v>
      </c>
      <c r="M47" s="193" t="s">
        <v>1490</v>
      </c>
    </row>
    <row r="48">
      <c r="D48" s="41" t="s">
        <v>1492</v>
      </c>
      <c r="E48" s="41" t="s">
        <v>1493</v>
      </c>
    </row>
    <row r="49">
      <c r="D49" s="41" t="s">
        <v>1495</v>
      </c>
      <c r="E49" s="41" t="s">
        <v>1496</v>
      </c>
    </row>
  </sheetData>
  <mergeCells count="3">
    <mergeCell ref="B1:E3"/>
    <mergeCell ref="G1:J3"/>
    <mergeCell ref="M1:P3"/>
  </mergeCells>
  <hyperlinks>
    <hyperlink r:id="rId1" ref="D36"/>
  </hyperlinks>
  <drawing r:id="rId2"/>
  <tableParts count="8"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29.5"/>
    <col customWidth="1" min="3" max="4" width="14.25"/>
    <col customWidth="1" min="5" max="5" width="21.5"/>
    <col customWidth="1" min="6" max="6" width="37.63"/>
    <col customWidth="1" min="8" max="8" width="20.25"/>
    <col customWidth="1" min="9" max="9" width="14.5"/>
    <col customWidth="1" min="10" max="10" width="16.5"/>
    <col customWidth="1" min="13" max="13" width="35.25"/>
    <col customWidth="1" min="15" max="15" width="15.38"/>
    <col customWidth="1" min="16" max="16" width="18.38"/>
    <col customWidth="1" min="17" max="18" width="14.25"/>
    <col customWidth="1" min="19" max="19" width="19.25"/>
    <col customWidth="1" min="20" max="20" width="35.88"/>
    <col customWidth="1" min="21" max="21" width="14.25"/>
    <col customWidth="1" min="22" max="22" width="23.5"/>
    <col customWidth="1" min="23" max="23" width="21.25"/>
    <col customWidth="1" min="24" max="24" width="17.25"/>
    <col customWidth="1" min="27" max="27" width="35.88"/>
    <col customWidth="1" min="30" max="30" width="25.88"/>
    <col customWidth="1" min="31" max="31" width="16.0"/>
    <col customWidth="1" min="32" max="32" width="14.63"/>
    <col customWidth="1" min="33" max="34" width="14.25"/>
    <col customWidth="1" min="35" max="35" width="33.75"/>
  </cols>
  <sheetData>
    <row r="1">
      <c r="A1" s="961" t="s">
        <v>27</v>
      </c>
      <c r="H1" s="962" t="s">
        <v>32</v>
      </c>
      <c r="O1" s="961" t="s">
        <v>35</v>
      </c>
      <c r="V1" s="963" t="s">
        <v>20</v>
      </c>
      <c r="AD1" s="964" t="s">
        <v>1151</v>
      </c>
    </row>
    <row r="2" ht="22.5" customHeight="1">
      <c r="A2" s="965" t="s">
        <v>27</v>
      </c>
      <c r="B2" s="966" t="s">
        <v>199</v>
      </c>
      <c r="C2" s="966" t="s">
        <v>200</v>
      </c>
      <c r="D2" s="966" t="s">
        <v>201</v>
      </c>
      <c r="E2" s="966" t="s">
        <v>202</v>
      </c>
      <c r="F2" s="966" t="s">
        <v>203</v>
      </c>
      <c r="H2" s="965" t="s">
        <v>32</v>
      </c>
      <c r="I2" s="966" t="s">
        <v>199</v>
      </c>
      <c r="J2" s="966" t="s">
        <v>200</v>
      </c>
      <c r="K2" s="966" t="s">
        <v>201</v>
      </c>
      <c r="L2" s="966" t="s">
        <v>202</v>
      </c>
      <c r="M2" s="966" t="s">
        <v>203</v>
      </c>
      <c r="U2" s="260"/>
      <c r="V2" s="965" t="s">
        <v>20</v>
      </c>
      <c r="W2" s="966" t="s">
        <v>199</v>
      </c>
      <c r="X2" s="966" t="s">
        <v>200</v>
      </c>
      <c r="Y2" s="966" t="s">
        <v>201</v>
      </c>
      <c r="Z2" s="966" t="s">
        <v>202</v>
      </c>
      <c r="AA2" s="966" t="s">
        <v>203</v>
      </c>
    </row>
    <row r="3" ht="22.5" customHeight="1">
      <c r="A3" s="967" t="s">
        <v>1302</v>
      </c>
      <c r="B3" s="968"/>
      <c r="C3" s="968"/>
      <c r="D3" s="968"/>
      <c r="E3" s="968"/>
      <c r="F3" s="968"/>
      <c r="H3" s="967" t="s">
        <v>1302</v>
      </c>
      <c r="I3" s="968"/>
      <c r="J3" s="968"/>
      <c r="K3" s="968"/>
      <c r="L3" s="968"/>
      <c r="M3" s="968"/>
      <c r="O3" s="965" t="s">
        <v>35</v>
      </c>
      <c r="P3" s="966" t="s">
        <v>199</v>
      </c>
      <c r="Q3" s="966" t="s">
        <v>200</v>
      </c>
      <c r="R3" s="966" t="s">
        <v>201</v>
      </c>
      <c r="S3" s="966" t="s">
        <v>202</v>
      </c>
      <c r="T3" s="966" t="s">
        <v>203</v>
      </c>
      <c r="U3" s="260"/>
      <c r="V3" s="967" t="s">
        <v>1302</v>
      </c>
      <c r="W3" s="968"/>
      <c r="X3" s="968"/>
      <c r="Y3" s="968"/>
      <c r="Z3" s="968"/>
      <c r="AA3" s="968"/>
      <c r="AD3" s="965" t="s">
        <v>1310</v>
      </c>
      <c r="AE3" s="966" t="s">
        <v>199</v>
      </c>
      <c r="AF3" s="966" t="s">
        <v>200</v>
      </c>
      <c r="AG3" s="966" t="s">
        <v>201</v>
      </c>
      <c r="AH3" s="966" t="s">
        <v>202</v>
      </c>
      <c r="AI3" s="966" t="s">
        <v>203</v>
      </c>
    </row>
    <row r="4" ht="22.5" customHeight="1">
      <c r="A4" s="969" t="s">
        <v>226</v>
      </c>
      <c r="B4" s="969" t="s">
        <v>1314</v>
      </c>
      <c r="C4" s="969" t="s">
        <v>1315</v>
      </c>
      <c r="D4" s="969" t="s">
        <v>1317</v>
      </c>
      <c r="E4" s="969" t="s">
        <v>1320</v>
      </c>
      <c r="F4" s="969" t="s">
        <v>1323</v>
      </c>
      <c r="H4" s="970" t="s">
        <v>226</v>
      </c>
      <c r="I4" s="970" t="s">
        <v>1314</v>
      </c>
      <c r="J4" s="970" t="s">
        <v>1315</v>
      </c>
      <c r="K4" s="970" t="s">
        <v>1317</v>
      </c>
      <c r="L4" s="972" t="s">
        <v>1320</v>
      </c>
      <c r="M4" s="970" t="s">
        <v>1324</v>
      </c>
      <c r="O4" s="967" t="s">
        <v>1302</v>
      </c>
      <c r="P4" s="968"/>
      <c r="Q4" s="968"/>
      <c r="R4" s="968"/>
      <c r="S4" s="968"/>
      <c r="T4" s="968"/>
      <c r="U4" s="260"/>
      <c r="V4" s="969" t="s">
        <v>226</v>
      </c>
      <c r="W4" s="969" t="s">
        <v>1314</v>
      </c>
      <c r="X4" s="969" t="s">
        <v>1315</v>
      </c>
      <c r="Y4" s="969" t="s">
        <v>1317</v>
      </c>
      <c r="Z4" s="969" t="s">
        <v>1320</v>
      </c>
      <c r="AA4" s="969" t="s">
        <v>1323</v>
      </c>
      <c r="AD4" s="973" t="s">
        <v>1302</v>
      </c>
      <c r="AE4" s="974"/>
      <c r="AF4" s="974"/>
      <c r="AG4" s="974"/>
      <c r="AH4" s="974"/>
      <c r="AI4" s="974"/>
    </row>
    <row r="5" ht="22.5" customHeight="1">
      <c r="A5" s="975" t="s">
        <v>1335</v>
      </c>
      <c r="B5" s="975" t="s">
        <v>1336</v>
      </c>
      <c r="C5" s="975" t="s">
        <v>1337</v>
      </c>
      <c r="D5" s="975" t="s">
        <v>1338</v>
      </c>
      <c r="E5" s="975" t="s">
        <v>1341</v>
      </c>
      <c r="F5" s="975" t="s">
        <v>1343</v>
      </c>
      <c r="H5" s="976" t="s">
        <v>1346</v>
      </c>
      <c r="I5" s="976" t="s">
        <v>1347</v>
      </c>
      <c r="J5" s="976" t="s">
        <v>1337</v>
      </c>
      <c r="K5" s="976" t="s">
        <v>1338</v>
      </c>
      <c r="L5" s="977" t="s">
        <v>1352</v>
      </c>
      <c r="M5" s="976" t="s">
        <v>1357</v>
      </c>
      <c r="O5" s="969" t="s">
        <v>226</v>
      </c>
      <c r="P5" s="969" t="s">
        <v>1314</v>
      </c>
      <c r="Q5" s="969" t="s">
        <v>1315</v>
      </c>
      <c r="R5" s="969" t="s">
        <v>1317</v>
      </c>
      <c r="S5" s="969" t="s">
        <v>1320</v>
      </c>
      <c r="T5" s="969" t="s">
        <v>1323</v>
      </c>
      <c r="U5" s="260"/>
      <c r="V5" s="975" t="s">
        <v>1360</v>
      </c>
      <c r="W5" s="975" t="s">
        <v>1347</v>
      </c>
      <c r="X5" s="975" t="s">
        <v>1337</v>
      </c>
      <c r="Y5" s="975" t="s">
        <v>1338</v>
      </c>
      <c r="Z5" s="975">
        <v>20.0</v>
      </c>
      <c r="AA5" s="975" t="s">
        <v>1363</v>
      </c>
      <c r="AD5" s="969" t="s">
        <v>226</v>
      </c>
      <c r="AE5" s="969" t="s">
        <v>1314</v>
      </c>
      <c r="AF5" s="969" t="s">
        <v>1315</v>
      </c>
      <c r="AG5" s="969" t="s">
        <v>1317</v>
      </c>
      <c r="AH5" s="969" t="s">
        <v>1320</v>
      </c>
      <c r="AI5" s="969" t="s">
        <v>1323</v>
      </c>
    </row>
    <row r="6" ht="22.5" customHeight="1">
      <c r="A6" s="975" t="s">
        <v>1335</v>
      </c>
      <c r="B6" s="975" t="s">
        <v>1367</v>
      </c>
      <c r="C6" s="975" t="s">
        <v>1337</v>
      </c>
      <c r="D6" s="975" t="s">
        <v>1338</v>
      </c>
      <c r="E6" s="975">
        <v>50.0</v>
      </c>
      <c r="F6" s="975" t="s">
        <v>1371</v>
      </c>
      <c r="H6" s="978" t="s">
        <v>1372</v>
      </c>
      <c r="I6" s="980"/>
      <c r="J6" s="980"/>
      <c r="K6" s="980"/>
      <c r="L6" s="980"/>
      <c r="M6" s="980"/>
      <c r="O6" s="975" t="s">
        <v>1374</v>
      </c>
      <c r="P6" s="975" t="s">
        <v>1375</v>
      </c>
      <c r="Q6" s="975" t="s">
        <v>1337</v>
      </c>
      <c r="R6" s="975" t="s">
        <v>1338</v>
      </c>
      <c r="S6" s="975" t="s">
        <v>1341</v>
      </c>
      <c r="T6" s="975" t="s">
        <v>1376</v>
      </c>
      <c r="U6" s="260"/>
      <c r="V6" s="978" t="s">
        <v>1372</v>
      </c>
      <c r="W6" s="980"/>
      <c r="X6" s="980"/>
      <c r="Y6" s="980"/>
      <c r="Z6" s="980"/>
      <c r="AA6" s="980"/>
      <c r="AD6" s="975" t="s">
        <v>1378</v>
      </c>
      <c r="AE6" s="975" t="s">
        <v>1379</v>
      </c>
      <c r="AF6" s="975" t="s">
        <v>1337</v>
      </c>
      <c r="AG6" s="975" t="s">
        <v>1338</v>
      </c>
      <c r="AH6" s="975">
        <v>10.0</v>
      </c>
      <c r="AI6" s="975" t="s">
        <v>1380</v>
      </c>
    </row>
    <row r="7" ht="22.5" customHeight="1">
      <c r="A7" s="978" t="s">
        <v>1372</v>
      </c>
      <c r="B7" s="980"/>
      <c r="C7" s="980"/>
      <c r="D7" s="980"/>
      <c r="E7" s="980"/>
      <c r="F7" s="980"/>
      <c r="H7" s="993" t="s">
        <v>226</v>
      </c>
      <c r="I7" s="993" t="s">
        <v>1314</v>
      </c>
      <c r="J7" s="995" t="s">
        <v>1384</v>
      </c>
      <c r="K7" s="993" t="s">
        <v>1317</v>
      </c>
      <c r="L7" s="995" t="s">
        <v>1385</v>
      </c>
      <c r="M7" s="993" t="s">
        <v>1386</v>
      </c>
      <c r="O7" s="975" t="s">
        <v>1374</v>
      </c>
      <c r="P7" s="975" t="s">
        <v>1387</v>
      </c>
      <c r="Q7" s="975" t="s">
        <v>1337</v>
      </c>
      <c r="R7" s="975" t="s">
        <v>1338</v>
      </c>
      <c r="S7" s="975">
        <v>50.0</v>
      </c>
      <c r="T7" s="975" t="s">
        <v>1388</v>
      </c>
      <c r="U7" s="260"/>
      <c r="V7" s="999" t="s">
        <v>226</v>
      </c>
      <c r="W7" s="999" t="s">
        <v>1314</v>
      </c>
      <c r="X7" s="999" t="s">
        <v>1384</v>
      </c>
      <c r="Y7" s="999" t="s">
        <v>1317</v>
      </c>
      <c r="Z7" s="999" t="s">
        <v>1385</v>
      </c>
      <c r="AA7" s="999" t="s">
        <v>1386</v>
      </c>
      <c r="AD7" s="975" t="s">
        <v>1378</v>
      </c>
      <c r="AE7" s="975" t="s">
        <v>1392</v>
      </c>
      <c r="AF7" s="975" t="s">
        <v>1337</v>
      </c>
      <c r="AG7" s="975" t="s">
        <v>1338</v>
      </c>
      <c r="AH7" s="975">
        <v>300.0</v>
      </c>
      <c r="AI7" s="975" t="s">
        <v>1394</v>
      </c>
    </row>
    <row r="8" ht="22.5" customHeight="1">
      <c r="A8" s="999" t="s">
        <v>226</v>
      </c>
      <c r="B8" s="999" t="s">
        <v>1314</v>
      </c>
      <c r="C8" s="999" t="s">
        <v>1384</v>
      </c>
      <c r="D8" s="999" t="s">
        <v>1317</v>
      </c>
      <c r="E8" s="999" t="s">
        <v>1385</v>
      </c>
      <c r="F8" s="999" t="s">
        <v>1386</v>
      </c>
      <c r="H8" s="1003" t="s">
        <v>1346</v>
      </c>
      <c r="I8" s="1003" t="s">
        <v>1397</v>
      </c>
      <c r="J8" s="1005" t="s">
        <v>276</v>
      </c>
      <c r="K8" s="1003" t="s">
        <v>1399</v>
      </c>
      <c r="L8" s="1005">
        <v>1.0</v>
      </c>
      <c r="M8" s="1003" t="s">
        <v>1400</v>
      </c>
      <c r="O8" s="978" t="s">
        <v>1372</v>
      </c>
      <c r="P8" s="980"/>
      <c r="Q8" s="980"/>
      <c r="R8" s="980"/>
      <c r="S8" s="980"/>
      <c r="T8" s="980"/>
      <c r="U8" s="260"/>
      <c r="V8" s="1007" t="s">
        <v>1360</v>
      </c>
      <c r="W8" s="1007" t="s">
        <v>1397</v>
      </c>
      <c r="X8" s="1007" t="s">
        <v>276</v>
      </c>
      <c r="Y8" s="1007" t="s">
        <v>1399</v>
      </c>
      <c r="Z8" s="1007">
        <v>1.0</v>
      </c>
      <c r="AA8" s="1007" t="s">
        <v>1405</v>
      </c>
      <c r="AD8" s="975" t="s">
        <v>1378</v>
      </c>
      <c r="AE8" s="975" t="s">
        <v>1408</v>
      </c>
      <c r="AF8" s="975" t="s">
        <v>1337</v>
      </c>
      <c r="AG8" s="975" t="s">
        <v>1338</v>
      </c>
      <c r="AH8" s="975">
        <v>10.0</v>
      </c>
      <c r="AI8" s="975" t="s">
        <v>1414</v>
      </c>
    </row>
    <row r="9" ht="22.5" customHeight="1">
      <c r="A9" s="1007" t="s">
        <v>1335</v>
      </c>
      <c r="B9" s="1007" t="s">
        <v>1397</v>
      </c>
      <c r="C9" s="1007" t="s">
        <v>276</v>
      </c>
      <c r="D9" s="1007" t="s">
        <v>1399</v>
      </c>
      <c r="E9" s="1007">
        <v>99.0</v>
      </c>
      <c r="F9" s="1007" t="s">
        <v>1417</v>
      </c>
      <c r="H9" s="1018" t="s">
        <v>1419</v>
      </c>
      <c r="I9" s="1019"/>
      <c r="J9" s="1019"/>
      <c r="K9" s="1019"/>
      <c r="L9" s="1019"/>
      <c r="M9" s="1019"/>
      <c r="O9" s="999" t="s">
        <v>226</v>
      </c>
      <c r="P9" s="999" t="s">
        <v>1314</v>
      </c>
      <c r="Q9" s="999" t="s">
        <v>1384</v>
      </c>
      <c r="R9" s="999" t="s">
        <v>1317</v>
      </c>
      <c r="S9" s="999" t="s">
        <v>1385</v>
      </c>
      <c r="T9" s="999" t="s">
        <v>1386</v>
      </c>
      <c r="U9" s="260"/>
      <c r="V9" s="1018" t="s">
        <v>1419</v>
      </c>
      <c r="W9" s="1019"/>
      <c r="X9" s="1019"/>
      <c r="Y9" s="1019"/>
      <c r="Z9" s="1019"/>
      <c r="AA9" s="1019"/>
      <c r="AD9" s="975" t="s">
        <v>1378</v>
      </c>
      <c r="AE9" s="975" t="s">
        <v>1439</v>
      </c>
      <c r="AF9" s="975" t="s">
        <v>1337</v>
      </c>
      <c r="AG9" s="975" t="s">
        <v>1441</v>
      </c>
      <c r="AH9" s="975">
        <v>30.0</v>
      </c>
      <c r="AI9" s="975" t="s">
        <v>1443</v>
      </c>
    </row>
    <row r="10" ht="22.5" customHeight="1">
      <c r="A10" s="1018" t="s">
        <v>1419</v>
      </c>
      <c r="B10" s="1019"/>
      <c r="C10" s="1019"/>
      <c r="D10" s="1019"/>
      <c r="E10" s="1019"/>
      <c r="F10" s="1019"/>
      <c r="H10" s="1027" t="s">
        <v>226</v>
      </c>
      <c r="I10" s="1027" t="s">
        <v>1314</v>
      </c>
      <c r="J10" s="1027" t="s">
        <v>1315</v>
      </c>
      <c r="K10" s="1027" t="s">
        <v>1317</v>
      </c>
      <c r="L10" s="1031" t="s">
        <v>1320</v>
      </c>
      <c r="M10" s="1027" t="s">
        <v>1323</v>
      </c>
      <c r="O10" s="1007" t="s">
        <v>1374</v>
      </c>
      <c r="P10" s="1007" t="s">
        <v>1397</v>
      </c>
      <c r="Q10" s="1007" t="s">
        <v>276</v>
      </c>
      <c r="R10" s="1007" t="s">
        <v>1399</v>
      </c>
      <c r="S10" s="1007">
        <v>1.0</v>
      </c>
      <c r="T10" s="1007" t="s">
        <v>1466</v>
      </c>
      <c r="U10" s="260"/>
      <c r="V10" s="1036" t="s">
        <v>226</v>
      </c>
      <c r="W10" s="1036" t="s">
        <v>1314</v>
      </c>
      <c r="X10" s="1036" t="s">
        <v>1315</v>
      </c>
      <c r="Y10" s="1036" t="s">
        <v>1317</v>
      </c>
      <c r="Z10" s="1036" t="s">
        <v>1320</v>
      </c>
      <c r="AA10" s="1036" t="s">
        <v>1323</v>
      </c>
      <c r="AD10" s="975" t="s">
        <v>1378</v>
      </c>
      <c r="AE10" s="975" t="s">
        <v>1478</v>
      </c>
      <c r="AF10" s="975" t="s">
        <v>1337</v>
      </c>
      <c r="AG10" s="975" t="s">
        <v>1441</v>
      </c>
      <c r="AH10" s="975">
        <v>30.0</v>
      </c>
      <c r="AI10" s="975" t="s">
        <v>1483</v>
      </c>
    </row>
    <row r="11" ht="22.5" customHeight="1">
      <c r="A11" s="1036" t="s">
        <v>226</v>
      </c>
      <c r="B11" s="1036" t="s">
        <v>1314</v>
      </c>
      <c r="C11" s="1036" t="s">
        <v>1315</v>
      </c>
      <c r="D11" s="1036" t="s">
        <v>1317</v>
      </c>
      <c r="E11" s="1036" t="s">
        <v>1320</v>
      </c>
      <c r="F11" s="1036" t="s">
        <v>1323</v>
      </c>
      <c r="H11" s="1042" t="s">
        <v>1494</v>
      </c>
      <c r="I11" s="1042" t="s">
        <v>1497</v>
      </c>
      <c r="J11" s="1042" t="s">
        <v>1337</v>
      </c>
      <c r="K11" s="1042" t="s">
        <v>1338</v>
      </c>
      <c r="L11" s="1044">
        <v>40.0</v>
      </c>
      <c r="M11" s="1042" t="s">
        <v>1498</v>
      </c>
      <c r="O11" s="1018" t="s">
        <v>1419</v>
      </c>
      <c r="P11" s="1019"/>
      <c r="Q11" s="1019"/>
      <c r="R11" s="1019"/>
      <c r="S11" s="1019"/>
      <c r="T11" s="1019"/>
      <c r="U11" s="260"/>
      <c r="V11" s="1048" t="s">
        <v>1501</v>
      </c>
      <c r="W11" s="1048" t="s">
        <v>1347</v>
      </c>
      <c r="X11" s="1048" t="s">
        <v>1337</v>
      </c>
      <c r="Y11" s="1048" t="s">
        <v>1338</v>
      </c>
      <c r="Z11" s="1048">
        <v>30.0</v>
      </c>
      <c r="AA11" s="1048" t="s">
        <v>1503</v>
      </c>
      <c r="AD11" s="975" t="s">
        <v>1378</v>
      </c>
      <c r="AE11" s="975" t="s">
        <v>1504</v>
      </c>
      <c r="AF11" s="975" t="s">
        <v>1337</v>
      </c>
      <c r="AG11" s="975" t="s">
        <v>1441</v>
      </c>
      <c r="AH11" s="975">
        <v>30.0</v>
      </c>
      <c r="AI11" s="975" t="s">
        <v>1505</v>
      </c>
    </row>
    <row r="12" ht="22.5" customHeight="1">
      <c r="A12" s="1048" t="s">
        <v>1506</v>
      </c>
      <c r="B12" s="1048" t="s">
        <v>1507</v>
      </c>
      <c r="C12" s="1048" t="s">
        <v>1337</v>
      </c>
      <c r="D12" s="1048" t="s">
        <v>1338</v>
      </c>
      <c r="E12" s="1048">
        <v>60.0</v>
      </c>
      <c r="F12" s="1048" t="s">
        <v>1511</v>
      </c>
      <c r="H12" s="1042" t="s">
        <v>1494</v>
      </c>
      <c r="I12" s="1042" t="s">
        <v>1512</v>
      </c>
      <c r="J12" s="1042" t="s">
        <v>1337</v>
      </c>
      <c r="K12" s="1042" t="s">
        <v>1338</v>
      </c>
      <c r="L12" s="1044" t="s">
        <v>1352</v>
      </c>
      <c r="M12" s="1042" t="s">
        <v>1514</v>
      </c>
      <c r="O12" s="1036" t="s">
        <v>226</v>
      </c>
      <c r="P12" s="1036" t="s">
        <v>1314</v>
      </c>
      <c r="Q12" s="1036" t="s">
        <v>1315</v>
      </c>
      <c r="R12" s="1036" t="s">
        <v>1317</v>
      </c>
      <c r="S12" s="1036" t="s">
        <v>1320</v>
      </c>
      <c r="T12" s="1036" t="s">
        <v>1323</v>
      </c>
      <c r="U12" s="260"/>
      <c r="V12" s="978" t="s">
        <v>1372</v>
      </c>
      <c r="W12" s="978"/>
      <c r="X12" s="978"/>
      <c r="Y12" s="978"/>
      <c r="Z12" s="978"/>
      <c r="AA12" s="978"/>
      <c r="AD12" s="978" t="s">
        <v>1372</v>
      </c>
      <c r="AE12" s="978"/>
      <c r="AF12" s="978"/>
      <c r="AG12" s="978"/>
      <c r="AH12" s="978"/>
      <c r="AI12" s="978"/>
    </row>
    <row r="13" ht="22.5" customHeight="1">
      <c r="A13" s="1048" t="s">
        <v>1506</v>
      </c>
      <c r="B13" s="1048" t="s">
        <v>1524</v>
      </c>
      <c r="C13" s="1048" t="s">
        <v>1337</v>
      </c>
      <c r="D13" s="1048" t="s">
        <v>1338</v>
      </c>
      <c r="E13" s="1048">
        <v>60.0</v>
      </c>
      <c r="F13" s="1048" t="s">
        <v>1525</v>
      </c>
      <c r="H13" s="1042" t="s">
        <v>1494</v>
      </c>
      <c r="I13" s="1042" t="s">
        <v>1526</v>
      </c>
      <c r="J13" s="1042" t="s">
        <v>1337</v>
      </c>
      <c r="K13" s="1042" t="s">
        <v>1338</v>
      </c>
      <c r="L13" s="1044">
        <v>40.0</v>
      </c>
      <c r="M13" s="1042" t="s">
        <v>1528</v>
      </c>
      <c r="O13" s="1048" t="s">
        <v>1529</v>
      </c>
      <c r="P13" s="1048" t="s">
        <v>1507</v>
      </c>
      <c r="Q13" s="1048" t="s">
        <v>1337</v>
      </c>
      <c r="R13" s="1048" t="s">
        <v>1338</v>
      </c>
      <c r="S13" s="1048">
        <v>50.0</v>
      </c>
      <c r="T13" s="1048" t="s">
        <v>1531</v>
      </c>
      <c r="U13" s="260"/>
      <c r="V13" s="999" t="s">
        <v>226</v>
      </c>
      <c r="W13" s="999" t="s">
        <v>1314</v>
      </c>
      <c r="X13" s="999" t="s">
        <v>1384</v>
      </c>
      <c r="Y13" s="999" t="s">
        <v>1317</v>
      </c>
      <c r="Z13" s="999" t="s">
        <v>1385</v>
      </c>
      <c r="AA13" s="999" t="s">
        <v>1386</v>
      </c>
      <c r="AD13" s="999" t="s">
        <v>226</v>
      </c>
      <c r="AE13" s="999" t="s">
        <v>1314</v>
      </c>
      <c r="AF13" s="999" t="s">
        <v>1384</v>
      </c>
      <c r="AG13" s="999" t="s">
        <v>1317</v>
      </c>
      <c r="AH13" s="999" t="s">
        <v>1385</v>
      </c>
      <c r="AI13" s="999" t="s">
        <v>1386</v>
      </c>
    </row>
    <row r="14" ht="22.5" customHeight="1">
      <c r="A14" s="978" t="s">
        <v>1372</v>
      </c>
      <c r="B14" s="978"/>
      <c r="C14" s="978"/>
      <c r="D14" s="978"/>
      <c r="E14" s="978"/>
      <c r="F14" s="978"/>
      <c r="H14" s="1042" t="s">
        <v>1494</v>
      </c>
      <c r="I14" s="1042" t="s">
        <v>1538</v>
      </c>
      <c r="J14" s="1042" t="s">
        <v>1539</v>
      </c>
      <c r="K14" s="1042" t="s">
        <v>1541</v>
      </c>
      <c r="L14" s="1044">
        <v>40.0</v>
      </c>
      <c r="M14" s="1042" t="s">
        <v>1542</v>
      </c>
      <c r="O14" s="1048" t="s">
        <v>1543</v>
      </c>
      <c r="P14" s="1048" t="s">
        <v>1544</v>
      </c>
      <c r="Q14" s="1048" t="s">
        <v>1337</v>
      </c>
      <c r="R14" s="1048" t="s">
        <v>1338</v>
      </c>
      <c r="S14" s="1048">
        <v>40.0</v>
      </c>
      <c r="T14" s="1048" t="s">
        <v>1545</v>
      </c>
      <c r="U14" s="260"/>
      <c r="V14" s="1007" t="s">
        <v>1501</v>
      </c>
      <c r="W14" s="1007" t="s">
        <v>1397</v>
      </c>
      <c r="X14" s="1007" t="s">
        <v>276</v>
      </c>
      <c r="Y14" s="1007" t="s">
        <v>1399</v>
      </c>
      <c r="Z14" s="1007">
        <v>1.0</v>
      </c>
      <c r="AA14" s="1007" t="s">
        <v>1551</v>
      </c>
      <c r="AD14" s="1007" t="s">
        <v>1378</v>
      </c>
      <c r="AE14" s="1007" t="s">
        <v>1397</v>
      </c>
      <c r="AF14" s="1007" t="s">
        <v>276</v>
      </c>
      <c r="AG14" s="1007" t="s">
        <v>1399</v>
      </c>
      <c r="AH14" s="1007">
        <v>99.0</v>
      </c>
      <c r="AI14" s="1007" t="s">
        <v>1553</v>
      </c>
    </row>
    <row r="15" ht="22.5" customHeight="1">
      <c r="A15" s="999" t="s">
        <v>226</v>
      </c>
      <c r="B15" s="999" t="s">
        <v>1314</v>
      </c>
      <c r="C15" s="999" t="s">
        <v>1384</v>
      </c>
      <c r="D15" s="999" t="s">
        <v>1317</v>
      </c>
      <c r="E15" s="999" t="s">
        <v>1385</v>
      </c>
      <c r="F15" s="999" t="s">
        <v>1386</v>
      </c>
      <c r="H15" s="978" t="s">
        <v>1372</v>
      </c>
      <c r="I15" s="978"/>
      <c r="J15" s="978"/>
      <c r="K15" s="978"/>
      <c r="L15" s="978"/>
      <c r="M15" s="978"/>
      <c r="O15" s="1048" t="s">
        <v>1543</v>
      </c>
      <c r="P15" s="1048" t="s">
        <v>1556</v>
      </c>
      <c r="Q15" s="1048" t="s">
        <v>1337</v>
      </c>
      <c r="R15" s="1048" t="s">
        <v>1338</v>
      </c>
      <c r="S15" s="1048">
        <v>50.0</v>
      </c>
      <c r="T15" s="1048" t="s">
        <v>1557</v>
      </c>
      <c r="U15" s="260"/>
      <c r="V15" s="1063" t="s">
        <v>1558</v>
      </c>
      <c r="W15" s="974"/>
      <c r="X15" s="974"/>
      <c r="Y15" s="974"/>
      <c r="Z15" s="974"/>
      <c r="AA15" s="974"/>
      <c r="AD15" s="1064" t="s">
        <v>1419</v>
      </c>
      <c r="AE15" s="1066"/>
      <c r="AF15" s="1066"/>
      <c r="AG15" s="1066"/>
      <c r="AH15" s="1066"/>
      <c r="AI15" s="1066"/>
    </row>
    <row r="16" ht="22.5" customHeight="1">
      <c r="A16" s="1007" t="s">
        <v>1506</v>
      </c>
      <c r="B16" s="1007" t="s">
        <v>1397</v>
      </c>
      <c r="C16" s="1007" t="s">
        <v>276</v>
      </c>
      <c r="D16" s="1007" t="s">
        <v>1399</v>
      </c>
      <c r="E16" s="1007">
        <v>99.0</v>
      </c>
      <c r="F16" s="1007" t="s">
        <v>1565</v>
      </c>
      <c r="H16" s="1071" t="s">
        <v>226</v>
      </c>
      <c r="I16" s="1071" t="s">
        <v>1314</v>
      </c>
      <c r="J16" s="1073" t="s">
        <v>1384</v>
      </c>
      <c r="K16" s="1071" t="s">
        <v>1317</v>
      </c>
      <c r="L16" s="1073" t="s">
        <v>1385</v>
      </c>
      <c r="M16" s="1071" t="s">
        <v>1386</v>
      </c>
      <c r="O16" s="1048" t="s">
        <v>1543</v>
      </c>
      <c r="P16" s="1048" t="s">
        <v>1570</v>
      </c>
      <c r="Q16" s="1048" t="s">
        <v>1337</v>
      </c>
      <c r="R16" s="1048" t="s">
        <v>1338</v>
      </c>
      <c r="S16" s="1048">
        <v>70.0</v>
      </c>
      <c r="T16" s="1048" t="s">
        <v>1573</v>
      </c>
      <c r="U16" s="260"/>
      <c r="V16" s="1078" t="s">
        <v>226</v>
      </c>
      <c r="W16" s="1078" t="s">
        <v>1314</v>
      </c>
      <c r="X16" s="1078" t="s">
        <v>1315</v>
      </c>
      <c r="Y16" s="1080" t="s">
        <v>1582</v>
      </c>
      <c r="Z16" s="1078" t="s">
        <v>1320</v>
      </c>
      <c r="AA16" s="1078" t="s">
        <v>1323</v>
      </c>
      <c r="AD16" s="1082" t="s">
        <v>1372</v>
      </c>
      <c r="AE16" s="1083"/>
      <c r="AF16" s="1083"/>
      <c r="AG16" s="1083"/>
      <c r="AH16" s="1083"/>
      <c r="AI16" s="1083"/>
    </row>
    <row r="17" ht="22.5" customHeight="1">
      <c r="A17" s="1063" t="s">
        <v>1558</v>
      </c>
      <c r="B17" s="974"/>
      <c r="C17" s="974"/>
      <c r="D17" s="974"/>
      <c r="E17" s="974"/>
      <c r="F17" s="974"/>
      <c r="H17" s="1091" t="s">
        <v>1494</v>
      </c>
      <c r="I17" s="1091" t="s">
        <v>1397</v>
      </c>
      <c r="J17" s="1093" t="s">
        <v>276</v>
      </c>
      <c r="K17" s="1091" t="s">
        <v>1399</v>
      </c>
      <c r="L17" s="1093">
        <v>1.0</v>
      </c>
      <c r="M17" s="1091" t="s">
        <v>1598</v>
      </c>
      <c r="O17" s="1048" t="s">
        <v>1543</v>
      </c>
      <c r="P17" s="1048" t="s">
        <v>1600</v>
      </c>
      <c r="Q17" s="1048" t="s">
        <v>1601</v>
      </c>
      <c r="R17" s="1048" t="s">
        <v>1338</v>
      </c>
      <c r="S17" s="1048">
        <v>50.0</v>
      </c>
      <c r="T17" s="1048" t="s">
        <v>1606</v>
      </c>
      <c r="U17" s="260"/>
      <c r="V17" s="1080" t="s">
        <v>1609</v>
      </c>
      <c r="W17" s="1080" t="s">
        <v>1379</v>
      </c>
      <c r="X17" s="1080" t="s">
        <v>1337</v>
      </c>
      <c r="Y17" s="1080" t="s">
        <v>1338</v>
      </c>
      <c r="Z17" s="1080">
        <v>60.0</v>
      </c>
      <c r="AA17" s="1080" t="s">
        <v>1611</v>
      </c>
      <c r="AD17" s="969" t="s">
        <v>226</v>
      </c>
      <c r="AE17" s="969" t="s">
        <v>1314</v>
      </c>
      <c r="AF17" s="969" t="s">
        <v>1315</v>
      </c>
      <c r="AG17" s="969" t="s">
        <v>1317</v>
      </c>
      <c r="AH17" s="969" t="s">
        <v>1320</v>
      </c>
      <c r="AI17" s="969" t="s">
        <v>1323</v>
      </c>
    </row>
    <row r="18" ht="22.5" customHeight="1">
      <c r="A18" s="1078" t="s">
        <v>226</v>
      </c>
      <c r="B18" s="1078" t="s">
        <v>1314</v>
      </c>
      <c r="C18" s="1078" t="s">
        <v>1315</v>
      </c>
      <c r="D18" s="1080" t="s">
        <v>1582</v>
      </c>
      <c r="E18" s="1078" t="s">
        <v>1320</v>
      </c>
      <c r="F18" s="1078" t="s">
        <v>1323</v>
      </c>
      <c r="H18" s="1063" t="s">
        <v>1558</v>
      </c>
      <c r="I18" s="974"/>
      <c r="J18" s="974"/>
      <c r="K18" s="974"/>
      <c r="L18" s="974"/>
      <c r="M18" s="974"/>
      <c r="O18" s="978" t="s">
        <v>1372</v>
      </c>
      <c r="P18" s="978"/>
      <c r="Q18" s="978"/>
      <c r="R18" s="978"/>
      <c r="S18" s="978"/>
      <c r="T18" s="978"/>
      <c r="U18" s="260"/>
      <c r="V18" s="1080" t="s">
        <v>1609</v>
      </c>
      <c r="W18" s="1080" t="s">
        <v>1629</v>
      </c>
      <c r="X18" s="1080" t="s">
        <v>1337</v>
      </c>
      <c r="Y18" s="1080" t="s">
        <v>1338</v>
      </c>
      <c r="Z18" s="1080">
        <v>60.0</v>
      </c>
      <c r="AA18" s="1080" t="s">
        <v>1630</v>
      </c>
      <c r="AD18" s="975" t="s">
        <v>1631</v>
      </c>
      <c r="AE18" s="975" t="s">
        <v>1507</v>
      </c>
      <c r="AF18" s="975" t="s">
        <v>1337</v>
      </c>
      <c r="AG18" s="975" t="s">
        <v>1338</v>
      </c>
      <c r="AH18" s="975">
        <v>30.0</v>
      </c>
      <c r="AI18" s="975" t="s">
        <v>1636</v>
      </c>
    </row>
    <row r="19" ht="22.5" customHeight="1">
      <c r="A19" s="1080" t="s">
        <v>1638</v>
      </c>
      <c r="B19" s="1112" t="s">
        <v>1639</v>
      </c>
      <c r="C19" s="1080" t="s">
        <v>1337</v>
      </c>
      <c r="D19" s="1080" t="s">
        <v>1338</v>
      </c>
      <c r="E19" s="1080">
        <v>50.0</v>
      </c>
      <c r="F19" s="1080" t="s">
        <v>1645</v>
      </c>
      <c r="H19" s="1113" t="s">
        <v>226</v>
      </c>
      <c r="I19" s="1113" t="s">
        <v>1314</v>
      </c>
      <c r="J19" s="1113" t="s">
        <v>1315</v>
      </c>
      <c r="K19" s="1113" t="s">
        <v>1317</v>
      </c>
      <c r="L19" s="1113" t="s">
        <v>1320</v>
      </c>
      <c r="M19" s="1113" t="s">
        <v>1323</v>
      </c>
      <c r="O19" s="999" t="s">
        <v>226</v>
      </c>
      <c r="P19" s="999" t="s">
        <v>1314</v>
      </c>
      <c r="Q19" s="999" t="s">
        <v>1384</v>
      </c>
      <c r="R19" s="999" t="s">
        <v>1317</v>
      </c>
      <c r="S19" s="999" t="s">
        <v>1385</v>
      </c>
      <c r="T19" s="999" t="s">
        <v>1386</v>
      </c>
      <c r="U19" s="260"/>
      <c r="V19" s="1080" t="s">
        <v>1609</v>
      </c>
      <c r="W19" s="1080" t="s">
        <v>1657</v>
      </c>
      <c r="X19" s="1080" t="s">
        <v>1337</v>
      </c>
      <c r="Y19" s="1080" t="s">
        <v>1338</v>
      </c>
      <c r="Z19" s="1080">
        <v>60.0</v>
      </c>
      <c r="AA19" s="1080" t="s">
        <v>1662</v>
      </c>
      <c r="AD19" s="975" t="s">
        <v>1631</v>
      </c>
      <c r="AE19" s="975" t="s">
        <v>1665</v>
      </c>
      <c r="AF19" s="975" t="s">
        <v>1337</v>
      </c>
      <c r="AG19" s="975" t="s">
        <v>1338</v>
      </c>
      <c r="AH19" s="975">
        <v>20.0</v>
      </c>
      <c r="AI19" s="975" t="s">
        <v>1668</v>
      </c>
    </row>
    <row r="20" ht="22.5" customHeight="1">
      <c r="A20" s="1080" t="s">
        <v>1638</v>
      </c>
      <c r="B20" s="1080" t="s">
        <v>1670</v>
      </c>
      <c r="C20" s="1080" t="s">
        <v>1337</v>
      </c>
      <c r="D20" s="1080" t="s">
        <v>1338</v>
      </c>
      <c r="E20" s="1080" t="s">
        <v>1672</v>
      </c>
      <c r="F20" s="1080" t="s">
        <v>1673</v>
      </c>
      <c r="H20" s="1119" t="s">
        <v>1674</v>
      </c>
      <c r="I20" s="1119" t="s">
        <v>1507</v>
      </c>
      <c r="J20" s="1119" t="s">
        <v>1337</v>
      </c>
      <c r="K20" s="1119" t="s">
        <v>1338</v>
      </c>
      <c r="L20" s="1119">
        <v>40.0</v>
      </c>
      <c r="M20" s="1119" t="s">
        <v>1681</v>
      </c>
      <c r="O20" s="1007" t="s">
        <v>1543</v>
      </c>
      <c r="P20" s="1007" t="s">
        <v>1397</v>
      </c>
      <c r="Q20" s="1007" t="s">
        <v>276</v>
      </c>
      <c r="R20" s="1007" t="s">
        <v>1399</v>
      </c>
      <c r="S20" s="1007">
        <v>1.0</v>
      </c>
      <c r="T20" s="1007" t="s">
        <v>1686</v>
      </c>
      <c r="U20" s="260"/>
      <c r="V20" s="1080" t="s">
        <v>1609</v>
      </c>
      <c r="W20" s="1080" t="s">
        <v>1687</v>
      </c>
      <c r="X20" s="1080" t="s">
        <v>1688</v>
      </c>
      <c r="Y20" s="1080" t="s">
        <v>1338</v>
      </c>
      <c r="Z20" s="1080">
        <v>60.0</v>
      </c>
      <c r="AA20" s="1080" t="s">
        <v>1662</v>
      </c>
      <c r="AD20" s="975" t="s">
        <v>1631</v>
      </c>
      <c r="AE20" s="975" t="s">
        <v>1692</v>
      </c>
      <c r="AF20" s="975" t="s">
        <v>1337</v>
      </c>
      <c r="AG20" s="975" t="s">
        <v>1338</v>
      </c>
      <c r="AH20" s="975">
        <v>20.0</v>
      </c>
      <c r="AI20" s="975" t="s">
        <v>1693</v>
      </c>
    </row>
    <row r="21" ht="22.5" customHeight="1">
      <c r="A21" s="1080" t="s">
        <v>1638</v>
      </c>
      <c r="B21" s="1080" t="s">
        <v>1697</v>
      </c>
      <c r="C21" s="1080" t="s">
        <v>1337</v>
      </c>
      <c r="D21" s="1080" t="s">
        <v>1338</v>
      </c>
      <c r="E21" s="1080">
        <v>70.0</v>
      </c>
      <c r="F21" s="1080" t="s">
        <v>1699</v>
      </c>
      <c r="H21" s="1119" t="s">
        <v>1674</v>
      </c>
      <c r="I21" s="1119" t="s">
        <v>1544</v>
      </c>
      <c r="J21" s="1119" t="s">
        <v>1337</v>
      </c>
      <c r="K21" s="1119" t="s">
        <v>1338</v>
      </c>
      <c r="L21" s="1119" t="s">
        <v>1352</v>
      </c>
      <c r="M21" s="1119" t="s">
        <v>1705</v>
      </c>
      <c r="O21" s="1063" t="s">
        <v>1558</v>
      </c>
      <c r="P21" s="974"/>
      <c r="Q21" s="974"/>
      <c r="R21" s="974"/>
      <c r="S21" s="974"/>
      <c r="T21" s="974"/>
      <c r="U21" s="260"/>
      <c r="V21" s="1080" t="s">
        <v>1609</v>
      </c>
      <c r="W21" s="1080" t="s">
        <v>1711</v>
      </c>
      <c r="X21" s="1080" t="s">
        <v>1688</v>
      </c>
      <c r="Y21" s="1080" t="s">
        <v>1338</v>
      </c>
      <c r="Z21" s="1080">
        <v>60.0</v>
      </c>
      <c r="AA21" s="1080" t="s">
        <v>1713</v>
      </c>
      <c r="AD21" s="975" t="s">
        <v>1631</v>
      </c>
      <c r="AE21" s="975" t="s">
        <v>1717</v>
      </c>
      <c r="AF21" s="975" t="s">
        <v>1337</v>
      </c>
      <c r="AG21" s="975" t="s">
        <v>1441</v>
      </c>
      <c r="AH21" s="975">
        <v>30.0</v>
      </c>
      <c r="AI21" s="975" t="s">
        <v>1718</v>
      </c>
    </row>
    <row r="22" ht="22.5" customHeight="1">
      <c r="A22" s="1080" t="s">
        <v>1638</v>
      </c>
      <c r="B22" s="1080" t="s">
        <v>1720</v>
      </c>
      <c r="C22" s="1080" t="s">
        <v>1337</v>
      </c>
      <c r="D22" s="1080" t="s">
        <v>1338</v>
      </c>
      <c r="E22" s="1080">
        <v>50.0</v>
      </c>
      <c r="F22" s="1080" t="s">
        <v>1726</v>
      </c>
      <c r="H22" s="1119" t="s">
        <v>1674</v>
      </c>
      <c r="I22" s="1119" t="s">
        <v>1556</v>
      </c>
      <c r="J22" s="1119" t="s">
        <v>1337</v>
      </c>
      <c r="K22" s="1119" t="s">
        <v>1338</v>
      </c>
      <c r="L22" s="1119">
        <v>40.0</v>
      </c>
      <c r="M22" s="1119" t="s">
        <v>1731</v>
      </c>
      <c r="O22" s="1078" t="s">
        <v>226</v>
      </c>
      <c r="P22" s="1078" t="s">
        <v>1314</v>
      </c>
      <c r="Q22" s="1078" t="s">
        <v>1315</v>
      </c>
      <c r="R22" s="1080" t="s">
        <v>1582</v>
      </c>
      <c r="S22" s="1078" t="s">
        <v>1320</v>
      </c>
      <c r="T22" s="1078" t="s">
        <v>1323</v>
      </c>
      <c r="U22" s="260"/>
      <c r="V22" s="1082" t="s">
        <v>1372</v>
      </c>
      <c r="W22" s="1083"/>
      <c r="X22" s="1083"/>
      <c r="Y22" s="1083"/>
      <c r="Z22" s="1083"/>
      <c r="AA22" s="1083"/>
      <c r="AD22" s="975" t="s">
        <v>1741</v>
      </c>
      <c r="AE22" s="975" t="s">
        <v>1742</v>
      </c>
      <c r="AF22" s="975" t="s">
        <v>1337</v>
      </c>
      <c r="AG22" s="975" t="s">
        <v>1338</v>
      </c>
      <c r="AH22" s="975">
        <v>20.0</v>
      </c>
      <c r="AI22" s="975" t="s">
        <v>1414</v>
      </c>
    </row>
    <row r="23" ht="22.5" customHeight="1">
      <c r="A23" s="1080" t="s">
        <v>1638</v>
      </c>
      <c r="B23" s="1080" t="s">
        <v>1746</v>
      </c>
      <c r="C23" s="1080" t="s">
        <v>1337</v>
      </c>
      <c r="D23" s="1080" t="s">
        <v>1338</v>
      </c>
      <c r="E23" s="1080">
        <v>50.0</v>
      </c>
      <c r="F23" s="1080" t="s">
        <v>1750</v>
      </c>
      <c r="H23" s="1119" t="s">
        <v>1674</v>
      </c>
      <c r="I23" s="1119" t="s">
        <v>1367</v>
      </c>
      <c r="J23" s="1119" t="s">
        <v>1337</v>
      </c>
      <c r="K23" s="1119" t="s">
        <v>1338</v>
      </c>
      <c r="L23" s="1119" t="s">
        <v>1755</v>
      </c>
      <c r="M23" s="1119" t="s">
        <v>1759</v>
      </c>
      <c r="O23" s="1080" t="s">
        <v>1761</v>
      </c>
      <c r="P23" s="1080" t="s">
        <v>1336</v>
      </c>
      <c r="Q23" s="1080" t="s">
        <v>1337</v>
      </c>
      <c r="R23" s="1080" t="s">
        <v>1338</v>
      </c>
      <c r="S23" s="1080">
        <v>60.0</v>
      </c>
      <c r="T23" s="1080" t="s">
        <v>1765</v>
      </c>
      <c r="U23" s="260"/>
      <c r="V23" s="999" t="s">
        <v>226</v>
      </c>
      <c r="W23" s="999" t="s">
        <v>1314</v>
      </c>
      <c r="X23" s="999" t="s">
        <v>1384</v>
      </c>
      <c r="Y23" s="999" t="s">
        <v>1317</v>
      </c>
      <c r="Z23" s="999" t="s">
        <v>1385</v>
      </c>
      <c r="AA23" s="999" t="s">
        <v>1386</v>
      </c>
      <c r="AD23" s="978" t="s">
        <v>1372</v>
      </c>
      <c r="AE23" s="978"/>
      <c r="AF23" s="978"/>
      <c r="AG23" s="978"/>
      <c r="AH23" s="978"/>
      <c r="AI23" s="978"/>
    </row>
    <row r="24" ht="22.5" customHeight="1">
      <c r="A24" s="1080" t="s">
        <v>1638</v>
      </c>
      <c r="B24" s="1080" t="s">
        <v>1773</v>
      </c>
      <c r="C24" s="1080" t="s">
        <v>1337</v>
      </c>
      <c r="D24" s="1080" t="s">
        <v>1338</v>
      </c>
      <c r="E24" s="1080" t="s">
        <v>1776</v>
      </c>
      <c r="F24" s="1080" t="s">
        <v>1779</v>
      </c>
      <c r="H24" s="1082" t="s">
        <v>1372</v>
      </c>
      <c r="I24" s="1083"/>
      <c r="J24" s="1083"/>
      <c r="K24" s="1083"/>
      <c r="L24" s="1083"/>
      <c r="M24" s="1083"/>
      <c r="O24" s="1080" t="s">
        <v>1761</v>
      </c>
      <c r="P24" s="1080" t="s">
        <v>1786</v>
      </c>
      <c r="Q24" s="1080" t="s">
        <v>1787</v>
      </c>
      <c r="R24" s="1080" t="s">
        <v>1338</v>
      </c>
      <c r="S24" s="1080">
        <v>60.0</v>
      </c>
      <c r="T24" s="1080" t="s">
        <v>1765</v>
      </c>
      <c r="U24" s="260"/>
      <c r="V24" s="1007" t="s">
        <v>1609</v>
      </c>
      <c r="W24" s="1007" t="s">
        <v>1397</v>
      </c>
      <c r="X24" s="1007" t="s">
        <v>276</v>
      </c>
      <c r="Y24" s="1007" t="s">
        <v>1399</v>
      </c>
      <c r="Z24" s="1007">
        <v>1.0</v>
      </c>
      <c r="AA24" s="1007" t="s">
        <v>1796</v>
      </c>
      <c r="AD24" s="969" t="s">
        <v>226</v>
      </c>
      <c r="AE24" s="969" t="s">
        <v>1314</v>
      </c>
      <c r="AF24" s="969" t="s">
        <v>1384</v>
      </c>
      <c r="AG24" s="969" t="s">
        <v>1317</v>
      </c>
      <c r="AH24" s="969" t="s">
        <v>1385</v>
      </c>
      <c r="AI24" s="969" t="s">
        <v>1386</v>
      </c>
    </row>
    <row r="25" ht="22.5" customHeight="1">
      <c r="A25" s="1080" t="s">
        <v>1638</v>
      </c>
      <c r="B25" s="1080" t="s">
        <v>1805</v>
      </c>
      <c r="C25" s="1080" t="s">
        <v>1337</v>
      </c>
      <c r="D25" s="1080" t="s">
        <v>1338</v>
      </c>
      <c r="E25" s="1080">
        <v>70.0</v>
      </c>
      <c r="F25" s="1080" t="s">
        <v>1811</v>
      </c>
      <c r="H25" s="1071" t="s">
        <v>226</v>
      </c>
      <c r="I25" s="1071" t="s">
        <v>1314</v>
      </c>
      <c r="J25" s="1073" t="s">
        <v>1384</v>
      </c>
      <c r="K25" s="1071" t="s">
        <v>1317</v>
      </c>
      <c r="L25" s="1073" t="s">
        <v>1385</v>
      </c>
      <c r="M25" s="1071" t="s">
        <v>1386</v>
      </c>
      <c r="O25" s="1080" t="s">
        <v>1761</v>
      </c>
      <c r="P25" s="1080" t="s">
        <v>1822</v>
      </c>
      <c r="Q25" s="1080" t="s">
        <v>1787</v>
      </c>
      <c r="R25" s="1080" t="s">
        <v>1338</v>
      </c>
      <c r="S25" s="1080">
        <v>60.0</v>
      </c>
      <c r="T25" s="1080" t="s">
        <v>1826</v>
      </c>
      <c r="U25" s="260"/>
      <c r="V25" s="967" t="s">
        <v>1828</v>
      </c>
      <c r="W25" s="968"/>
      <c r="X25" s="968"/>
      <c r="Y25" s="968"/>
      <c r="Z25" s="968"/>
      <c r="AA25" s="968"/>
      <c r="AD25" s="975" t="s">
        <v>1631</v>
      </c>
      <c r="AE25" s="975" t="s">
        <v>1397</v>
      </c>
      <c r="AF25" s="975" t="s">
        <v>276</v>
      </c>
      <c r="AG25" s="975" t="s">
        <v>1399</v>
      </c>
      <c r="AH25" s="975">
        <v>99.0</v>
      </c>
      <c r="AI25" s="975" t="s">
        <v>1838</v>
      </c>
    </row>
    <row r="26" ht="22.5" customHeight="1">
      <c r="A26" s="1080" t="s">
        <v>1638</v>
      </c>
      <c r="B26" s="1080" t="s">
        <v>1840</v>
      </c>
      <c r="C26" s="1080" t="s">
        <v>1787</v>
      </c>
      <c r="D26" s="1080" t="s">
        <v>1338</v>
      </c>
      <c r="E26" s="1080">
        <v>70.0</v>
      </c>
      <c r="F26" s="1080" t="s">
        <v>1844</v>
      </c>
      <c r="H26" s="1091" t="s">
        <v>1494</v>
      </c>
      <c r="I26" s="1091" t="s">
        <v>1397</v>
      </c>
      <c r="J26" s="1093" t="s">
        <v>276</v>
      </c>
      <c r="K26" s="1091" t="s">
        <v>1399</v>
      </c>
      <c r="L26" s="1093">
        <v>1.0</v>
      </c>
      <c r="M26" s="1091" t="s">
        <v>1598</v>
      </c>
      <c r="O26" s="1082" t="s">
        <v>1372</v>
      </c>
      <c r="P26" s="1083"/>
      <c r="Q26" s="1083"/>
      <c r="R26" s="1083"/>
      <c r="S26" s="1083"/>
      <c r="T26" s="1083"/>
      <c r="U26" s="260"/>
      <c r="V26" s="969" t="s">
        <v>226</v>
      </c>
      <c r="W26" s="969" t="s">
        <v>1314</v>
      </c>
      <c r="X26" s="969" t="s">
        <v>1315</v>
      </c>
      <c r="Y26" s="969" t="s">
        <v>1317</v>
      </c>
      <c r="Z26" s="969" t="s">
        <v>1320</v>
      </c>
      <c r="AA26" s="969" t="s">
        <v>1323</v>
      </c>
      <c r="AD26" s="1170" t="s">
        <v>1857</v>
      </c>
      <c r="AE26" s="1170"/>
      <c r="AF26" s="1170"/>
      <c r="AG26" s="1170"/>
      <c r="AH26" s="1170"/>
      <c r="AI26" s="1170"/>
    </row>
    <row r="27" ht="22.5" customHeight="1">
      <c r="A27" s="1082" t="s">
        <v>1372</v>
      </c>
      <c r="B27" s="1083"/>
      <c r="C27" s="1083"/>
      <c r="D27" s="1083"/>
      <c r="E27" s="1083"/>
      <c r="F27" s="1083"/>
      <c r="H27" s="967" t="s">
        <v>1828</v>
      </c>
      <c r="I27" s="968"/>
      <c r="J27" s="968"/>
      <c r="K27" s="968"/>
      <c r="L27" s="968"/>
      <c r="M27" s="968"/>
      <c r="O27" s="999" t="s">
        <v>226</v>
      </c>
      <c r="P27" s="999" t="s">
        <v>1314</v>
      </c>
      <c r="Q27" s="999" t="s">
        <v>1384</v>
      </c>
      <c r="R27" s="999" t="s">
        <v>1317</v>
      </c>
      <c r="S27" s="999" t="s">
        <v>1385</v>
      </c>
      <c r="T27" s="999" t="s">
        <v>1386</v>
      </c>
      <c r="U27" s="260"/>
      <c r="V27" s="975" t="s">
        <v>1864</v>
      </c>
      <c r="W27" s="975" t="s">
        <v>1507</v>
      </c>
      <c r="X27" s="975" t="s">
        <v>1337</v>
      </c>
      <c r="Y27" s="975" t="s">
        <v>1338</v>
      </c>
      <c r="Z27" s="975">
        <v>30.0</v>
      </c>
      <c r="AA27" s="975" t="s">
        <v>1865</v>
      </c>
      <c r="AD27" s="969" t="s">
        <v>545</v>
      </c>
      <c r="AE27" s="969" t="s">
        <v>1314</v>
      </c>
      <c r="AF27" s="969" t="s">
        <v>1315</v>
      </c>
      <c r="AG27" s="969" t="s">
        <v>1317</v>
      </c>
      <c r="AH27" s="969" t="s">
        <v>1385</v>
      </c>
      <c r="AI27" s="969" t="s">
        <v>1386</v>
      </c>
    </row>
    <row r="28" ht="22.5" customHeight="1">
      <c r="A28" s="999" t="s">
        <v>226</v>
      </c>
      <c r="B28" s="999" t="s">
        <v>1314</v>
      </c>
      <c r="C28" s="999" t="s">
        <v>1384</v>
      </c>
      <c r="D28" s="999" t="s">
        <v>1317</v>
      </c>
      <c r="E28" s="999" t="s">
        <v>1385</v>
      </c>
      <c r="F28" s="999" t="s">
        <v>1386</v>
      </c>
      <c r="H28" s="1174" t="s">
        <v>226</v>
      </c>
      <c r="I28" s="1174" t="s">
        <v>1314</v>
      </c>
      <c r="J28" s="1174" t="s">
        <v>1315</v>
      </c>
      <c r="K28" s="1174" t="s">
        <v>1317</v>
      </c>
      <c r="L28" s="1176" t="s">
        <v>1320</v>
      </c>
      <c r="M28" s="1174" t="s">
        <v>1323</v>
      </c>
      <c r="O28" s="1007" t="s">
        <v>1761</v>
      </c>
      <c r="P28" s="1007" t="s">
        <v>1397</v>
      </c>
      <c r="Q28" s="1007" t="s">
        <v>276</v>
      </c>
      <c r="R28" s="1007" t="s">
        <v>1399</v>
      </c>
      <c r="S28" s="1007">
        <v>99.0</v>
      </c>
      <c r="T28" s="1007" t="s">
        <v>1796</v>
      </c>
      <c r="U28" s="260"/>
      <c r="V28" s="975" t="s">
        <v>1864</v>
      </c>
      <c r="W28" s="975" t="s">
        <v>1544</v>
      </c>
      <c r="X28" s="975" t="s">
        <v>1337</v>
      </c>
      <c r="Y28" s="975" t="s">
        <v>1338</v>
      </c>
      <c r="Z28" s="975">
        <v>30.0</v>
      </c>
      <c r="AA28" s="975" t="s">
        <v>1888</v>
      </c>
      <c r="AD28" s="975" t="s">
        <v>1889</v>
      </c>
      <c r="AE28" s="975" t="s">
        <v>1890</v>
      </c>
      <c r="AF28" s="975" t="s">
        <v>1337</v>
      </c>
      <c r="AG28" s="975" t="s">
        <v>1891</v>
      </c>
      <c r="AH28" s="975">
        <v>30.0</v>
      </c>
      <c r="AI28" s="975">
        <v>30.0</v>
      </c>
    </row>
    <row r="29" ht="22.5" customHeight="1">
      <c r="A29" s="1007" t="s">
        <v>1638</v>
      </c>
      <c r="B29" s="1007" t="s">
        <v>1397</v>
      </c>
      <c r="C29" s="1007" t="s">
        <v>276</v>
      </c>
      <c r="D29" s="1007" t="s">
        <v>1399</v>
      </c>
      <c r="E29" s="1007">
        <v>1.0</v>
      </c>
      <c r="F29" s="1007" t="s">
        <v>1895</v>
      </c>
      <c r="H29" s="1180" t="s">
        <v>1674</v>
      </c>
      <c r="I29" s="1180" t="s">
        <v>1379</v>
      </c>
      <c r="J29" s="1180" t="s">
        <v>1337</v>
      </c>
      <c r="K29" s="1180" t="s">
        <v>1338</v>
      </c>
      <c r="L29" s="1181">
        <v>60.0</v>
      </c>
      <c r="M29" s="1180" t="s">
        <v>1899</v>
      </c>
      <c r="V29" s="975" t="s">
        <v>1864</v>
      </c>
      <c r="W29" s="975" t="s">
        <v>1900</v>
      </c>
      <c r="X29" s="975" t="s">
        <v>1337</v>
      </c>
      <c r="Y29" s="975" t="s">
        <v>1338</v>
      </c>
      <c r="Z29" s="975">
        <v>20.0</v>
      </c>
      <c r="AA29" s="975" t="s">
        <v>1903</v>
      </c>
      <c r="AD29" s="975" t="s">
        <v>1905</v>
      </c>
      <c r="AE29" s="975" t="s">
        <v>1890</v>
      </c>
      <c r="AF29" s="975" t="s">
        <v>1337</v>
      </c>
      <c r="AG29" s="975" t="s">
        <v>1891</v>
      </c>
      <c r="AH29" s="975">
        <v>30.0</v>
      </c>
      <c r="AI29" s="975" t="s">
        <v>1906</v>
      </c>
    </row>
    <row r="30" ht="22.5" customHeight="1">
      <c r="H30" s="1180" t="s">
        <v>1674</v>
      </c>
      <c r="I30" s="1180" t="s">
        <v>1908</v>
      </c>
      <c r="J30" s="1180" t="s">
        <v>1337</v>
      </c>
      <c r="K30" s="1180" t="s">
        <v>1338</v>
      </c>
      <c r="L30" s="1181">
        <v>60.0</v>
      </c>
      <c r="M30" s="1180" t="s">
        <v>1909</v>
      </c>
      <c r="V30" s="975" t="s">
        <v>1864</v>
      </c>
      <c r="W30" s="975" t="s">
        <v>1910</v>
      </c>
      <c r="X30" s="975" t="s">
        <v>1337</v>
      </c>
      <c r="Y30" s="975" t="s">
        <v>1338</v>
      </c>
      <c r="Z30" s="975">
        <v>30.0</v>
      </c>
      <c r="AA30" s="975" t="s">
        <v>1912</v>
      </c>
      <c r="AD30" s="975" t="s">
        <v>1914</v>
      </c>
      <c r="AE30" s="975" t="s">
        <v>1890</v>
      </c>
      <c r="AF30" s="975" t="s">
        <v>1337</v>
      </c>
      <c r="AG30" s="975" t="s">
        <v>1399</v>
      </c>
      <c r="AH30" s="975">
        <v>30.0</v>
      </c>
      <c r="AI30" s="975">
        <v>30.0</v>
      </c>
    </row>
    <row r="31" ht="22.5" customHeight="1">
      <c r="H31" s="1180" t="s">
        <v>1674</v>
      </c>
      <c r="I31" s="1180" t="s">
        <v>1915</v>
      </c>
      <c r="J31" s="1180" t="s">
        <v>1337</v>
      </c>
      <c r="K31" s="1180" t="s">
        <v>1338</v>
      </c>
      <c r="L31" s="1181">
        <v>60.0</v>
      </c>
      <c r="M31" s="1180" t="s">
        <v>1917</v>
      </c>
      <c r="O31" s="965" t="s">
        <v>1918</v>
      </c>
      <c r="P31" s="966" t="s">
        <v>199</v>
      </c>
      <c r="Q31" s="966" t="s">
        <v>200</v>
      </c>
      <c r="R31" s="966" t="s">
        <v>201</v>
      </c>
      <c r="V31" s="975" t="s">
        <v>1864</v>
      </c>
      <c r="W31" s="975" t="s">
        <v>1570</v>
      </c>
      <c r="X31" s="975" t="s">
        <v>1337</v>
      </c>
      <c r="Y31" s="975" t="s">
        <v>1338</v>
      </c>
      <c r="Z31" s="975">
        <v>20.0</v>
      </c>
      <c r="AA31" s="975" t="s">
        <v>1921</v>
      </c>
      <c r="AD31" s="975" t="s">
        <v>1923</v>
      </c>
      <c r="AE31" s="975" t="s">
        <v>1890</v>
      </c>
      <c r="AF31" s="975" t="s">
        <v>1337</v>
      </c>
      <c r="AG31" s="975" t="s">
        <v>1399</v>
      </c>
      <c r="AH31" s="975">
        <v>30.0</v>
      </c>
      <c r="AI31" s="975" t="s">
        <v>1924</v>
      </c>
    </row>
    <row r="32" ht="22.5" customHeight="1">
      <c r="A32" s="965" t="s">
        <v>1918</v>
      </c>
      <c r="B32" s="966" t="s">
        <v>199</v>
      </c>
      <c r="C32" s="966" t="s">
        <v>200</v>
      </c>
      <c r="D32" s="966" t="s">
        <v>201</v>
      </c>
      <c r="H32" s="1180" t="s">
        <v>1674</v>
      </c>
      <c r="I32" s="1180" t="s">
        <v>1926</v>
      </c>
      <c r="J32" s="1180" t="s">
        <v>1337</v>
      </c>
      <c r="K32" s="1180" t="s">
        <v>1338</v>
      </c>
      <c r="L32" s="1181">
        <v>60.0</v>
      </c>
      <c r="M32" s="1180" t="s">
        <v>1928</v>
      </c>
      <c r="O32" s="1185" t="s">
        <v>1929</v>
      </c>
      <c r="P32" s="1185" t="s">
        <v>1931</v>
      </c>
      <c r="Q32" s="1185" t="s">
        <v>1932</v>
      </c>
      <c r="R32" s="1185" t="s">
        <v>1317</v>
      </c>
      <c r="V32" s="975" t="s">
        <v>1864</v>
      </c>
      <c r="W32" s="975" t="s">
        <v>1933</v>
      </c>
      <c r="X32" s="975" t="s">
        <v>1337</v>
      </c>
      <c r="Y32" s="975" t="s">
        <v>1338</v>
      </c>
      <c r="Z32" s="975">
        <v>30.0</v>
      </c>
      <c r="AA32" s="975" t="s">
        <v>1935</v>
      </c>
    </row>
    <row r="33" ht="22.5" customHeight="1">
      <c r="A33" s="1185" t="s">
        <v>1929</v>
      </c>
      <c r="B33" s="1185" t="s">
        <v>1931</v>
      </c>
      <c r="C33" s="1185" t="s">
        <v>1932</v>
      </c>
      <c r="D33" s="1185" t="s">
        <v>1317</v>
      </c>
      <c r="H33" s="1180" t="s">
        <v>1674</v>
      </c>
      <c r="I33" s="1180" t="s">
        <v>1711</v>
      </c>
      <c r="J33" s="1180" t="s">
        <v>1787</v>
      </c>
      <c r="K33" s="1180" t="s">
        <v>1541</v>
      </c>
      <c r="L33" s="1181">
        <v>60.0</v>
      </c>
      <c r="M33" s="1180" t="s">
        <v>1938</v>
      </c>
      <c r="O33" s="1186" t="s">
        <v>1374</v>
      </c>
      <c r="P33" s="1186" t="s">
        <v>1397</v>
      </c>
      <c r="Q33" s="1186" t="s">
        <v>1940</v>
      </c>
      <c r="R33" s="1186" t="s">
        <v>1441</v>
      </c>
      <c r="V33" s="975" t="s">
        <v>1864</v>
      </c>
      <c r="W33" s="975" t="s">
        <v>1942</v>
      </c>
      <c r="X33" s="975" t="s">
        <v>1337</v>
      </c>
      <c r="Y33" s="975" t="s">
        <v>1338</v>
      </c>
      <c r="Z33" s="975">
        <v>70.0</v>
      </c>
      <c r="AA33" s="975" t="s">
        <v>1699</v>
      </c>
    </row>
    <row r="34" ht="22.5" customHeight="1">
      <c r="A34" s="1186" t="s">
        <v>1335</v>
      </c>
      <c r="B34" s="1186" t="s">
        <v>1397</v>
      </c>
      <c r="C34" s="1186" t="s">
        <v>1940</v>
      </c>
      <c r="D34" s="1186" t="s">
        <v>1441</v>
      </c>
      <c r="H34" s="978" t="s">
        <v>1372</v>
      </c>
      <c r="I34" s="980"/>
      <c r="J34" s="980"/>
      <c r="K34" s="980"/>
      <c r="L34" s="980"/>
      <c r="M34" s="980"/>
      <c r="O34" s="1186" t="s">
        <v>1529</v>
      </c>
      <c r="P34" s="1186" t="s">
        <v>1397</v>
      </c>
      <c r="Q34" s="1186" t="s">
        <v>1945</v>
      </c>
      <c r="R34" s="1186" t="s">
        <v>1441</v>
      </c>
      <c r="V34" s="975" t="s">
        <v>1864</v>
      </c>
      <c r="W34" s="975" t="s">
        <v>1946</v>
      </c>
      <c r="X34" s="975" t="s">
        <v>1688</v>
      </c>
      <c r="Y34" s="975" t="s">
        <v>1338</v>
      </c>
      <c r="Z34" s="975">
        <v>30.0</v>
      </c>
      <c r="AA34" s="975" t="s">
        <v>1947</v>
      </c>
      <c r="AD34" s="965" t="s">
        <v>1918</v>
      </c>
      <c r="AE34" s="966" t="s">
        <v>199</v>
      </c>
      <c r="AF34" s="966" t="s">
        <v>200</v>
      </c>
      <c r="AG34" s="966" t="s">
        <v>201</v>
      </c>
      <c r="AH34" s="966" t="s">
        <v>202</v>
      </c>
    </row>
    <row r="35" ht="22.5" customHeight="1">
      <c r="A35" s="1186" t="s">
        <v>1506</v>
      </c>
      <c r="B35" s="1186" t="s">
        <v>1397</v>
      </c>
      <c r="C35" s="1186" t="s">
        <v>1948</v>
      </c>
      <c r="D35" s="1186" t="s">
        <v>1441</v>
      </c>
      <c r="H35" s="993" t="s">
        <v>226</v>
      </c>
      <c r="I35" s="993" t="s">
        <v>1314</v>
      </c>
      <c r="J35" s="995" t="s">
        <v>1384</v>
      </c>
      <c r="K35" s="993" t="s">
        <v>1317</v>
      </c>
      <c r="L35" s="995" t="s">
        <v>1385</v>
      </c>
      <c r="M35" s="993" t="s">
        <v>1386</v>
      </c>
      <c r="O35" s="1186" t="s">
        <v>1761</v>
      </c>
      <c r="P35" s="1186" t="s">
        <v>1397</v>
      </c>
      <c r="Q35" s="1186" t="s">
        <v>1950</v>
      </c>
      <c r="R35" s="1186" t="s">
        <v>1441</v>
      </c>
      <c r="V35" s="978" t="s">
        <v>1372</v>
      </c>
      <c r="W35" s="980"/>
      <c r="X35" s="980"/>
      <c r="Y35" s="980"/>
      <c r="Z35" s="980"/>
      <c r="AA35" s="980"/>
      <c r="AD35" s="1185" t="s">
        <v>1952</v>
      </c>
      <c r="AE35" s="1185" t="s">
        <v>1953</v>
      </c>
      <c r="AF35" s="1185" t="s">
        <v>1932</v>
      </c>
      <c r="AG35" s="1185" t="s">
        <v>1317</v>
      </c>
      <c r="AH35" s="1185" t="s">
        <v>1954</v>
      </c>
    </row>
    <row r="36" ht="22.5" customHeight="1">
      <c r="A36" s="1186" t="s">
        <v>1638</v>
      </c>
      <c r="B36" s="1186" t="s">
        <v>1397</v>
      </c>
      <c r="C36" s="1186" t="s">
        <v>1955</v>
      </c>
      <c r="D36" s="1186" t="s">
        <v>1441</v>
      </c>
      <c r="H36" s="1003" t="s">
        <v>1674</v>
      </c>
      <c r="I36" s="1003" t="s">
        <v>1397</v>
      </c>
      <c r="J36" s="1005" t="s">
        <v>276</v>
      </c>
      <c r="K36" s="1003" t="s">
        <v>1399</v>
      </c>
      <c r="L36" s="1005">
        <v>1.0</v>
      </c>
      <c r="M36" s="1003" t="s">
        <v>1957</v>
      </c>
      <c r="V36" s="999" t="s">
        <v>226</v>
      </c>
      <c r="W36" s="999" t="s">
        <v>1314</v>
      </c>
      <c r="X36" s="999" t="s">
        <v>1384</v>
      </c>
      <c r="Y36" s="999" t="s">
        <v>1317</v>
      </c>
      <c r="Z36" s="999" t="s">
        <v>1385</v>
      </c>
      <c r="AA36" s="999" t="s">
        <v>1386</v>
      </c>
      <c r="AD36" s="1186" t="s">
        <v>1959</v>
      </c>
      <c r="AE36" s="1186" t="s">
        <v>1960</v>
      </c>
      <c r="AF36" s="1186" t="s">
        <v>1961</v>
      </c>
      <c r="AG36" s="1186" t="s">
        <v>1441</v>
      </c>
      <c r="AH36" s="193" t="s">
        <v>1962</v>
      </c>
    </row>
    <row r="37" ht="22.5" customHeight="1">
      <c r="H37" s="966" t="s">
        <v>199</v>
      </c>
      <c r="I37" s="966" t="s">
        <v>200</v>
      </c>
      <c r="J37" s="966" t="s">
        <v>201</v>
      </c>
      <c r="K37" s="966" t="s">
        <v>202</v>
      </c>
      <c r="L37" s="966" t="s">
        <v>203</v>
      </c>
      <c r="M37" s="966" t="s">
        <v>204</v>
      </c>
      <c r="V37" s="1007" t="s">
        <v>1864</v>
      </c>
      <c r="W37" s="1007" t="s">
        <v>1397</v>
      </c>
      <c r="X37" s="1007" t="s">
        <v>276</v>
      </c>
      <c r="Y37" s="1007" t="s">
        <v>1399</v>
      </c>
      <c r="Z37" s="1007">
        <v>1.0</v>
      </c>
      <c r="AA37" s="1007" t="s">
        <v>1965</v>
      </c>
    </row>
    <row r="41" ht="22.5" customHeight="1">
      <c r="A41" s="1197"/>
      <c r="H41" s="965" t="s">
        <v>1918</v>
      </c>
      <c r="I41" s="966" t="s">
        <v>199</v>
      </c>
      <c r="J41" s="966" t="s">
        <v>200</v>
      </c>
      <c r="K41" s="966" t="s">
        <v>201</v>
      </c>
    </row>
    <row r="42" ht="22.5" customHeight="1">
      <c r="H42" s="1198" t="s">
        <v>1967</v>
      </c>
      <c r="I42" s="1198" t="s">
        <v>1969</v>
      </c>
      <c r="J42" s="1198" t="s">
        <v>1932</v>
      </c>
      <c r="K42" s="1198" t="s">
        <v>1317</v>
      </c>
    </row>
    <row r="43" ht="22.5" customHeight="1">
      <c r="A43" s="260"/>
      <c r="B43" s="260"/>
      <c r="C43" s="260"/>
      <c r="D43" s="260"/>
      <c r="E43" s="260"/>
      <c r="F43" s="260"/>
      <c r="H43" s="733" t="s">
        <v>1346</v>
      </c>
      <c r="I43" s="733" t="s">
        <v>1397</v>
      </c>
      <c r="J43" s="733" t="s">
        <v>1970</v>
      </c>
      <c r="K43" s="733" t="s">
        <v>1441</v>
      </c>
      <c r="V43" s="965" t="s">
        <v>1918</v>
      </c>
      <c r="W43" s="966" t="s">
        <v>199</v>
      </c>
      <c r="X43" s="966" t="s">
        <v>200</v>
      </c>
      <c r="Y43" s="966" t="s">
        <v>201</v>
      </c>
    </row>
    <row r="44" ht="22.5" customHeight="1">
      <c r="A44" s="260"/>
      <c r="B44" s="260"/>
      <c r="C44" s="260"/>
      <c r="D44" s="260"/>
      <c r="E44" s="260"/>
      <c r="F44" s="260"/>
      <c r="H44" s="733" t="s">
        <v>1494</v>
      </c>
      <c r="I44" s="733" t="s">
        <v>1397</v>
      </c>
      <c r="J44" s="733" t="s">
        <v>1971</v>
      </c>
      <c r="K44" s="733" t="s">
        <v>1441</v>
      </c>
      <c r="V44" s="1198" t="s">
        <v>1967</v>
      </c>
      <c r="W44" s="1198" t="s">
        <v>1969</v>
      </c>
      <c r="X44" s="1198" t="s">
        <v>1932</v>
      </c>
      <c r="Y44" s="1198" t="s">
        <v>1317</v>
      </c>
    </row>
    <row r="45" ht="22.5" customHeight="1">
      <c r="A45" s="260"/>
      <c r="B45" s="260"/>
      <c r="C45" s="260"/>
      <c r="D45" s="260"/>
      <c r="E45" s="260"/>
      <c r="F45" s="260"/>
      <c r="H45" s="733" t="s">
        <v>1674</v>
      </c>
      <c r="I45" s="733" t="s">
        <v>1397</v>
      </c>
      <c r="J45" s="733" t="s">
        <v>1972</v>
      </c>
      <c r="K45" s="733" t="s">
        <v>1441</v>
      </c>
      <c r="V45" s="733" t="s">
        <v>1360</v>
      </c>
      <c r="W45" s="733" t="s">
        <v>1397</v>
      </c>
      <c r="X45" s="733" t="s">
        <v>1973</v>
      </c>
      <c r="Y45" s="733" t="s">
        <v>1441</v>
      </c>
    </row>
    <row r="46" ht="22.5" customHeight="1">
      <c r="A46" s="260"/>
      <c r="B46" s="260"/>
      <c r="C46" s="260"/>
      <c r="D46" s="260"/>
      <c r="E46" s="260"/>
      <c r="F46" s="260"/>
      <c r="H46" s="733" t="s">
        <v>1974</v>
      </c>
      <c r="I46" s="733" t="s">
        <v>1397</v>
      </c>
      <c r="J46" s="733" t="s">
        <v>1975</v>
      </c>
      <c r="K46" s="733" t="s">
        <v>1441</v>
      </c>
      <c r="V46" s="733" t="s">
        <v>1501</v>
      </c>
      <c r="W46" s="733" t="s">
        <v>1397</v>
      </c>
      <c r="X46" s="733" t="s">
        <v>1976</v>
      </c>
      <c r="Y46" s="733" t="s">
        <v>1441</v>
      </c>
    </row>
    <row r="47" ht="22.5" customHeight="1">
      <c r="A47" s="260"/>
      <c r="B47" s="260"/>
      <c r="C47" s="260"/>
      <c r="D47" s="260"/>
      <c r="E47" s="260"/>
      <c r="F47" s="260"/>
      <c r="V47" s="733" t="s">
        <v>1609</v>
      </c>
      <c r="W47" s="733" t="s">
        <v>1397</v>
      </c>
      <c r="X47" s="733" t="s">
        <v>1978</v>
      </c>
      <c r="Y47" s="733" t="s">
        <v>1441</v>
      </c>
    </row>
    <row r="48" ht="22.5" customHeight="1">
      <c r="A48" s="260"/>
      <c r="B48" s="260"/>
      <c r="C48" s="260"/>
      <c r="D48" s="260"/>
      <c r="E48" s="260"/>
      <c r="F48" s="260"/>
      <c r="V48" s="733" t="s">
        <v>1864</v>
      </c>
      <c r="W48" s="733" t="s">
        <v>1397</v>
      </c>
      <c r="X48" s="733" t="s">
        <v>1979</v>
      </c>
      <c r="Y48" s="733" t="s">
        <v>1441</v>
      </c>
    </row>
    <row r="49">
      <c r="A49" s="260"/>
      <c r="B49" s="260"/>
      <c r="C49" s="260"/>
      <c r="D49" s="260"/>
      <c r="E49" s="260"/>
      <c r="F49" s="260"/>
    </row>
    <row r="50">
      <c r="A50" s="260"/>
      <c r="B50" s="260"/>
      <c r="C50" s="260"/>
      <c r="D50" s="260"/>
      <c r="E50" s="260"/>
      <c r="F50" s="260"/>
    </row>
    <row r="51">
      <c r="A51" s="260"/>
      <c r="B51" s="260"/>
      <c r="C51" s="260"/>
      <c r="D51" s="260"/>
      <c r="E51" s="260"/>
      <c r="F51" s="260"/>
    </row>
    <row r="52">
      <c r="A52" s="260"/>
      <c r="B52" s="260"/>
      <c r="C52" s="260"/>
      <c r="D52" s="260"/>
      <c r="E52" s="260"/>
      <c r="F52" s="260"/>
    </row>
    <row r="53">
      <c r="A53" s="260"/>
      <c r="B53" s="260"/>
      <c r="C53" s="260"/>
      <c r="D53" s="260"/>
      <c r="E53" s="260"/>
      <c r="F53" s="260"/>
    </row>
    <row r="54">
      <c r="A54" s="260"/>
      <c r="B54" s="260"/>
      <c r="C54" s="260"/>
      <c r="D54" s="260"/>
      <c r="E54" s="260"/>
      <c r="F54" s="260"/>
    </row>
    <row r="55">
      <c r="A55" s="260"/>
      <c r="B55" s="260"/>
      <c r="C55" s="260"/>
      <c r="D55" s="260"/>
      <c r="E55" s="260"/>
      <c r="F55" s="260"/>
    </row>
    <row r="56">
      <c r="A56" s="260"/>
      <c r="B56" s="260"/>
      <c r="C56" s="260"/>
      <c r="D56" s="260"/>
      <c r="E56" s="260"/>
      <c r="F56" s="260"/>
    </row>
    <row r="57">
      <c r="A57" s="260"/>
      <c r="B57" s="260"/>
      <c r="C57" s="260"/>
      <c r="D57" s="260"/>
      <c r="E57" s="260"/>
      <c r="F57" s="260"/>
    </row>
    <row r="58">
      <c r="A58" s="260"/>
      <c r="B58" s="260"/>
      <c r="C58" s="260"/>
      <c r="D58" s="260"/>
      <c r="E58" s="260"/>
      <c r="F58" s="260"/>
    </row>
    <row r="59">
      <c r="A59" s="260"/>
      <c r="B59" s="260"/>
      <c r="C59" s="260"/>
      <c r="D59" s="260"/>
      <c r="E59" s="260"/>
      <c r="F59" s="260"/>
    </row>
    <row r="60">
      <c r="A60" s="260"/>
      <c r="B60" s="260"/>
      <c r="C60" s="260"/>
      <c r="D60" s="260"/>
      <c r="E60" s="260"/>
      <c r="F60" s="260"/>
    </row>
    <row r="61">
      <c r="A61" s="260"/>
      <c r="B61" s="260"/>
      <c r="C61" s="260"/>
      <c r="D61" s="260"/>
      <c r="E61" s="260"/>
      <c r="F61" s="260"/>
    </row>
    <row r="62">
      <c r="A62" s="260"/>
      <c r="B62" s="260"/>
      <c r="C62" s="260"/>
      <c r="D62" s="260"/>
      <c r="E62" s="260"/>
      <c r="F62" s="260"/>
    </row>
    <row r="63">
      <c r="A63" s="260"/>
      <c r="B63" s="260"/>
      <c r="C63" s="260"/>
      <c r="D63" s="260"/>
      <c r="E63" s="260"/>
      <c r="F63" s="260"/>
    </row>
    <row r="64">
      <c r="A64" s="260"/>
      <c r="B64" s="260"/>
      <c r="C64" s="260"/>
      <c r="D64" s="260"/>
      <c r="E64" s="260"/>
      <c r="F64" s="260"/>
    </row>
    <row r="65">
      <c r="A65" s="260"/>
      <c r="B65" s="260"/>
      <c r="C65" s="260"/>
      <c r="D65" s="260"/>
      <c r="E65" s="260"/>
      <c r="F65" s="260"/>
    </row>
    <row r="66">
      <c r="A66" s="260"/>
      <c r="B66" s="260"/>
      <c r="C66" s="260"/>
      <c r="D66" s="260"/>
      <c r="E66" s="260"/>
      <c r="F66" s="260"/>
    </row>
    <row r="67">
      <c r="A67" s="260"/>
      <c r="B67" s="260"/>
      <c r="C67" s="260"/>
      <c r="D67" s="260"/>
      <c r="E67" s="260"/>
      <c r="F67" s="260"/>
    </row>
    <row r="68">
      <c r="A68" s="260"/>
      <c r="B68" s="260"/>
      <c r="C68" s="260"/>
      <c r="D68" s="260"/>
      <c r="E68" s="260"/>
      <c r="F68" s="260"/>
    </row>
    <row r="69">
      <c r="A69" s="260"/>
      <c r="B69" s="260"/>
      <c r="C69" s="260"/>
      <c r="D69" s="260"/>
      <c r="E69" s="260"/>
      <c r="F69" s="260"/>
    </row>
    <row r="70">
      <c r="A70" s="260"/>
      <c r="B70" s="260"/>
      <c r="C70" s="260"/>
      <c r="D70" s="260"/>
      <c r="E70" s="260"/>
      <c r="F70" s="260"/>
    </row>
    <row r="73">
      <c r="A73" s="260"/>
      <c r="B73" s="260"/>
      <c r="C73" s="260"/>
      <c r="D73" s="260"/>
    </row>
    <row r="74">
      <c r="A74" s="260"/>
      <c r="B74" s="260"/>
      <c r="C74" s="260"/>
      <c r="D74" s="260"/>
    </row>
    <row r="75">
      <c r="A75" s="260"/>
      <c r="B75" s="260"/>
      <c r="C75" s="260"/>
      <c r="D75" s="260"/>
    </row>
    <row r="76">
      <c r="A76" s="260"/>
      <c r="B76" s="260"/>
      <c r="C76" s="260"/>
      <c r="D76" s="260"/>
    </row>
    <row r="77">
      <c r="A77" s="260"/>
      <c r="B77" s="260"/>
      <c r="C77" s="260"/>
      <c r="D77" s="260"/>
    </row>
  </sheetData>
  <mergeCells count="6">
    <mergeCell ref="A1:F1"/>
    <mergeCell ref="H1:M1"/>
    <mergeCell ref="O1:T2"/>
    <mergeCell ref="V1:AA1"/>
    <mergeCell ref="AD1:AI2"/>
    <mergeCell ref="A41:F42"/>
  </mergeCells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3" width="14.38"/>
    <col customWidth="1" min="4" max="4" width="18.38"/>
    <col customWidth="1" min="5" max="5" width="17.63"/>
    <col customWidth="1" min="6" max="6" width="17.38"/>
    <col customWidth="1" min="7" max="7" width="20.88"/>
    <col customWidth="1" min="8" max="8" width="21.5"/>
    <col customWidth="1" min="9" max="9" width="4.88"/>
    <col customWidth="1" min="10" max="10" width="4.75"/>
    <col customWidth="1" min="11" max="11" width="12.88"/>
    <col customWidth="1" min="12" max="12" width="16.13"/>
    <col customWidth="1" min="13" max="13" width="22.25"/>
    <col customWidth="1" min="14" max="14" width="19.75"/>
    <col customWidth="1" min="15" max="15" width="15.63"/>
    <col customWidth="1" min="16" max="16" width="25.88"/>
    <col customWidth="1" min="21" max="21" width="17.0"/>
    <col customWidth="1" min="22" max="22" width="21.63"/>
    <col customWidth="1" min="23" max="23" width="16.0"/>
    <col customWidth="1" min="24" max="24" width="20.63"/>
    <col customWidth="1" min="25" max="25" width="19.13"/>
    <col customWidth="1" min="29" max="29" width="22.38"/>
    <col customWidth="1" min="30" max="30" width="17.0"/>
    <col customWidth="1" min="31" max="31" width="21.63"/>
    <col customWidth="1" min="32" max="32" width="20.25"/>
    <col customWidth="1" min="33" max="33" width="20.63"/>
    <col customWidth="1" min="34" max="34" width="20.13"/>
  </cols>
  <sheetData>
    <row r="2">
      <c r="B2" s="1067" t="s">
        <v>25</v>
      </c>
      <c r="C2" s="921"/>
      <c r="D2" s="921"/>
      <c r="E2" s="921"/>
      <c r="F2" s="921"/>
      <c r="G2" s="921"/>
      <c r="H2" s="1068"/>
      <c r="K2" s="1069" t="s">
        <v>1562</v>
      </c>
      <c r="S2" s="820" t="s">
        <v>1564</v>
      </c>
      <c r="AB2" s="817" t="s">
        <v>1150</v>
      </c>
    </row>
    <row r="3">
      <c r="B3" s="1070"/>
      <c r="C3" s="759"/>
      <c r="D3" s="759"/>
      <c r="E3" s="759"/>
      <c r="F3" s="759"/>
      <c r="G3" s="759"/>
      <c r="H3" s="1072"/>
    </row>
    <row r="4" ht="22.5" customHeight="1">
      <c r="B4" s="1074" t="s">
        <v>199</v>
      </c>
      <c r="C4" s="1074" t="s">
        <v>200</v>
      </c>
      <c r="D4" s="1074" t="s">
        <v>201</v>
      </c>
      <c r="E4" s="1074" t="s">
        <v>202</v>
      </c>
      <c r="F4" s="1074" t="s">
        <v>203</v>
      </c>
      <c r="G4" s="1076" t="s">
        <v>1571</v>
      </c>
      <c r="H4" s="1076" t="s">
        <v>1572</v>
      </c>
      <c r="K4" s="1077" t="s">
        <v>1574</v>
      </c>
      <c r="L4" s="1077" t="s">
        <v>1577</v>
      </c>
      <c r="M4" s="1077" t="s">
        <v>1579</v>
      </c>
      <c r="N4" s="1077" t="s">
        <v>1580</v>
      </c>
      <c r="O4" s="1077" t="s">
        <v>1581</v>
      </c>
      <c r="P4" s="1077" t="s">
        <v>1583</v>
      </c>
      <c r="S4" s="1081" t="s">
        <v>1320</v>
      </c>
      <c r="T4" s="1081" t="s">
        <v>1585</v>
      </c>
      <c r="U4" s="1081" t="s">
        <v>1586</v>
      </c>
      <c r="V4" s="1081" t="s">
        <v>1587</v>
      </c>
      <c r="W4" s="1081" t="s">
        <v>1588</v>
      </c>
      <c r="X4" s="1081" t="s">
        <v>1589</v>
      </c>
      <c r="Y4" s="1081" t="s">
        <v>1591</v>
      </c>
      <c r="AB4" s="1084" t="s">
        <v>1320</v>
      </c>
      <c r="AC4" s="1077" t="s">
        <v>1585</v>
      </c>
      <c r="AD4" s="1077" t="s">
        <v>1586</v>
      </c>
      <c r="AE4" s="1077" t="s">
        <v>1587</v>
      </c>
      <c r="AF4" s="1077" t="s">
        <v>1588</v>
      </c>
      <c r="AG4" s="1077" t="s">
        <v>1589</v>
      </c>
      <c r="AH4" s="1077" t="s">
        <v>1591</v>
      </c>
      <c r="AI4" s="1087"/>
      <c r="AJ4" s="1087"/>
      <c r="AK4" s="1087"/>
      <c r="AL4" s="1087"/>
      <c r="AM4" s="1087"/>
    </row>
    <row r="5" ht="22.5" customHeight="1">
      <c r="B5" s="1089"/>
      <c r="C5" s="1090"/>
      <c r="D5" s="1090"/>
      <c r="E5" s="1090"/>
      <c r="F5" s="1090"/>
      <c r="G5" s="1095" t="s">
        <v>1596</v>
      </c>
      <c r="H5" s="1096" t="s">
        <v>1597</v>
      </c>
      <c r="K5" s="1097" t="s">
        <v>1599</v>
      </c>
      <c r="L5" s="1098" t="s">
        <v>1596</v>
      </c>
      <c r="M5" s="1099" t="s">
        <v>1602</v>
      </c>
      <c r="N5" s="1099" t="s">
        <v>1605</v>
      </c>
      <c r="O5" s="1099" t="s">
        <v>1608</v>
      </c>
      <c r="P5" s="1100" t="s">
        <v>1610</v>
      </c>
      <c r="S5" s="1101">
        <v>30.0</v>
      </c>
      <c r="T5" s="1102" t="s">
        <v>1612</v>
      </c>
      <c r="U5" s="1102">
        <v>50.0</v>
      </c>
      <c r="V5" s="1102" t="s">
        <v>1613</v>
      </c>
      <c r="W5" s="1101" t="s">
        <v>1615</v>
      </c>
      <c r="X5" s="1102" t="s">
        <v>1617</v>
      </c>
      <c r="Y5" s="1102" t="s">
        <v>1618</v>
      </c>
      <c r="AB5" s="1106">
        <v>110.0</v>
      </c>
      <c r="AC5" s="1107" t="s">
        <v>1619</v>
      </c>
      <c r="AD5" s="1107">
        <v>20.0</v>
      </c>
      <c r="AE5" s="1107" t="s">
        <v>1620</v>
      </c>
      <c r="AF5" s="1107" t="s">
        <v>1621</v>
      </c>
      <c r="AG5" s="1107" t="s">
        <v>1624</v>
      </c>
      <c r="AH5" s="1107" t="s">
        <v>1627</v>
      </c>
      <c r="AI5" s="1108"/>
      <c r="AJ5" s="1108"/>
      <c r="AK5" s="1108"/>
      <c r="AL5" s="1108"/>
      <c r="AM5" s="1108"/>
    </row>
    <row r="6" ht="22.5" customHeight="1">
      <c r="B6" s="1109"/>
      <c r="C6" s="1097" t="s">
        <v>1320</v>
      </c>
      <c r="D6" s="1097" t="s">
        <v>1586</v>
      </c>
      <c r="E6" s="1097" t="s">
        <v>1587</v>
      </c>
      <c r="F6" s="1097" t="s">
        <v>1588</v>
      </c>
      <c r="G6" s="1111" t="s">
        <v>1589</v>
      </c>
      <c r="H6" s="1111" t="s">
        <v>1591</v>
      </c>
      <c r="K6" s="1097" t="s">
        <v>1632</v>
      </c>
      <c r="L6" s="1098" t="s">
        <v>1597</v>
      </c>
      <c r="M6" s="1099" t="s">
        <v>1602</v>
      </c>
      <c r="N6" s="1099" t="s">
        <v>1605</v>
      </c>
      <c r="O6" s="1099" t="s">
        <v>1596</v>
      </c>
      <c r="P6" s="1100" t="s">
        <v>1637</v>
      </c>
      <c r="S6" s="1101">
        <v>20.0</v>
      </c>
      <c r="T6" s="1102" t="s">
        <v>1641</v>
      </c>
      <c r="U6" s="1102">
        <v>30.0</v>
      </c>
      <c r="V6" s="1102" t="s">
        <v>1642</v>
      </c>
      <c r="W6" s="1101" t="s">
        <v>1643</v>
      </c>
      <c r="X6" s="1102" t="s">
        <v>1644</v>
      </c>
      <c r="Y6" s="1102" t="s">
        <v>1646</v>
      </c>
      <c r="AB6" s="1106">
        <v>400.0</v>
      </c>
      <c r="AC6" s="1107" t="s">
        <v>1650</v>
      </c>
      <c r="AD6" s="1107">
        <v>12.0</v>
      </c>
      <c r="AE6" s="1107" t="s">
        <v>1651</v>
      </c>
      <c r="AF6" s="1107" t="s">
        <v>1652</v>
      </c>
      <c r="AG6" s="1107" t="s">
        <v>1654</v>
      </c>
      <c r="AH6" s="1107" t="s">
        <v>1655</v>
      </c>
      <c r="AI6" s="1108"/>
      <c r="AJ6" s="1108"/>
      <c r="AK6" s="1108"/>
      <c r="AL6" s="1108"/>
      <c r="AM6" s="1108"/>
    </row>
    <row r="7" ht="22.5" customHeight="1">
      <c r="B7" s="1114">
        <v>40.0</v>
      </c>
      <c r="C7" s="1115" t="s">
        <v>1656</v>
      </c>
      <c r="D7" s="1116">
        <v>78.0</v>
      </c>
      <c r="E7" s="1116" t="s">
        <v>1613</v>
      </c>
      <c r="F7" s="1115" t="s">
        <v>1615</v>
      </c>
      <c r="G7" s="1117" t="s">
        <v>1661</v>
      </c>
      <c r="H7" s="1117" t="s">
        <v>1663</v>
      </c>
      <c r="K7" s="1097" t="s">
        <v>1664</v>
      </c>
      <c r="L7" s="1098" t="s">
        <v>1667</v>
      </c>
      <c r="M7" s="1099" t="s">
        <v>1602</v>
      </c>
      <c r="N7" s="1099" t="s">
        <v>1605</v>
      </c>
      <c r="O7" s="1099" t="s">
        <v>1596</v>
      </c>
      <c r="P7" s="1100" t="s">
        <v>1669</v>
      </c>
      <c r="S7" s="1101">
        <v>10.0</v>
      </c>
      <c r="T7" s="1102" t="s">
        <v>1671</v>
      </c>
      <c r="U7" s="1102">
        <v>9.0</v>
      </c>
      <c r="V7" s="1102" t="s">
        <v>1651</v>
      </c>
      <c r="W7" s="1101" t="s">
        <v>1675</v>
      </c>
      <c r="X7" s="1102" t="s">
        <v>1677</v>
      </c>
      <c r="Y7" s="1102" t="s">
        <v>1679</v>
      </c>
      <c r="AB7" s="1121">
        <v>120.0</v>
      </c>
      <c r="AC7" s="1122" t="s">
        <v>1684</v>
      </c>
      <c r="AD7" s="1122">
        <v>35.0</v>
      </c>
      <c r="AE7" s="1122" t="s">
        <v>1642</v>
      </c>
      <c r="AF7" s="1122" t="s">
        <v>1689</v>
      </c>
      <c r="AG7" s="1122" t="s">
        <v>1690</v>
      </c>
      <c r="AH7" s="1122" t="s">
        <v>1691</v>
      </c>
      <c r="AI7" s="1124"/>
      <c r="AJ7" s="1124"/>
      <c r="AK7" s="1124"/>
      <c r="AL7" s="1124"/>
      <c r="AM7" s="1124"/>
    </row>
    <row r="8" ht="22.5" customHeight="1">
      <c r="B8" s="1125">
        <v>60.0</v>
      </c>
      <c r="C8" s="1126" t="s">
        <v>1641</v>
      </c>
      <c r="D8" s="1127">
        <v>68.0</v>
      </c>
      <c r="E8" s="1127" t="s">
        <v>1613</v>
      </c>
      <c r="F8" s="1126" t="s">
        <v>1615</v>
      </c>
      <c r="G8" s="1128" t="s">
        <v>1698</v>
      </c>
      <c r="H8" s="1128" t="s">
        <v>1700</v>
      </c>
      <c r="K8" s="1097" t="s">
        <v>1377</v>
      </c>
      <c r="L8" s="1098" t="s">
        <v>1702</v>
      </c>
      <c r="M8" s="1099" t="s">
        <v>1602</v>
      </c>
      <c r="N8" s="1099" t="s">
        <v>1605</v>
      </c>
      <c r="O8" s="1099" t="s">
        <v>1596</v>
      </c>
      <c r="P8" s="1100" t="s">
        <v>1703</v>
      </c>
      <c r="S8" s="1101">
        <v>300.0</v>
      </c>
      <c r="T8" s="1102" t="s">
        <v>1708</v>
      </c>
      <c r="U8" s="1102">
        <v>9.0</v>
      </c>
      <c r="V8" s="1102" t="s">
        <v>1651</v>
      </c>
      <c r="W8" s="1101" t="s">
        <v>1675</v>
      </c>
      <c r="X8" s="1102" t="s">
        <v>1709</v>
      </c>
      <c r="Y8" s="1102" t="s">
        <v>1710</v>
      </c>
      <c r="AB8" s="1129">
        <v>130.0</v>
      </c>
      <c r="AC8" s="1130" t="s">
        <v>1712</v>
      </c>
      <c r="AD8" s="1130">
        <v>12.0</v>
      </c>
      <c r="AE8" s="1130" t="s">
        <v>1651</v>
      </c>
      <c r="AF8" s="1130" t="s">
        <v>1652</v>
      </c>
      <c r="AG8" s="1130" t="s">
        <v>1715</v>
      </c>
      <c r="AH8" s="1130" t="s">
        <v>1716</v>
      </c>
      <c r="AI8" s="1124"/>
      <c r="AJ8" s="1124"/>
      <c r="AK8" s="1124"/>
      <c r="AL8" s="1124"/>
      <c r="AM8" s="1124"/>
    </row>
    <row r="9" ht="22.5" customHeight="1">
      <c r="B9" s="1131">
        <v>100.0</v>
      </c>
      <c r="C9" s="1132" t="s">
        <v>1719</v>
      </c>
      <c r="D9" s="1133">
        <v>40.0</v>
      </c>
      <c r="E9" s="1133" t="s">
        <v>1642</v>
      </c>
      <c r="F9" s="1132" t="s">
        <v>1643</v>
      </c>
      <c r="G9" s="1134" t="s">
        <v>1724</v>
      </c>
      <c r="H9" s="1134" t="s">
        <v>1725</v>
      </c>
      <c r="K9" s="1097" t="s">
        <v>1727</v>
      </c>
      <c r="L9" s="1098" t="s">
        <v>1728</v>
      </c>
      <c r="M9" s="1099" t="s">
        <v>1602</v>
      </c>
      <c r="N9" s="1099" t="s">
        <v>1605</v>
      </c>
      <c r="O9" s="1099" t="s">
        <v>1596</v>
      </c>
      <c r="P9" s="1135" t="s">
        <v>1730</v>
      </c>
      <c r="S9" s="1101">
        <v>99.0</v>
      </c>
      <c r="T9" s="1102" t="s">
        <v>1732</v>
      </c>
      <c r="U9" s="1102">
        <v>2.0</v>
      </c>
      <c r="V9" s="1102" t="s">
        <v>1733</v>
      </c>
      <c r="W9" s="1101" t="s">
        <v>1735</v>
      </c>
      <c r="X9" s="1102" t="s">
        <v>1736</v>
      </c>
      <c r="Y9" s="1102" t="s">
        <v>1737</v>
      </c>
      <c r="AB9" s="1138">
        <v>140.0</v>
      </c>
      <c r="AC9" s="1141" t="s">
        <v>1739</v>
      </c>
      <c r="AD9" s="1141">
        <v>12.0</v>
      </c>
      <c r="AE9" s="1141" t="s">
        <v>1651</v>
      </c>
      <c r="AF9" s="1141" t="s">
        <v>1652</v>
      </c>
      <c r="AG9" s="1141" t="s">
        <v>1743</v>
      </c>
      <c r="AH9" s="1141" t="s">
        <v>1744</v>
      </c>
      <c r="AI9" s="1124"/>
      <c r="AJ9" s="1124"/>
      <c r="AK9" s="1124"/>
      <c r="AL9" s="1124"/>
      <c r="AM9" s="1124"/>
    </row>
    <row r="10" ht="22.5" customHeight="1">
      <c r="B10" s="1131">
        <v>200.0</v>
      </c>
      <c r="C10" s="1132" t="s">
        <v>1747</v>
      </c>
      <c r="D10" s="1133">
        <v>40.0</v>
      </c>
      <c r="E10" s="1133" t="s">
        <v>1642</v>
      </c>
      <c r="F10" s="1132" t="s">
        <v>1643</v>
      </c>
      <c r="G10" s="1134" t="s">
        <v>1751</v>
      </c>
      <c r="H10" s="1134" t="s">
        <v>1752</v>
      </c>
      <c r="S10" s="1101">
        <v>99.0</v>
      </c>
      <c r="T10" s="1102" t="s">
        <v>1757</v>
      </c>
      <c r="U10" s="1102">
        <v>2.0</v>
      </c>
      <c r="V10" s="1102" t="s">
        <v>1733</v>
      </c>
      <c r="W10" s="1101" t="s">
        <v>1735</v>
      </c>
      <c r="X10" s="1102" t="s">
        <v>1762</v>
      </c>
      <c r="Y10" s="1102" t="s">
        <v>1766</v>
      </c>
      <c r="AB10" s="1106">
        <v>150.0</v>
      </c>
      <c r="AC10" s="1149" t="s">
        <v>1769</v>
      </c>
      <c r="AD10" s="1107">
        <v>18.0</v>
      </c>
      <c r="AE10" s="1107" t="s">
        <v>1620</v>
      </c>
      <c r="AF10" s="1107" t="s">
        <v>1621</v>
      </c>
      <c r="AG10" s="1107" t="s">
        <v>1770</v>
      </c>
      <c r="AH10" s="1107" t="s">
        <v>1771</v>
      </c>
      <c r="AI10" s="1124"/>
      <c r="AJ10" s="1124"/>
      <c r="AK10" s="1124"/>
      <c r="AL10" s="1124"/>
      <c r="AM10" s="1124"/>
    </row>
    <row r="11" ht="22.5" customHeight="1">
      <c r="B11" s="1151">
        <v>50.0</v>
      </c>
      <c r="C11" s="1152" t="s">
        <v>1774</v>
      </c>
      <c r="D11" s="1155">
        <v>32.0</v>
      </c>
      <c r="E11" s="1155" t="s">
        <v>1642</v>
      </c>
      <c r="F11" s="1152" t="s">
        <v>1643</v>
      </c>
      <c r="G11" s="1156" t="s">
        <v>1780</v>
      </c>
      <c r="H11" s="1156" t="s">
        <v>1782</v>
      </c>
      <c r="AB11" s="1157">
        <v>160.0</v>
      </c>
      <c r="AC11" s="1158" t="s">
        <v>1785</v>
      </c>
      <c r="AD11" s="1158">
        <v>28.0</v>
      </c>
      <c r="AE11" s="1158" t="s">
        <v>1620</v>
      </c>
      <c r="AF11" s="1158" t="s">
        <v>1621</v>
      </c>
      <c r="AG11" s="1158" t="s">
        <v>1790</v>
      </c>
      <c r="AH11" s="1158" t="s">
        <v>1791</v>
      </c>
      <c r="AI11" s="1124"/>
      <c r="AJ11" s="1124"/>
      <c r="AK11" s="1124"/>
      <c r="AL11" s="1124"/>
      <c r="AM11" s="1124"/>
    </row>
    <row r="12" ht="22.5" customHeight="1">
      <c r="B12" s="1159">
        <v>20.0</v>
      </c>
      <c r="C12" s="1160" t="s">
        <v>1792</v>
      </c>
      <c r="D12" s="1161">
        <v>27.0</v>
      </c>
      <c r="E12" s="1161" t="s">
        <v>1620</v>
      </c>
      <c r="F12" s="1160" t="s">
        <v>1798</v>
      </c>
      <c r="G12" s="1162" t="s">
        <v>1799</v>
      </c>
      <c r="H12" s="1162" t="s">
        <v>1800</v>
      </c>
      <c r="AB12" s="1106">
        <v>99.0</v>
      </c>
      <c r="AC12" s="1107" t="s">
        <v>1802</v>
      </c>
      <c r="AD12" s="1107">
        <v>10.0</v>
      </c>
      <c r="AE12" s="1107" t="s">
        <v>1651</v>
      </c>
      <c r="AF12" s="1107" t="s">
        <v>1652</v>
      </c>
      <c r="AG12" s="1107" t="s">
        <v>1807</v>
      </c>
      <c r="AH12" s="1107" t="s">
        <v>1808</v>
      </c>
      <c r="AI12" s="1108"/>
      <c r="AJ12" s="1108"/>
      <c r="AK12" s="1108"/>
      <c r="AL12" s="1108"/>
      <c r="AM12" s="1108"/>
    </row>
    <row r="13" ht="22.5" customHeight="1">
      <c r="B13" s="1164">
        <v>30.0</v>
      </c>
      <c r="C13" s="1165" t="s">
        <v>1812</v>
      </c>
      <c r="D13" s="1166">
        <v>19.0</v>
      </c>
      <c r="E13" s="1166" t="s">
        <v>1620</v>
      </c>
      <c r="F13" s="1165" t="s">
        <v>1798</v>
      </c>
      <c r="G13" s="1167" t="s">
        <v>1816</v>
      </c>
      <c r="H13" s="1167" t="s">
        <v>1819</v>
      </c>
      <c r="AB13" s="1106">
        <v>170.0</v>
      </c>
      <c r="AC13" s="1107" t="s">
        <v>1823</v>
      </c>
      <c r="AD13" s="1107">
        <v>6.0</v>
      </c>
      <c r="AE13" s="1107" t="s">
        <v>1651</v>
      </c>
      <c r="AF13" s="1107" t="s">
        <v>1652</v>
      </c>
      <c r="AG13" s="1107" t="s">
        <v>1824</v>
      </c>
      <c r="AH13" s="1107" t="s">
        <v>1827</v>
      </c>
      <c r="AI13" s="1108"/>
      <c r="AJ13" s="1108"/>
      <c r="AK13" s="1108"/>
      <c r="AL13" s="1108"/>
      <c r="AM13" s="1108"/>
    </row>
    <row r="14" ht="22.5" customHeight="1">
      <c r="B14" s="1131">
        <v>99.0</v>
      </c>
      <c r="C14" s="1132" t="s">
        <v>1832</v>
      </c>
      <c r="D14" s="1133">
        <v>16.0</v>
      </c>
      <c r="E14" s="1133" t="s">
        <v>1620</v>
      </c>
      <c r="F14" s="1132" t="s">
        <v>1798</v>
      </c>
      <c r="G14" s="1134" t="s">
        <v>1835</v>
      </c>
      <c r="H14" s="1134" t="s">
        <v>1839</v>
      </c>
    </row>
    <row r="15" ht="22.5" customHeight="1">
      <c r="B15" s="1131">
        <v>70.0</v>
      </c>
      <c r="C15" s="1132" t="s">
        <v>1841</v>
      </c>
      <c r="D15" s="1133">
        <v>9.0</v>
      </c>
      <c r="E15" s="1133" t="s">
        <v>1651</v>
      </c>
      <c r="F15" s="1132" t="s">
        <v>1675</v>
      </c>
      <c r="G15" s="1134" t="s">
        <v>1847</v>
      </c>
      <c r="H15" s="1134" t="s">
        <v>1848</v>
      </c>
    </row>
    <row r="16" ht="22.5" customHeight="1">
      <c r="B16" s="1131">
        <v>10.0</v>
      </c>
      <c r="C16" s="1132" t="s">
        <v>1849</v>
      </c>
      <c r="D16" s="1133">
        <v>6.0</v>
      </c>
      <c r="E16" s="1133" t="s">
        <v>1850</v>
      </c>
      <c r="F16" s="1132" t="s">
        <v>1602</v>
      </c>
      <c r="G16" s="1134" t="s">
        <v>1605</v>
      </c>
      <c r="H16" s="1134" t="s">
        <v>1853</v>
      </c>
    </row>
  </sheetData>
  <mergeCells count="4">
    <mergeCell ref="B2:H3"/>
    <mergeCell ref="K2:P3"/>
    <mergeCell ref="S2:Y3"/>
    <mergeCell ref="AB2:AH3"/>
  </mergeCells>
  <hyperlinks>
    <hyperlink r:id="rId1" ref="P9"/>
  </hyperlinks>
  <drawing r:id="rId2"/>
  <tableParts count="4">
    <tablePart r:id="rId7"/>
    <tablePart r:id="rId8"/>
    <tablePart r:id="rId9"/>
    <tablePart r:id="rId10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2026-02-06T03:14:38Z</dcterms:created>
  <dc:creator>KARLA SOFIA DOMINGUEZ YANANGOMEZ</dc:creator>
</cp:coreProperties>
</file>